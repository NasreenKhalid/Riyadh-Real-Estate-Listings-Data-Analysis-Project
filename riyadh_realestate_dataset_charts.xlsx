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ml.chartshapes+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drawings/drawing9.xml" ContentType="application/vnd.openxmlformats-officedocument.drawingml.chartshapes+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nasreenkhalid/Documents/Data Analysis/Riyadh_RealEstate_Analysis_Project/"/>
    </mc:Choice>
  </mc:AlternateContent>
  <xr:revisionPtr revIDLastSave="0" documentId="13_ncr:1_{34212651-3FE2-BA4E-BDB1-7BFA58839602}" xr6:coauthVersionLast="47" xr6:coauthVersionMax="47" xr10:uidLastSave="{00000000-0000-0000-0000-000000000000}"/>
  <bookViews>
    <workbookView xWindow="1000" yWindow="760" windowWidth="28400" windowHeight="18360" firstSheet="3" activeTab="7" xr2:uid="{7547E479-B0D1-0349-887D-97B249E6B1FD}"/>
  </bookViews>
  <sheets>
    <sheet name="Price trend By Year" sheetId="4" r:id="rId1"/>
    <sheet name="Price by Prop Type" sheetId="5" r:id="rId2"/>
    <sheet name="Top 10 districts by avg price" sheetId="6" r:id="rId3"/>
    <sheet name="Property type distribution" sheetId="7" r:id="rId4"/>
    <sheet name="Furnished vs unfurnished" sheetId="8" r:id="rId5"/>
    <sheet name="riyadh_realestate_dataset" sheetId="1" r:id="rId6"/>
    <sheet name="kpi" sheetId="2" r:id="rId7"/>
    <sheet name="Dashboard" sheetId="11" r:id="rId8"/>
  </sheets>
  <definedNames>
    <definedName name="Slicer_area_sqm">#N/A</definedName>
    <definedName name="Slicer_district">#N/A</definedName>
    <definedName name="Slicer_district_zone">#N/A</definedName>
    <definedName name="Slicer_furnished">#N/A</definedName>
    <definedName name="Slicer_property_type">#N/A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2" i="1"/>
</calcChain>
</file>

<file path=xl/sharedStrings.xml><?xml version="1.0" encoding="utf-8"?>
<sst xmlns="http://schemas.openxmlformats.org/spreadsheetml/2006/main" count="6071" uniqueCount="70">
  <si>
    <t>listing_id</t>
  </si>
  <si>
    <t>district</t>
  </si>
  <si>
    <t>property_type</t>
  </si>
  <si>
    <t>year</t>
  </si>
  <si>
    <t>quarter</t>
  </si>
  <si>
    <t>area_sqm</t>
  </si>
  <si>
    <t>bedrooms</t>
  </si>
  <si>
    <t>bathrooms</t>
  </si>
  <si>
    <t>price_sar</t>
  </si>
  <si>
    <t>price_per_sqm</t>
  </si>
  <si>
    <t>building_age_years</t>
  </si>
  <si>
    <t>furnished</t>
  </si>
  <si>
    <t>days_on_market</t>
  </si>
  <si>
    <t>district_zone</t>
  </si>
  <si>
    <t>Al Nakheel</t>
  </si>
  <si>
    <t>Apartment</t>
  </si>
  <si>
    <t>Q2</t>
  </si>
  <si>
    <t>Unfurnished</t>
  </si>
  <si>
    <t>North</t>
  </si>
  <si>
    <t>Al Malaz</t>
  </si>
  <si>
    <t>Furnished</t>
  </si>
  <si>
    <t>Central</t>
  </si>
  <si>
    <t>Al Yasmin</t>
  </si>
  <si>
    <t>Duplex</t>
  </si>
  <si>
    <t>Q3</t>
  </si>
  <si>
    <t>Al Dirah</t>
  </si>
  <si>
    <t>Q4</t>
  </si>
  <si>
    <t>East/West</t>
  </si>
  <si>
    <t>Al Munsiyah</t>
  </si>
  <si>
    <t>Villa</t>
  </si>
  <si>
    <t>Q1</t>
  </si>
  <si>
    <t>Al Maather</t>
  </si>
  <si>
    <t>Al Rajhi</t>
  </si>
  <si>
    <t>Al Batha</t>
  </si>
  <si>
    <t>Semi-furnished</t>
  </si>
  <si>
    <t>Al Narjis</t>
  </si>
  <si>
    <t>Floor</t>
  </si>
  <si>
    <t>Al Aqiq</t>
  </si>
  <si>
    <t>Studio</t>
  </si>
  <si>
    <t>Al Rawdah</t>
  </si>
  <si>
    <t>Al Sahafah</t>
  </si>
  <si>
    <t>Al Olaya</t>
  </si>
  <si>
    <t>Al Sulimaniyah</t>
  </si>
  <si>
    <t>Al Rabwah</t>
  </si>
  <si>
    <t>Al Arid</t>
  </si>
  <si>
    <t>Al Wurud</t>
  </si>
  <si>
    <t>Al Qirawan</t>
  </si>
  <si>
    <t>Al Hamra</t>
  </si>
  <si>
    <t>Al Zahra</t>
  </si>
  <si>
    <t>Total Listings</t>
  </si>
  <si>
    <t>Avg Price (SAR)</t>
  </si>
  <si>
    <t>Median SAR/sqm</t>
  </si>
  <si>
    <t>Avg Days Listed</t>
  </si>
  <si>
    <t>Price Growth</t>
  </si>
  <si>
    <t>Row Labels</t>
  </si>
  <si>
    <t>(blank)</t>
  </si>
  <si>
    <t>Grand Total</t>
  </si>
  <si>
    <t>Sum of price_sar</t>
  </si>
  <si>
    <t>Average of price_sar</t>
  </si>
  <si>
    <t>Count of listing_id</t>
  </si>
  <si>
    <t>Villa_price</t>
  </si>
  <si>
    <t>Villa_area</t>
  </si>
  <si>
    <t>apt_price</t>
  </si>
  <si>
    <t>apt_area</t>
  </si>
  <si>
    <t>duplex_price</t>
  </si>
  <si>
    <t>duplex_area</t>
  </si>
  <si>
    <t>studio_price</t>
  </si>
  <si>
    <t>studio_area</t>
  </si>
  <si>
    <t>floor_price</t>
  </si>
  <si>
    <t>floor_area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</si>
</sst>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reen]\▲0.00%;[Red]\▼0.00%"/>
    <numFmt numFmtId="165" formatCode="&quot;SAR&quot;\ 0.00,\ &quot;K&quot;"/>
    <numFmt numFmtId="166" formatCode="[Green]\▲0.;[Red]\▼0.00"/>
    <numFmt numFmtId="167" formatCode="[Green]\▲0.0;[Red]\▼0.0"/>
    <numFmt numFmtId="168" formatCode="&quot;SAR&quot;\ 0.00,\ &quot;M&quot;"/>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3"/>
      <color rgb="FF141413"/>
      <name val="Arial"/>
      <family val="2"/>
    </font>
    <font>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xf numFmtId="0" fontId="19" fillId="0" borderId="0" xfId="0" applyFont="1"/>
    <xf numFmtId="164" fontId="20" fillId="0" borderId="0" xfId="1" applyNumberFormat="1" applyFont="1"/>
    <xf numFmtId="0" fontId="20" fillId="0" borderId="0" xfId="0" applyFont="1"/>
    <xf numFmtId="0" fontId="0" fillId="0" borderId="0" xfId="0" pivotButton="1"/>
    <xf numFmtId="0" fontId="0" fillId="0" borderId="0" xfId="0" applyAlignment="1">
      <alignment horizontal="left"/>
    </xf>
    <xf numFmtId="165" fontId="0" fillId="0" borderId="0" xfId="0" applyNumberFormat="1"/>
    <xf numFmtId="166" fontId="20" fillId="0" borderId="0" xfId="0" applyNumberFormat="1" applyFont="1"/>
    <xf numFmtId="167" fontId="20" fillId="0" borderId="0" xfId="0" applyNumberFormat="1" applyFont="1"/>
    <xf numFmtId="168"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
    <dxf>
      <numFmt numFmtId="165" formatCode="&quot;SAR&quot;\ 0.00,\ &quot;K&quot;"/>
    </dxf>
    <dxf>
      <numFmt numFmtId="165" formatCode="&quot;SAR&quot;\ 0.00,\ &quot;K&quot;"/>
    </dxf>
  </dxfs>
  <tableStyles count="0" defaultTableStyle="TableStyleMedium2" defaultPivotStyle="PivotStyleLight16"/>
  <colors>
    <mruColors>
      <color rgb="FFFFCF6F"/>
      <color rgb="FFEC7533"/>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[riyadh_realestate_dataset_charts.xlsx]Price trend By Year!PivotTable2</c:name>
    <c:fmtId val="0"/>
  </c:pivotSource>
  <c:chart>
    <c:autoTitleDeleted val="1"/>
    <c:pivotFmts>
      <c:pivotFmt>
        <c:idx val="0"/>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'Price trend By Year'!$B$3</c:f>
              <c:strCache>
                <c:ptCount val="1"/>
                <c:pt idx="0">
                  <c:v>Total</c:v>
                </c:pt>
              </c:strCache>
            </c:strRef>
          </c:tx>
          <c:spPr>
            <a:ln w="28575" cap="rnd">
              <a:solidFill>
                <a:schemeClr val="accent3">
                  <a:lumMod val="60000"/>
                  <a:lumOff val="40000"/>
                </a:schemeClr>
              </a:solidFill>
              <a:round/>
            </a:ln>
            <a:effectLst/>
          </c:spPr>
          <c:marker>
            <c:symbol val="none"/>
          </c:marker>
          <c:cat>
            <c:strRef>
              <c:f>'Price trend By Year'!$A$4:$A$9</c:f>
              <c:strCache>
                <c:ptCount val="5"/>
                <c:pt idx="0">
                  <c:v>2021</c:v>
                </c:pt>
                <c:pt idx="1">
                  <c:v>2022</c:v>
                </c:pt>
                <c:pt idx="2">
                  <c:v>2023</c:v>
                </c:pt>
                <c:pt idx="3">
                  <c:v>2024</c:v>
                </c:pt>
                <c:pt idx="4">
                  <c:v>(blank)</c:v>
                </c:pt>
              </c:strCache>
            </c:strRef>
          </c:cat>
          <c:val>
            <c:numRef>
              <c:f>'Price trend By Year'!$B$4:$B$9</c:f>
              <c:numCache>
                <c:formatCode>General</c:formatCode>
                <c:ptCount val="5"/>
                <c:pt idx="0">
                  <c:v>310063000</c:v>
                </c:pt>
                <c:pt idx="1">
                  <c:v>296095000</c:v>
                </c:pt>
                <c:pt idx="2">
                  <c:v>311993000</c:v>
                </c:pt>
                <c:pt idx="3">
                  <c:v>372325000</c:v>
                </c:pt>
              </c:numCache>
            </c:numRef>
          </c:val>
          <c:smooth val="0"/>
          <c:extLst>
            <c:ext xmlns:c16="http://schemas.microsoft.com/office/drawing/2014/chart" uri="{C3380CC4-5D6E-409C-BE32-E72D297353CC}">
              <c16:uniqueId val="{00000000-26F8-C44B-A44F-A191F0B13753}"/>
            </c:ext>
          </c:extLst>
        </c:ser>
        <c:dLbls>
          <c:showLegendKey val="0"/>
          <c:showVal val="0"/>
          <c:showCatName val="0"/>
          <c:showSerName val="0"/>
          <c:showPercent val="0"/>
          <c:showBubbleSize val="0"/>
        </c:dLbls>
        <c:smooth val="0"/>
        <c:axId val="1005072240"/>
        <c:axId val="1006180160"/>
      </c:lineChart>
      <c:catAx>
        <c:axId val="1005072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chemeClr val="accent2">
                        <a:lumMod val="75000"/>
                      </a:schemeClr>
                    </a:solidFill>
                  </a:rPr>
                  <a:t>Year</a:t>
                </a:r>
                <a:endParaRPr lang="en-US">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5">
                <a:lumMod val="7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SA"/>
          </a:p>
        </c:txPr>
        <c:crossAx val="1006180160"/>
        <c:crosses val="autoZero"/>
        <c:auto val="1"/>
        <c:lblAlgn val="ctr"/>
        <c:lblOffset val="100"/>
        <c:noMultiLvlLbl val="0"/>
      </c:catAx>
      <c:valAx>
        <c:axId val="1006180160"/>
        <c:scaling>
          <c:orientation val="minMax"/>
          <c:min val="280000002"/>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chemeClr val="accent2">
                        <a:lumMod val="75000"/>
                      </a:schemeClr>
                    </a:solidFill>
                  </a:rPr>
                  <a:t>Price Increase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quot;SAR&quot;\ 0.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005072240"/>
        <c:crosses val="autoZero"/>
        <c:crossBetween val="between"/>
        <c:dispUnits>
          <c:builtInUnit val="hundred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[riyadh_realestate_dataset_charts.xlsx]Price by Prop Type!PivotTable3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by Prop Type'!$B$3</c:f>
              <c:strCache>
                <c:ptCount val="1"/>
                <c:pt idx="0">
                  <c:v>Total</c:v>
                </c:pt>
              </c:strCache>
            </c:strRef>
          </c:tx>
          <c:spPr>
            <a:solidFill>
              <a:schemeClr val="accent1"/>
            </a:solidFill>
            <a:ln>
              <a:noFill/>
            </a:ln>
            <a:effectLst/>
          </c:spPr>
          <c:invertIfNegative val="0"/>
          <c:cat>
            <c:strRef>
              <c:f>'Price by Prop Type'!$A$4:$A$10</c:f>
              <c:strCache>
                <c:ptCount val="6"/>
                <c:pt idx="0">
                  <c:v>Apartment</c:v>
                </c:pt>
                <c:pt idx="1">
                  <c:v>Duplex</c:v>
                </c:pt>
                <c:pt idx="2">
                  <c:v>Floor</c:v>
                </c:pt>
                <c:pt idx="3">
                  <c:v>Studio</c:v>
                </c:pt>
                <c:pt idx="4">
                  <c:v>Villa</c:v>
                </c:pt>
                <c:pt idx="5">
                  <c:v>(blank)</c:v>
                </c:pt>
              </c:strCache>
            </c:strRef>
          </c:cat>
          <c:val>
            <c:numRef>
              <c:f>'Price by Prop Type'!$B$4:$B$10</c:f>
              <c:numCache>
                <c:formatCode>General</c:formatCode>
                <c:ptCount val="6"/>
                <c:pt idx="0">
                  <c:v>232629000</c:v>
                </c:pt>
                <c:pt idx="1">
                  <c:v>221340000</c:v>
                </c:pt>
                <c:pt idx="2">
                  <c:v>82467000</c:v>
                </c:pt>
                <c:pt idx="3">
                  <c:v>31850000</c:v>
                </c:pt>
                <c:pt idx="4">
                  <c:v>722190000</c:v>
                </c:pt>
              </c:numCache>
            </c:numRef>
          </c:val>
          <c:extLst>
            <c:ext xmlns:c16="http://schemas.microsoft.com/office/drawing/2014/chart" uri="{C3380CC4-5D6E-409C-BE32-E72D297353CC}">
              <c16:uniqueId val="{00000000-561F-D841-8DE3-480C4456AF17}"/>
            </c:ext>
          </c:extLst>
        </c:ser>
        <c:dLbls>
          <c:showLegendKey val="0"/>
          <c:showVal val="0"/>
          <c:showCatName val="0"/>
          <c:showSerName val="0"/>
          <c:showPercent val="0"/>
          <c:showBubbleSize val="0"/>
        </c:dLbls>
        <c:gapWidth val="219"/>
        <c:axId val="1185475839"/>
        <c:axId val="1185658383"/>
      </c:barChart>
      <c:catAx>
        <c:axId val="118547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185658383"/>
        <c:crosses val="autoZero"/>
        <c:auto val="1"/>
        <c:lblAlgn val="ctr"/>
        <c:lblOffset val="100"/>
        <c:noMultiLvlLbl val="0"/>
      </c:catAx>
      <c:valAx>
        <c:axId val="1185658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185475839"/>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[riyadh_realestate_dataset_charts.xlsx]Top 10 districts by avg price!PivotTable4</c:name>
    <c:fmtId val="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60000"/>
              <a:lumOff val="40000"/>
            </a:schemeClr>
          </a:solidFill>
          <a:ln>
            <a:noFill/>
          </a:ln>
          <a:effectLst/>
        </c:spPr>
      </c:pivotFmt>
      <c:pivotFmt>
        <c:idx val="3"/>
        <c:spPr>
          <a:solidFill>
            <a:srgbClr val="EC7533"/>
          </a:solidFill>
          <a:ln>
            <a:noFill/>
          </a:ln>
          <a:effectLst/>
        </c:spPr>
      </c:pivotFmt>
      <c:pivotFmt>
        <c:idx val="4"/>
        <c:spPr>
          <a:solidFill>
            <a:schemeClr val="accent1">
              <a:lumMod val="60000"/>
              <a:lumOff val="40000"/>
            </a:schemeClr>
          </a:solidFill>
          <a:ln>
            <a:noFill/>
          </a:ln>
          <a:effectLst/>
        </c:spPr>
      </c:pivotFmt>
      <c:pivotFmt>
        <c:idx val="5"/>
        <c:spPr>
          <a:solidFill>
            <a:srgbClr val="EC7533"/>
          </a:solidFill>
          <a:ln>
            <a:noFill/>
          </a:ln>
          <a:effectLst/>
        </c:spPr>
      </c:pivotFmt>
      <c:pivotFmt>
        <c:idx val="6"/>
        <c:spPr>
          <a:solidFill>
            <a:srgbClr val="FFC000"/>
          </a:solidFill>
          <a:ln>
            <a:noFill/>
          </a:ln>
          <a:effectLst/>
        </c:spPr>
      </c:pivotFmt>
      <c:pivotFmt>
        <c:idx val="7"/>
        <c:spPr>
          <a:solidFill>
            <a:srgbClr val="FFC000"/>
          </a:solidFill>
          <a:ln>
            <a:noFill/>
          </a:ln>
          <a:effectLst/>
        </c:spPr>
      </c:pivotFmt>
      <c:pivotFmt>
        <c:idx val="8"/>
        <c:spPr>
          <a:solidFill>
            <a:srgbClr val="FFC000"/>
          </a:solidFill>
          <a:ln>
            <a:noFill/>
          </a:ln>
          <a:effectLst/>
        </c:spPr>
      </c:pivotFmt>
      <c:pivotFmt>
        <c:idx val="9"/>
        <c:spPr>
          <a:solidFill>
            <a:srgbClr val="FFC000"/>
          </a:solidFill>
          <a:ln>
            <a:noFill/>
          </a:ln>
          <a:effectLst/>
        </c:spPr>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rgbClr val="FFC000"/>
          </a:solidFill>
          <a:ln>
            <a:noFill/>
          </a:ln>
          <a:effectLst/>
        </c:spPr>
      </c:pivotFmt>
      <c:pivotFmt>
        <c:idx val="12"/>
        <c:spPr>
          <a:solidFill>
            <a:srgbClr val="FFC000"/>
          </a:solidFill>
          <a:ln>
            <a:noFill/>
          </a:ln>
          <a:effectLst/>
        </c:spPr>
      </c:pivotFmt>
      <c:pivotFmt>
        <c:idx val="13"/>
        <c:spPr>
          <a:solidFill>
            <a:srgbClr val="FFC000"/>
          </a:solidFill>
          <a:ln>
            <a:noFill/>
          </a:ln>
          <a:effectLst/>
        </c:spPr>
      </c:pivotFmt>
      <c:pivotFmt>
        <c:idx val="14"/>
        <c:spPr>
          <a:solidFill>
            <a:srgbClr val="FFC000"/>
          </a:solidFill>
          <a:ln>
            <a:noFill/>
          </a:ln>
          <a:effectLst/>
        </c:spPr>
      </c:pivotFmt>
      <c:pivotFmt>
        <c:idx val="15"/>
        <c:spPr>
          <a:solidFill>
            <a:schemeClr val="accent1">
              <a:lumMod val="60000"/>
              <a:lumOff val="40000"/>
            </a:schemeClr>
          </a:solidFill>
          <a:ln>
            <a:noFill/>
          </a:ln>
          <a:effectLst/>
        </c:spPr>
      </c:pivotFmt>
      <c:pivotFmt>
        <c:idx val="16"/>
        <c:spPr>
          <a:solidFill>
            <a:srgbClr val="EC7533"/>
          </a:solidFill>
          <a:ln>
            <a:noFill/>
          </a:ln>
          <a:effectLst/>
        </c:spPr>
      </c:pivotFmt>
      <c:pivotFmt>
        <c:idx val="17"/>
        <c:spPr>
          <a:solidFill>
            <a:srgbClr val="EC7533"/>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60000"/>
              <a:lumOff val="40000"/>
            </a:schemeClr>
          </a:solidFill>
          <a:ln>
            <a:noFill/>
          </a:ln>
          <a:effectLst/>
        </c:spPr>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rgbClr val="FFC000"/>
          </a:solidFill>
          <a:ln>
            <a:noFill/>
          </a:ln>
          <a:effectLst/>
        </c:spPr>
      </c:pivotFmt>
      <c:pivotFmt>
        <c:idx val="22"/>
        <c:spPr>
          <a:solidFill>
            <a:srgbClr val="FFC000"/>
          </a:solidFill>
          <a:ln>
            <a:noFill/>
          </a:ln>
          <a:effectLst/>
        </c:spPr>
      </c:pivotFmt>
      <c:pivotFmt>
        <c:idx val="23"/>
        <c:spPr>
          <a:solidFill>
            <a:srgbClr val="FFC000"/>
          </a:solidFill>
          <a:ln>
            <a:noFill/>
          </a:ln>
          <a:effectLst/>
        </c:spPr>
      </c:pivotFmt>
      <c:pivotFmt>
        <c:idx val="24"/>
        <c:spPr>
          <a:solidFill>
            <a:srgbClr val="FFC000"/>
          </a:solidFill>
          <a:ln>
            <a:noFill/>
          </a:ln>
          <a:effectLst/>
        </c:spPr>
      </c:pivotFmt>
      <c:pivotFmt>
        <c:idx val="25"/>
        <c:spPr>
          <a:solidFill>
            <a:schemeClr val="accent1">
              <a:lumMod val="60000"/>
              <a:lumOff val="40000"/>
            </a:schemeClr>
          </a:solidFill>
          <a:ln>
            <a:noFill/>
          </a:ln>
          <a:effectLst/>
        </c:spPr>
      </c:pivotFmt>
      <c:pivotFmt>
        <c:idx val="26"/>
        <c:spPr>
          <a:solidFill>
            <a:srgbClr val="EC7533"/>
          </a:solidFill>
          <a:ln>
            <a:noFill/>
          </a:ln>
          <a:effectLst/>
        </c:spPr>
      </c:pivotFmt>
      <c:pivotFmt>
        <c:idx val="27"/>
        <c:spPr>
          <a:solidFill>
            <a:srgbClr val="EC7533"/>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FFC000"/>
          </a:solidFill>
          <a:ln>
            <a:noFill/>
          </a:ln>
          <a:effectLst/>
        </c:spPr>
      </c:pivotFmt>
      <c:pivotFmt>
        <c:idx val="32"/>
        <c:spPr>
          <a:solidFill>
            <a:srgbClr val="FFC000"/>
          </a:solidFill>
          <a:ln>
            <a:noFill/>
          </a:ln>
          <a:effectLst/>
        </c:spPr>
      </c:pivotFmt>
      <c:pivotFmt>
        <c:idx val="33"/>
        <c:spPr>
          <a:solidFill>
            <a:srgbClr val="FFC000"/>
          </a:solidFill>
          <a:ln>
            <a:noFill/>
          </a:ln>
          <a:effectLst/>
        </c:spPr>
      </c:pivotFmt>
      <c:pivotFmt>
        <c:idx val="34"/>
        <c:spPr>
          <a:solidFill>
            <a:srgbClr val="FFC000"/>
          </a:solidFill>
          <a:ln>
            <a:noFill/>
          </a:ln>
          <a:effectLst/>
        </c:spPr>
      </c:pivotFmt>
      <c:pivotFmt>
        <c:idx val="35"/>
        <c:spPr>
          <a:solidFill>
            <a:schemeClr val="accent1">
              <a:lumMod val="60000"/>
              <a:lumOff val="40000"/>
            </a:schemeClr>
          </a:solidFill>
          <a:ln>
            <a:noFill/>
          </a:ln>
          <a:effectLst/>
        </c:spPr>
      </c:pivotFmt>
      <c:pivotFmt>
        <c:idx val="36"/>
        <c:spPr>
          <a:solidFill>
            <a:srgbClr val="EC7533"/>
          </a:solidFill>
          <a:ln>
            <a:noFill/>
          </a:ln>
          <a:effectLst/>
        </c:spPr>
      </c:pivotFmt>
      <c:pivotFmt>
        <c:idx val="37"/>
        <c:spPr>
          <a:solidFill>
            <a:srgbClr val="EC7533"/>
          </a:solidFill>
          <a:ln>
            <a:noFill/>
          </a:ln>
          <a:effectLst/>
        </c:spPr>
      </c:pivotFmt>
      <c:pivotFmt>
        <c:idx val="38"/>
        <c:spPr>
          <a:solidFill>
            <a:schemeClr val="accent1">
              <a:lumMod val="60000"/>
              <a:lumOff val="40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lumMod val="60000"/>
              <a:lumOff val="40000"/>
            </a:schemeClr>
          </a:solidFill>
          <a:ln>
            <a:noFill/>
          </a:ln>
          <a:effectLst/>
        </c:spPr>
      </c:pivotFmt>
    </c:pivotFmts>
    <c:plotArea>
      <c:layout>
        <c:manualLayout>
          <c:layoutTarget val="inner"/>
          <c:xMode val="edge"/>
          <c:yMode val="edge"/>
          <c:x val="0.14398073511562043"/>
          <c:y val="3.1224227080606751E-2"/>
          <c:w val="0.69155908624070217"/>
          <c:h val="0.70925275711876534"/>
        </c:manualLayout>
      </c:layout>
      <c:barChart>
        <c:barDir val="col"/>
        <c:grouping val="clustered"/>
        <c:varyColors val="0"/>
        <c:ser>
          <c:idx val="0"/>
          <c:order val="0"/>
          <c:tx>
            <c:strRef>
              <c:f>'Top 10 districts by avg price'!$B$3</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D-1845-3143-B351-A6DA8009AB2C}"/>
              </c:ext>
            </c:extLst>
          </c:dPt>
          <c:dPt>
            <c:idx val="1"/>
            <c:invertIfNegative val="0"/>
            <c:bubble3D val="0"/>
            <c:spPr>
              <a:solidFill>
                <a:srgbClr val="FFC000"/>
              </a:solidFill>
              <a:ln>
                <a:noFill/>
              </a:ln>
              <a:effectLst/>
            </c:spPr>
            <c:extLst>
              <c:ext xmlns:c16="http://schemas.microsoft.com/office/drawing/2014/chart" uri="{C3380CC4-5D6E-409C-BE32-E72D297353CC}">
                <c16:uniqueId val="{0000000F-1845-3143-B351-A6DA8009AB2C}"/>
              </c:ext>
            </c:extLst>
          </c:dPt>
          <c:dPt>
            <c:idx val="2"/>
            <c:invertIfNegative val="0"/>
            <c:bubble3D val="0"/>
            <c:spPr>
              <a:solidFill>
                <a:srgbClr val="FFC000"/>
              </a:solidFill>
              <a:ln>
                <a:noFill/>
              </a:ln>
              <a:effectLst/>
            </c:spPr>
            <c:extLst>
              <c:ext xmlns:c16="http://schemas.microsoft.com/office/drawing/2014/chart" uri="{C3380CC4-5D6E-409C-BE32-E72D297353CC}">
                <c16:uniqueId val="{00000011-1845-3143-B351-A6DA8009AB2C}"/>
              </c:ext>
            </c:extLst>
          </c:dPt>
          <c:dPt>
            <c:idx val="3"/>
            <c:invertIfNegative val="0"/>
            <c:bubble3D val="0"/>
            <c:spPr>
              <a:solidFill>
                <a:srgbClr val="FFC000"/>
              </a:solidFill>
              <a:ln>
                <a:noFill/>
              </a:ln>
              <a:effectLst/>
            </c:spPr>
            <c:extLst>
              <c:ext xmlns:c16="http://schemas.microsoft.com/office/drawing/2014/chart" uri="{C3380CC4-5D6E-409C-BE32-E72D297353CC}">
                <c16:uniqueId val="{00000013-1845-3143-B351-A6DA8009AB2C}"/>
              </c:ext>
            </c:extLst>
          </c:dPt>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F-1845-3143-B351-A6DA8009AB2C}"/>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5-1845-3143-B351-A6DA8009AB2C}"/>
              </c:ext>
            </c:extLst>
          </c:dPt>
          <c:dPt>
            <c:idx val="6"/>
            <c:invertIfNegative val="0"/>
            <c:bubble3D val="0"/>
            <c:spPr>
              <a:solidFill>
                <a:srgbClr val="EC7533"/>
              </a:solidFill>
              <a:ln>
                <a:noFill/>
              </a:ln>
              <a:effectLst/>
            </c:spPr>
            <c:extLst>
              <c:ext xmlns:c16="http://schemas.microsoft.com/office/drawing/2014/chart" uri="{C3380CC4-5D6E-409C-BE32-E72D297353CC}">
                <c16:uniqueId val="{00000017-1845-3143-B351-A6DA8009AB2C}"/>
              </c:ext>
            </c:extLst>
          </c:dPt>
          <c:dPt>
            <c:idx val="7"/>
            <c:invertIfNegative val="0"/>
            <c:bubble3D val="0"/>
            <c:spPr>
              <a:solidFill>
                <a:srgbClr val="EC7533"/>
              </a:solidFill>
              <a:ln>
                <a:noFill/>
              </a:ln>
              <a:effectLst/>
            </c:spPr>
            <c:extLst>
              <c:ext xmlns:c16="http://schemas.microsoft.com/office/drawing/2014/chart" uri="{C3380CC4-5D6E-409C-BE32-E72D297353CC}">
                <c16:uniqueId val="{00000019-1845-3143-B351-A6DA8009AB2C}"/>
              </c:ext>
            </c:extLst>
          </c:dPt>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1845-3143-B351-A6DA8009AB2C}"/>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1845-3143-B351-A6DA8009AB2C}"/>
              </c:ext>
            </c:extLst>
          </c:dPt>
          <c:cat>
            <c:strRef>
              <c:f>'Top 10 districts by avg price'!$A$4:$A$14</c:f>
              <c:strCache>
                <c:ptCount val="10"/>
                <c:pt idx="0">
                  <c:v>Al Narjis</c:v>
                </c:pt>
                <c:pt idx="1">
                  <c:v>Al Nakheel</c:v>
                </c:pt>
                <c:pt idx="2">
                  <c:v>Al Munsiyah</c:v>
                </c:pt>
                <c:pt idx="3">
                  <c:v>Al Yasmin</c:v>
                </c:pt>
                <c:pt idx="4">
                  <c:v>Al Wurud</c:v>
                </c:pt>
                <c:pt idx="5">
                  <c:v>Al Rawdah</c:v>
                </c:pt>
                <c:pt idx="6">
                  <c:v>Al Aqiq</c:v>
                </c:pt>
                <c:pt idx="7">
                  <c:v>Al Rabwah</c:v>
                </c:pt>
                <c:pt idx="8">
                  <c:v>Al Sulimaniyah</c:v>
                </c:pt>
                <c:pt idx="9">
                  <c:v>Al Olaya</c:v>
                </c:pt>
              </c:strCache>
            </c:strRef>
          </c:cat>
          <c:val>
            <c:numRef>
              <c:f>'Top 10 districts by avg price'!$B$4:$B$14</c:f>
              <c:numCache>
                <c:formatCode>"SAR"\ 0.00,\ "M"</c:formatCode>
                <c:ptCount val="10"/>
                <c:pt idx="0">
                  <c:v>1071326.923076923</c:v>
                </c:pt>
                <c:pt idx="1">
                  <c:v>1087969.2307692308</c:v>
                </c:pt>
                <c:pt idx="2">
                  <c:v>1143803.9215686275</c:v>
                </c:pt>
                <c:pt idx="3">
                  <c:v>1211985.9154929577</c:v>
                </c:pt>
                <c:pt idx="4">
                  <c:v>1214500</c:v>
                </c:pt>
                <c:pt idx="5">
                  <c:v>1270000</c:v>
                </c:pt>
                <c:pt idx="6">
                  <c:v>1292551.0204081633</c:v>
                </c:pt>
                <c:pt idx="7">
                  <c:v>1414363.6363636365</c:v>
                </c:pt>
                <c:pt idx="8">
                  <c:v>1440738.4615384615</c:v>
                </c:pt>
                <c:pt idx="9">
                  <c:v>1587885.2459016393</c:v>
                </c:pt>
              </c:numCache>
            </c:numRef>
          </c:val>
          <c:extLst>
            <c:ext xmlns:c16="http://schemas.microsoft.com/office/drawing/2014/chart" uri="{C3380CC4-5D6E-409C-BE32-E72D297353CC}">
              <c16:uniqueId val="{0000001E-1845-3143-B351-A6DA8009AB2C}"/>
            </c:ext>
          </c:extLst>
        </c:ser>
        <c:dLbls>
          <c:showLegendKey val="0"/>
          <c:showVal val="0"/>
          <c:showCatName val="0"/>
          <c:showSerName val="0"/>
          <c:showPercent val="0"/>
          <c:showBubbleSize val="0"/>
        </c:dLbls>
        <c:gapWidth val="219"/>
        <c:overlap val="-27"/>
        <c:axId val="248314016"/>
        <c:axId val="248315728"/>
      </c:barChart>
      <c:catAx>
        <c:axId val="24831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48315728"/>
        <c:crosses val="autoZero"/>
        <c:auto val="1"/>
        <c:lblAlgn val="ctr"/>
        <c:lblOffset val="100"/>
        <c:noMultiLvlLbl val="0"/>
      </c:catAx>
      <c:valAx>
        <c:axId val="248315728"/>
        <c:scaling>
          <c:orientation val="minMax"/>
        </c:scaling>
        <c:delete val="0"/>
        <c:axPos val="l"/>
        <c:majorGridlines>
          <c:spPr>
            <a:ln w="9525" cap="flat" cmpd="sng" algn="ctr">
              <a:solidFill>
                <a:schemeClr val="tx1">
                  <a:lumMod val="15000"/>
                  <a:lumOff val="85000"/>
                </a:schemeClr>
              </a:solidFill>
              <a:round/>
            </a:ln>
            <a:effectLst/>
          </c:spPr>
        </c:majorGridlines>
        <c:numFmt formatCode="&quot;SAR&quot;\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4831401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chart>
  <c:txPr>
    <a:bodyPr/>
    <a:lstStyle/>
    <a:p>
      <a:pPr>
        <a:defRPr/>
      </a:pPr>
      <a:endParaRPr lang="en-SA"/>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[riyadh_realestate_dataset_charts.xlsx]Property type distribution!PivotTable5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bg2">
                  <a:lumMod val="90000"/>
                </a:schemeClr>
              </a:outerShdw>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a:outerShdw blurRad="50800" dist="50800" dir="5400000" algn="ctr" rotWithShape="0">
                <a:schemeClr val="bg2">
                  <a:lumMod val="90000"/>
                </a:schemeClr>
              </a:outerShdw>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15:layout>
                <c:manualLayout>
                  <c:w val="7.1999999999999995E-2"/>
                  <c:h val="6.1472700527818641E-2"/>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'Property type distribution'!$B$3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79A-B941-8B79-E96DCDA2D4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E1-F94B-B9A6-F1916D0969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E1-F94B-B9A6-F1916D0969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E1-F94B-B9A6-F1916D09697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BE1-F94B-B9A6-F1916D09697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BE1-F94B-B9A6-F1916D09697E}"/>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7.1999999999999995E-2"/>
                      <c:h val="6.1472700527818641E-2"/>
                    </c:manualLayout>
                  </c15:layout>
                </c:ext>
                <c:ext xmlns:c16="http://schemas.microsoft.com/office/drawing/2014/chart" uri="{C3380CC4-5D6E-409C-BE32-E72D297353CC}">
                  <c16:uniqueId val="{00000002-B79A-B941-8B79-E96DCDA2D491}"/>
                </c:ext>
              </c:extLst>
            </c:dLbl>
            <c:spPr>
              <a:noFill/>
              <a:ln>
                <a:noFill/>
              </a:ln>
              <a:effectLst>
                <a:outerShdw blurRad="50800" dist="50800" dir="5400000" algn="ctr" rotWithShape="0">
                  <a:schemeClr val="bg2">
                    <a:lumMod val="90000"/>
                  </a:schemeClr>
                </a:outerShdw>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SA"/>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'Property type distribution'!$A$4:$A$10</c:f>
              <c:strCache>
                <c:ptCount val="6"/>
                <c:pt idx="0">
                  <c:v>Apartment</c:v>
                </c:pt>
                <c:pt idx="1">
                  <c:v>Duplex</c:v>
                </c:pt>
                <c:pt idx="2">
                  <c:v>Floor</c:v>
                </c:pt>
                <c:pt idx="3">
                  <c:v>Studio</c:v>
                </c:pt>
                <c:pt idx="4">
                  <c:v>Villa</c:v>
                </c:pt>
                <c:pt idx="5">
                  <c:v>(blank)</c:v>
                </c:pt>
              </c:strCache>
            </c:strRef>
          </c:cat>
          <c:val>
            <c:numRef>
              <c:f>'Property type distribution'!$B$4:$B$10</c:f>
              <c:numCache>
                <c:formatCode>General</c:formatCode>
                <c:ptCount val="6"/>
                <c:pt idx="0">
                  <c:v>467</c:v>
                </c:pt>
                <c:pt idx="1">
                  <c:v>195</c:v>
                </c:pt>
                <c:pt idx="2">
                  <c:v>85</c:v>
                </c:pt>
                <c:pt idx="3">
                  <c:v>127</c:v>
                </c:pt>
                <c:pt idx="4">
                  <c:v>326</c:v>
                </c:pt>
              </c:numCache>
            </c:numRef>
          </c:val>
          <c:extLst>
            <c:ext xmlns:c16="http://schemas.microsoft.com/office/drawing/2014/chart" uri="{C3380CC4-5D6E-409C-BE32-E72D297353CC}">
              <c16:uniqueId val="{00000000-B79A-B941-8B79-E96DCDA2D491}"/>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[riyadh_realestate_dataset_charts.xlsx]Furnished vs unfurnished!PivotTable6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'Furnished vs unfurnished'!$B$3</c:f>
              <c:strCache>
                <c:ptCount val="1"/>
                <c:pt idx="0">
                  <c:v>Total</c:v>
                </c:pt>
              </c:strCache>
            </c:strRef>
          </c:tx>
          <c:spPr>
            <a:solidFill>
              <a:schemeClr val="accent1"/>
            </a:solidFill>
            <a:ln>
              <a:noFill/>
            </a:ln>
            <a:effectLst/>
          </c:spPr>
          <c:invertIfNegative val="0"/>
          <c:cat>
            <c:strRef>
              <c:f>'Furnished vs unfurnished'!$A$4:$A$8</c:f>
              <c:strCache>
                <c:ptCount val="4"/>
                <c:pt idx="0">
                  <c:v>Furnished</c:v>
                </c:pt>
                <c:pt idx="1">
                  <c:v>Semi-furnished</c:v>
                </c:pt>
                <c:pt idx="2">
                  <c:v>Unfurnished</c:v>
                </c:pt>
                <c:pt idx="3">
                  <c:v>(blank)</c:v>
                </c:pt>
              </c:strCache>
            </c:strRef>
          </c:cat>
          <c:val>
            <c:numRef>
              <c:f>'Furnished vs unfurnished'!$B$4:$B$8</c:f>
              <c:numCache>
                <c:formatCode>General</c:formatCode>
                <c:ptCount val="4"/>
                <c:pt idx="0">
                  <c:v>329772000</c:v>
                </c:pt>
                <c:pt idx="1">
                  <c:v>321429000</c:v>
                </c:pt>
                <c:pt idx="2">
                  <c:v>639275000</c:v>
                </c:pt>
              </c:numCache>
            </c:numRef>
          </c:val>
          <c:extLst>
            <c:ext xmlns:c16="http://schemas.microsoft.com/office/drawing/2014/chart" uri="{C3380CC4-5D6E-409C-BE32-E72D297353CC}">
              <c16:uniqueId val="{00000000-10DC-964D-8AE1-562F4C38B678}"/>
            </c:ext>
          </c:extLst>
        </c:ser>
        <c:dLbls>
          <c:showLegendKey val="0"/>
          <c:showVal val="0"/>
          <c:showCatName val="0"/>
          <c:showSerName val="0"/>
          <c:showPercent val="0"/>
          <c:showBubbleSize val="0"/>
        </c:dLbls>
        <c:gapWidth val="219"/>
        <c:overlap val="-27"/>
        <c:axId val="1403991743"/>
        <c:axId val="1403974335"/>
      </c:barChart>
      <c:catAx>
        <c:axId val="140399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403974335"/>
        <c:crosses val="autoZero"/>
        <c:auto val="1"/>
        <c:lblAlgn val="ctr"/>
        <c:lblOffset val="100"/>
        <c:noMultiLvlLbl val="0"/>
      </c:catAx>
      <c:valAx>
        <c:axId val="1403974335"/>
        <c:scaling>
          <c:orientation val="minMax"/>
        </c:scaling>
        <c:delete val="0"/>
        <c:axPos val="l"/>
        <c:majorGridlines>
          <c:spPr>
            <a:ln w="9525" cap="flat" cmpd="sng" algn="ctr">
              <a:solidFill>
                <a:schemeClr val="tx1">
                  <a:lumMod val="15000"/>
                  <a:lumOff val="85000"/>
                </a:schemeClr>
              </a:solidFill>
              <a:round/>
            </a:ln>
            <a:effectLst/>
          </c:spPr>
        </c:majorGridlines>
        <c:numFmt formatCode="&quot;SAR&quot;\ #,##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40399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563018314506695"/>
          <c:y val="3.4321372854914198E-2"/>
          <c:w val="0.68670216666375672"/>
          <c:h val="0.81975579495620765"/>
        </c:manualLayout>
      </c:layout>
      <c:scatterChart>
        <c:scatterStyle val="lineMarker"/>
        <c:varyColors val="0"/>
        <c:ser>
          <c:idx val="0"/>
          <c:order val="0"/>
          <c:tx>
            <c:v>Villa</c:v>
          </c:tx>
          <c:spPr>
            <a:ln w="25400" cap="rnd">
              <a:noFill/>
              <a:round/>
            </a:ln>
            <a:effectLst/>
          </c:spPr>
          <c:marker>
            <c:symbol val="circle"/>
            <c:size val="5"/>
            <c:spPr>
              <a:solidFill>
                <a:schemeClr val="accent1"/>
              </a:solidFill>
              <a:ln w="9525">
                <a:solidFill>
                  <a:schemeClr val="accent1"/>
                </a:solidFill>
              </a:ln>
              <a:effectLst/>
            </c:spPr>
          </c:marker>
          <c:dPt>
            <c:idx val="271"/>
            <c:marker>
              <c:symbol val="circle"/>
              <c:size val="5"/>
              <c:spPr>
                <a:solidFill>
                  <a:schemeClr val="accent1"/>
                </a:solidFill>
                <a:ln w="6350">
                  <a:solidFill>
                    <a:schemeClr val="accent1"/>
                  </a:solidFill>
                </a:ln>
                <a:effectLst/>
              </c:spPr>
            </c:marker>
            <c:bubble3D val="0"/>
            <c:extLst>
              <c:ext xmlns:c16="http://schemas.microsoft.com/office/drawing/2014/chart" uri="{C3380CC4-5D6E-409C-BE32-E72D297353CC}">
                <c16:uniqueId val="{00000005-E68E-A849-803B-7832E31AC732}"/>
              </c:ext>
            </c:extLst>
          </c:dPt>
          <c:xVal>
            <c:strRef>
              <c:f>riyadh_realestate_dataset!$Q:$Q</c:f>
              <c:strCache>
                <c:ptCount val="1201"/>
                <c:pt idx="0">
                  <c:v>Villa_area</c:v>
                </c:pt>
                <c:pt idx="1">
                  <c:v>#N/A</c:v>
                </c:pt>
                <c:pt idx="2">
                  <c:v>#N/A</c:v>
                </c:pt>
                <c:pt idx="3">
                  <c:v>#N/A</c:v>
                </c:pt>
                <c:pt idx="4">
                  <c:v>#N/A</c:v>
                </c:pt>
                <c:pt idx="5">
                  <c:v>546</c:v>
                </c:pt>
                <c:pt idx="6">
                  <c:v>#N/A</c:v>
                </c:pt>
                <c:pt idx="7">
                  <c:v>#N/A</c:v>
                </c:pt>
                <c:pt idx="8">
                  <c:v>#N/A</c:v>
                </c:pt>
                <c:pt idx="9">
                  <c:v>439</c:v>
                </c:pt>
                <c:pt idx="10">
                  <c:v>#N/A</c:v>
                </c:pt>
                <c:pt idx="11">
                  <c:v>#N/A</c:v>
                </c:pt>
                <c:pt idx="12">
                  <c:v>#N/A</c:v>
                </c:pt>
                <c:pt idx="13">
                  <c:v>#N/A</c:v>
                </c:pt>
                <c:pt idx="14">
                  <c:v>#N/A</c:v>
                </c:pt>
                <c:pt idx="15">
                  <c:v>#N/A</c:v>
                </c:pt>
                <c:pt idx="16">
                  <c:v>429</c:v>
                </c:pt>
                <c:pt idx="17">
                  <c:v>#N/A</c:v>
                </c:pt>
                <c:pt idx="18">
                  <c:v>#N/A</c:v>
                </c:pt>
                <c:pt idx="19">
                  <c:v>#N/A</c:v>
                </c:pt>
                <c:pt idx="20">
                  <c:v>#N/A</c:v>
                </c:pt>
                <c:pt idx="21">
                  <c:v>#N/A</c:v>
                </c:pt>
                <c:pt idx="22">
                  <c:v>#N/A</c:v>
                </c:pt>
                <c:pt idx="23">
                  <c:v>#N/A</c:v>
                </c:pt>
                <c:pt idx="24">
                  <c:v>#N/A</c:v>
                </c:pt>
                <c:pt idx="25">
                  <c:v>479</c:v>
                </c:pt>
                <c:pt idx="26">
                  <c:v>#N/A</c:v>
                </c:pt>
                <c:pt idx="27">
                  <c:v>#N/A</c:v>
                </c:pt>
                <c:pt idx="28">
                  <c:v>#N/A</c:v>
                </c:pt>
                <c:pt idx="29">
                  <c:v>383</c:v>
                </c:pt>
                <c:pt idx="30">
                  <c:v>#N/A</c:v>
                </c:pt>
                <c:pt idx="31">
                  <c:v>#N/A</c:v>
                </c:pt>
                <c:pt idx="32">
                  <c:v>#N/A</c:v>
                </c:pt>
                <c:pt idx="33">
                  <c:v>#N/A</c:v>
                </c:pt>
                <c:pt idx="34">
                  <c:v>#N/A</c:v>
                </c:pt>
                <c:pt idx="35">
                  <c:v>#N/A</c:v>
                </c:pt>
                <c:pt idx="36">
                  <c:v>495</c:v>
                </c:pt>
                <c:pt idx="37">
                  <c:v>#N/A</c:v>
                </c:pt>
                <c:pt idx="38">
                  <c:v>395</c:v>
                </c:pt>
                <c:pt idx="39">
                  <c:v>#N/A</c:v>
                </c:pt>
                <c:pt idx="40">
                  <c:v>#N/A</c:v>
                </c:pt>
                <c:pt idx="41">
                  <c:v>485</c:v>
                </c:pt>
                <c:pt idx="42">
                  <c:v>#N/A</c:v>
                </c:pt>
                <c:pt idx="43">
                  <c:v>449</c:v>
                </c:pt>
                <c:pt idx="44">
                  <c:v>368</c:v>
                </c:pt>
                <c:pt idx="45">
                  <c:v>#N/A</c:v>
                </c:pt>
                <c:pt idx="46">
                  <c:v>#N/A</c:v>
                </c:pt>
                <c:pt idx="47">
                  <c:v>427</c:v>
                </c:pt>
                <c:pt idx="48">
                  <c:v>#N/A</c:v>
                </c:pt>
                <c:pt idx="49">
                  <c:v>#N/A</c:v>
                </c:pt>
                <c:pt idx="50">
                  <c:v>449</c:v>
                </c:pt>
                <c:pt idx="51">
                  <c:v>#N/A</c:v>
                </c:pt>
                <c:pt idx="52">
                  <c:v>#N/A</c:v>
                </c:pt>
                <c:pt idx="53">
                  <c:v>#N/A</c:v>
                </c:pt>
                <c:pt idx="54">
                  <c:v>#N/A</c:v>
                </c:pt>
                <c:pt idx="55">
                  <c:v>#N/A</c:v>
                </c:pt>
                <c:pt idx="56">
                  <c:v>#N/A</c:v>
                </c:pt>
                <c:pt idx="57">
                  <c:v>#N/A</c:v>
                </c:pt>
                <c:pt idx="58">
                  <c:v>394</c:v>
                </c:pt>
                <c:pt idx="59">
                  <c:v>444</c:v>
                </c:pt>
                <c:pt idx="60">
                  <c:v>#N/A</c:v>
                </c:pt>
                <c:pt idx="61">
                  <c:v>#N/A</c:v>
                </c:pt>
                <c:pt idx="62">
                  <c:v>386</c:v>
                </c:pt>
                <c:pt idx="63">
                  <c:v>#N/A</c:v>
                </c:pt>
                <c:pt idx="64">
                  <c:v>#N/A</c:v>
                </c:pt>
                <c:pt idx="65">
                  <c:v>#N/A</c:v>
                </c:pt>
                <c:pt idx="66">
                  <c:v>#N/A</c:v>
                </c:pt>
                <c:pt idx="67">
                  <c:v>#N/A</c:v>
                </c:pt>
                <c:pt idx="68">
                  <c:v>#N/A</c:v>
                </c:pt>
                <c:pt idx="69">
                  <c:v>425</c:v>
                </c:pt>
                <c:pt idx="70">
                  <c:v>617</c:v>
                </c:pt>
                <c:pt idx="71">
                  <c:v>405</c:v>
                </c:pt>
                <c:pt idx="72">
                  <c:v>#N/A</c:v>
                </c:pt>
                <c:pt idx="73">
                  <c:v>#N/A</c:v>
                </c:pt>
                <c:pt idx="74">
                  <c:v>#N/A</c:v>
                </c:pt>
                <c:pt idx="75">
                  <c:v>#N/A</c:v>
                </c:pt>
                <c:pt idx="76">
                  <c:v>308</c:v>
                </c:pt>
                <c:pt idx="77">
                  <c:v>#N/A</c:v>
                </c:pt>
                <c:pt idx="78">
                  <c:v>375</c:v>
                </c:pt>
                <c:pt idx="79">
                  <c:v>#N/A</c:v>
                </c:pt>
                <c:pt idx="80">
                  <c:v>#N/A</c:v>
                </c:pt>
                <c:pt idx="81">
                  <c:v>#N/A</c:v>
                </c:pt>
                <c:pt idx="82">
                  <c:v>#N/A</c:v>
                </c:pt>
                <c:pt idx="83">
                  <c:v>357</c:v>
                </c:pt>
                <c:pt idx="84">
                  <c:v>394</c:v>
                </c:pt>
                <c:pt idx="85">
                  <c:v>#N/A</c:v>
                </c:pt>
                <c:pt idx="86">
                  <c:v>#N/A</c:v>
                </c:pt>
                <c:pt idx="87">
                  <c:v>#N/A</c:v>
                </c:pt>
                <c:pt idx="88">
                  <c:v>#N/A</c:v>
                </c:pt>
                <c:pt idx="89">
                  <c:v>441</c:v>
                </c:pt>
                <c:pt idx="90">
                  <c:v>#N/A</c:v>
                </c:pt>
                <c:pt idx="91">
                  <c:v>#N/A</c:v>
                </c:pt>
                <c:pt idx="92">
                  <c:v>#N/A</c:v>
                </c:pt>
                <c:pt idx="93">
                  <c:v>366</c:v>
                </c:pt>
                <c:pt idx="94">
                  <c:v>439</c:v>
                </c:pt>
                <c:pt idx="95">
                  <c:v>#N/A</c:v>
                </c:pt>
                <c:pt idx="96">
                  <c:v>#N/A</c:v>
                </c:pt>
                <c:pt idx="97">
                  <c:v>569</c:v>
                </c:pt>
                <c:pt idx="98">
                  <c:v>458</c:v>
                </c:pt>
                <c:pt idx="99">
                  <c:v>#N/A</c:v>
                </c:pt>
                <c:pt idx="100">
                  <c:v>#N/A</c:v>
                </c:pt>
                <c:pt idx="101">
                  <c:v>497</c:v>
                </c:pt>
                <c:pt idx="102">
                  <c:v>#N/A</c:v>
                </c:pt>
                <c:pt idx="103">
                  <c:v>#N/A</c:v>
                </c:pt>
                <c:pt idx="104">
                  <c:v>360</c:v>
                </c:pt>
                <c:pt idx="105">
                  <c:v>#N/A</c:v>
                </c:pt>
                <c:pt idx="106">
                  <c:v>#N/A</c:v>
                </c:pt>
                <c:pt idx="107">
                  <c:v>#N/A</c:v>
                </c:pt>
                <c:pt idx="108">
                  <c:v>#N/A</c:v>
                </c:pt>
                <c:pt idx="109">
                  <c:v>#N/A</c:v>
                </c:pt>
                <c:pt idx="110">
                  <c:v>#N/A</c:v>
                </c:pt>
                <c:pt idx="111">
                  <c:v>#N/A</c:v>
                </c:pt>
                <c:pt idx="112">
                  <c:v>#N/A</c:v>
                </c:pt>
                <c:pt idx="113">
                  <c:v>#N/A</c:v>
                </c:pt>
                <c:pt idx="114">
                  <c:v>477</c:v>
                </c:pt>
                <c:pt idx="115">
                  <c:v>458</c:v>
                </c:pt>
                <c:pt idx="116">
                  <c:v>#N/A</c:v>
                </c:pt>
                <c:pt idx="117">
                  <c:v>#N/A</c:v>
                </c:pt>
                <c:pt idx="118">
                  <c:v>#N/A</c:v>
                </c:pt>
                <c:pt idx="119">
                  <c:v>#N/A</c:v>
                </c:pt>
                <c:pt idx="120">
                  <c:v>#N/A</c:v>
                </c:pt>
                <c:pt idx="121">
                  <c:v>349</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605</c:v>
                </c:pt>
                <c:pt idx="136">
                  <c:v>#N/A</c:v>
                </c:pt>
                <c:pt idx="137">
                  <c:v>382</c:v>
                </c:pt>
                <c:pt idx="138">
                  <c:v>507</c:v>
                </c:pt>
                <c:pt idx="139">
                  <c:v>#N/A</c:v>
                </c:pt>
                <c:pt idx="140">
                  <c:v>#N/A</c:v>
                </c:pt>
                <c:pt idx="141">
                  <c:v>#N/A</c:v>
                </c:pt>
                <c:pt idx="142">
                  <c:v>#N/A</c:v>
                </c:pt>
                <c:pt idx="143">
                  <c:v>258</c:v>
                </c:pt>
                <c:pt idx="144">
                  <c:v>#N/A</c:v>
                </c:pt>
                <c:pt idx="145">
                  <c:v>#N/A</c:v>
                </c:pt>
                <c:pt idx="146">
                  <c:v>#N/A</c:v>
                </c:pt>
                <c:pt idx="147">
                  <c:v>#N/A</c:v>
                </c:pt>
                <c:pt idx="148">
                  <c:v>#N/A</c:v>
                </c:pt>
                <c:pt idx="149">
                  <c:v>#N/A</c:v>
                </c:pt>
                <c:pt idx="150">
                  <c:v>#N/A</c:v>
                </c:pt>
                <c:pt idx="151">
                  <c:v>319</c:v>
                </c:pt>
                <c:pt idx="152">
                  <c:v>#N/A</c:v>
                </c:pt>
                <c:pt idx="153">
                  <c:v>#N/A</c:v>
                </c:pt>
                <c:pt idx="154">
                  <c:v>503</c:v>
                </c:pt>
                <c:pt idx="155">
                  <c:v>#N/A</c:v>
                </c:pt>
                <c:pt idx="156">
                  <c:v>363</c:v>
                </c:pt>
                <c:pt idx="157">
                  <c:v>#N/A</c:v>
                </c:pt>
                <c:pt idx="158">
                  <c:v>#N/A</c:v>
                </c:pt>
                <c:pt idx="159">
                  <c:v>#N/A</c:v>
                </c:pt>
                <c:pt idx="160">
                  <c:v>#N/A</c:v>
                </c:pt>
                <c:pt idx="161">
                  <c:v>551</c:v>
                </c:pt>
                <c:pt idx="162">
                  <c:v>306</c:v>
                </c:pt>
                <c:pt idx="163">
                  <c:v>#N/A</c:v>
                </c:pt>
                <c:pt idx="164">
                  <c:v>305</c:v>
                </c:pt>
                <c:pt idx="165">
                  <c:v>#N/A</c:v>
                </c:pt>
                <c:pt idx="166">
                  <c:v>#N/A</c:v>
                </c:pt>
                <c:pt idx="167">
                  <c:v>426</c:v>
                </c:pt>
                <c:pt idx="168">
                  <c:v>389</c:v>
                </c:pt>
                <c:pt idx="169">
                  <c:v>#N/A</c:v>
                </c:pt>
                <c:pt idx="170">
                  <c:v>321</c:v>
                </c:pt>
                <c:pt idx="171">
                  <c:v>#N/A</c:v>
                </c:pt>
                <c:pt idx="172">
                  <c:v>#N/A</c:v>
                </c:pt>
                <c:pt idx="173">
                  <c:v>442</c:v>
                </c:pt>
                <c:pt idx="174">
                  <c:v>#N/A</c:v>
                </c:pt>
                <c:pt idx="175">
                  <c:v>#N/A</c:v>
                </c:pt>
                <c:pt idx="176">
                  <c:v>#N/A</c:v>
                </c:pt>
                <c:pt idx="177">
                  <c:v>#N/A</c:v>
                </c:pt>
                <c:pt idx="178">
                  <c:v>#N/A</c:v>
                </c:pt>
                <c:pt idx="179">
                  <c:v>#N/A</c:v>
                </c:pt>
                <c:pt idx="180">
                  <c:v>#N/A</c:v>
                </c:pt>
                <c:pt idx="181">
                  <c:v>418</c:v>
                </c:pt>
                <c:pt idx="182">
                  <c:v>#N/A</c:v>
                </c:pt>
                <c:pt idx="183">
                  <c:v>#N/A</c:v>
                </c:pt>
                <c:pt idx="184">
                  <c:v>#N/A</c:v>
                </c:pt>
                <c:pt idx="185">
                  <c:v>#N/A</c:v>
                </c:pt>
                <c:pt idx="186">
                  <c:v>485</c:v>
                </c:pt>
                <c:pt idx="187">
                  <c:v>#N/A</c:v>
                </c:pt>
                <c:pt idx="188">
                  <c:v>#N/A</c:v>
                </c:pt>
                <c:pt idx="189">
                  <c:v>#N/A</c:v>
                </c:pt>
                <c:pt idx="190">
                  <c:v>#N/A</c:v>
                </c:pt>
                <c:pt idx="191">
                  <c:v>#N/A</c:v>
                </c:pt>
                <c:pt idx="192">
                  <c:v>587</c:v>
                </c:pt>
                <c:pt idx="193">
                  <c:v>#N/A</c:v>
                </c:pt>
                <c:pt idx="194">
                  <c:v>#N/A</c:v>
                </c:pt>
                <c:pt idx="195">
                  <c:v>419</c:v>
                </c:pt>
                <c:pt idx="196">
                  <c:v>#N/A</c:v>
                </c:pt>
                <c:pt idx="197">
                  <c:v>498</c:v>
                </c:pt>
                <c:pt idx="198">
                  <c:v>#N/A</c:v>
                </c:pt>
                <c:pt idx="199">
                  <c:v>#N/A</c:v>
                </c:pt>
                <c:pt idx="200">
                  <c:v>#N/A</c:v>
                </c:pt>
                <c:pt idx="201">
                  <c:v>440</c:v>
                </c:pt>
                <c:pt idx="202">
                  <c:v>#N/A</c:v>
                </c:pt>
                <c:pt idx="203">
                  <c:v>382</c:v>
                </c:pt>
                <c:pt idx="204">
                  <c:v>439</c:v>
                </c:pt>
                <c:pt idx="205">
                  <c:v>#N/A</c:v>
                </c:pt>
                <c:pt idx="206">
                  <c:v>#N/A</c:v>
                </c:pt>
                <c:pt idx="207">
                  <c:v>#N/A</c:v>
                </c:pt>
                <c:pt idx="208">
                  <c:v>#N/A</c:v>
                </c:pt>
                <c:pt idx="209">
                  <c:v>489</c:v>
                </c:pt>
                <c:pt idx="210">
                  <c:v>#N/A</c:v>
                </c:pt>
                <c:pt idx="211">
                  <c:v>#N/A</c:v>
                </c:pt>
                <c:pt idx="212">
                  <c:v>397</c:v>
                </c:pt>
                <c:pt idx="213">
                  <c:v>#N/A</c:v>
                </c:pt>
                <c:pt idx="214">
                  <c:v>#N/A</c:v>
                </c:pt>
                <c:pt idx="215">
                  <c:v>#N/A</c:v>
                </c:pt>
                <c:pt idx="216">
                  <c:v>452</c:v>
                </c:pt>
                <c:pt idx="217">
                  <c:v>#N/A</c:v>
                </c:pt>
                <c:pt idx="218">
                  <c:v>#N/A</c:v>
                </c:pt>
                <c:pt idx="219">
                  <c:v>422</c:v>
                </c:pt>
                <c:pt idx="220">
                  <c:v>460</c:v>
                </c:pt>
                <c:pt idx="221">
                  <c:v>#N/A</c:v>
                </c:pt>
                <c:pt idx="222">
                  <c:v>#N/A</c:v>
                </c:pt>
                <c:pt idx="223">
                  <c:v>#N/A</c:v>
                </c:pt>
                <c:pt idx="224">
                  <c:v>355</c:v>
                </c:pt>
                <c:pt idx="225">
                  <c:v>250</c:v>
                </c:pt>
                <c:pt idx="226">
                  <c:v>#N/A</c:v>
                </c:pt>
                <c:pt idx="227">
                  <c:v>447</c:v>
                </c:pt>
                <c:pt idx="228">
                  <c:v>#N/A</c:v>
                </c:pt>
                <c:pt idx="229">
                  <c:v>348</c:v>
                </c:pt>
                <c:pt idx="230">
                  <c:v>#N/A</c:v>
                </c:pt>
                <c:pt idx="231">
                  <c:v>#N/A</c:v>
                </c:pt>
                <c:pt idx="232">
                  <c:v>#N/A</c:v>
                </c:pt>
                <c:pt idx="233">
                  <c:v>#N/A</c:v>
                </c:pt>
                <c:pt idx="234">
                  <c:v>382</c:v>
                </c:pt>
                <c:pt idx="235">
                  <c:v>283</c:v>
                </c:pt>
                <c:pt idx="236">
                  <c:v>#N/A</c:v>
                </c:pt>
                <c:pt idx="237">
                  <c:v>#N/A</c:v>
                </c:pt>
                <c:pt idx="238">
                  <c:v>519</c:v>
                </c:pt>
                <c:pt idx="239">
                  <c:v>#N/A</c:v>
                </c:pt>
                <c:pt idx="240">
                  <c:v>#N/A</c:v>
                </c:pt>
                <c:pt idx="241">
                  <c:v>384</c:v>
                </c:pt>
                <c:pt idx="242">
                  <c:v>#N/A</c:v>
                </c:pt>
                <c:pt idx="243">
                  <c:v>430</c:v>
                </c:pt>
                <c:pt idx="244">
                  <c:v>461</c:v>
                </c:pt>
                <c:pt idx="245">
                  <c:v>#N/A</c:v>
                </c:pt>
                <c:pt idx="246">
                  <c:v>#N/A</c:v>
                </c:pt>
                <c:pt idx="247">
                  <c:v>#N/A</c:v>
                </c:pt>
                <c:pt idx="248">
                  <c:v>#N/A</c:v>
                </c:pt>
                <c:pt idx="249">
                  <c:v>#N/A</c:v>
                </c:pt>
                <c:pt idx="250">
                  <c:v>#N/A</c:v>
                </c:pt>
                <c:pt idx="251">
                  <c:v>472</c:v>
                </c:pt>
                <c:pt idx="252">
                  <c:v>#N/A</c:v>
                </c:pt>
                <c:pt idx="253">
                  <c:v>505</c:v>
                </c:pt>
                <c:pt idx="254">
                  <c:v>279</c:v>
                </c:pt>
                <c:pt idx="255">
                  <c:v>398</c:v>
                </c:pt>
                <c:pt idx="256">
                  <c:v>477</c:v>
                </c:pt>
                <c:pt idx="257">
                  <c:v>550</c:v>
                </c:pt>
                <c:pt idx="258">
                  <c:v>310</c:v>
                </c:pt>
                <c:pt idx="259">
                  <c:v>#N/A</c:v>
                </c:pt>
                <c:pt idx="260">
                  <c:v>#N/A</c:v>
                </c:pt>
                <c:pt idx="261">
                  <c:v>#N/A</c:v>
                </c:pt>
                <c:pt idx="262">
                  <c:v>#N/A</c:v>
                </c:pt>
                <c:pt idx="263">
                  <c:v>#N/A</c:v>
                </c:pt>
                <c:pt idx="264">
                  <c:v>#N/A</c:v>
                </c:pt>
                <c:pt idx="265">
                  <c:v>415</c:v>
                </c:pt>
                <c:pt idx="266">
                  <c:v>#N/A</c:v>
                </c:pt>
                <c:pt idx="267">
                  <c:v>#N/A</c:v>
                </c:pt>
                <c:pt idx="268">
                  <c:v>357</c:v>
                </c:pt>
                <c:pt idx="269">
                  <c:v>#N/A</c:v>
                </c:pt>
                <c:pt idx="270">
                  <c:v>#N/A</c:v>
                </c:pt>
                <c:pt idx="271">
                  <c:v>577</c:v>
                </c:pt>
                <c:pt idx="272">
                  <c:v>#N/A</c:v>
                </c:pt>
                <c:pt idx="273">
                  <c:v>#N/A</c:v>
                </c:pt>
                <c:pt idx="274">
                  <c:v>#N/A</c:v>
                </c:pt>
                <c:pt idx="275">
                  <c:v>#N/A</c:v>
                </c:pt>
                <c:pt idx="276">
                  <c:v>#N/A</c:v>
                </c:pt>
                <c:pt idx="277">
                  <c:v>#N/A</c:v>
                </c:pt>
                <c:pt idx="278">
                  <c:v>374</c:v>
                </c:pt>
                <c:pt idx="279">
                  <c:v>#N/A</c:v>
                </c:pt>
                <c:pt idx="280">
                  <c:v>#N/A</c:v>
                </c:pt>
                <c:pt idx="281">
                  <c:v>466</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308</c:v>
                </c:pt>
                <c:pt idx="298">
                  <c:v>#N/A</c:v>
                </c:pt>
                <c:pt idx="299">
                  <c:v>#N/A</c:v>
                </c:pt>
                <c:pt idx="300">
                  <c:v>381</c:v>
                </c:pt>
                <c:pt idx="301">
                  <c:v>#N/A</c:v>
                </c:pt>
                <c:pt idx="302">
                  <c:v>#N/A</c:v>
                </c:pt>
                <c:pt idx="303">
                  <c:v>#N/A</c:v>
                </c:pt>
                <c:pt idx="304">
                  <c:v>#N/A</c:v>
                </c:pt>
                <c:pt idx="305">
                  <c:v>374</c:v>
                </c:pt>
                <c:pt idx="306">
                  <c:v>#N/A</c:v>
                </c:pt>
                <c:pt idx="307">
                  <c:v>428</c:v>
                </c:pt>
                <c:pt idx="308">
                  <c:v>#N/A</c:v>
                </c:pt>
                <c:pt idx="309">
                  <c:v>#N/A</c:v>
                </c:pt>
                <c:pt idx="310">
                  <c:v>#N/A</c:v>
                </c:pt>
                <c:pt idx="311">
                  <c:v>#N/A</c:v>
                </c:pt>
                <c:pt idx="312">
                  <c:v>424</c:v>
                </c:pt>
                <c:pt idx="313">
                  <c:v>471</c:v>
                </c:pt>
                <c:pt idx="314">
                  <c:v>#N/A</c:v>
                </c:pt>
                <c:pt idx="315">
                  <c:v>#N/A</c:v>
                </c:pt>
                <c:pt idx="316">
                  <c:v>#N/A</c:v>
                </c:pt>
                <c:pt idx="317">
                  <c:v>501</c:v>
                </c:pt>
                <c:pt idx="318">
                  <c:v>#N/A</c:v>
                </c:pt>
                <c:pt idx="319">
                  <c:v>#N/A</c:v>
                </c:pt>
                <c:pt idx="320">
                  <c:v>#N/A</c:v>
                </c:pt>
                <c:pt idx="321">
                  <c:v>#N/A</c:v>
                </c:pt>
                <c:pt idx="322">
                  <c:v>404</c:v>
                </c:pt>
                <c:pt idx="323">
                  <c:v>#N/A</c:v>
                </c:pt>
                <c:pt idx="324">
                  <c:v>372</c:v>
                </c:pt>
                <c:pt idx="325">
                  <c:v>#N/A</c:v>
                </c:pt>
                <c:pt idx="326">
                  <c:v>#N/A</c:v>
                </c:pt>
                <c:pt idx="327">
                  <c:v>447</c:v>
                </c:pt>
                <c:pt idx="328">
                  <c:v>#N/A</c:v>
                </c:pt>
                <c:pt idx="329">
                  <c:v>#N/A</c:v>
                </c:pt>
                <c:pt idx="330">
                  <c:v>#N/A</c:v>
                </c:pt>
                <c:pt idx="331">
                  <c:v>490</c:v>
                </c:pt>
                <c:pt idx="332">
                  <c:v>#N/A</c:v>
                </c:pt>
                <c:pt idx="333">
                  <c:v>#N/A</c:v>
                </c:pt>
                <c:pt idx="334">
                  <c:v>#N/A</c:v>
                </c:pt>
                <c:pt idx="335">
                  <c:v>#N/A</c:v>
                </c:pt>
                <c:pt idx="336">
                  <c:v>#N/A</c:v>
                </c:pt>
                <c:pt idx="337">
                  <c:v>#N/A</c:v>
                </c:pt>
                <c:pt idx="338">
                  <c:v>243</c:v>
                </c:pt>
                <c:pt idx="339">
                  <c:v>#N/A</c:v>
                </c:pt>
                <c:pt idx="340">
                  <c:v>512</c:v>
                </c:pt>
                <c:pt idx="341">
                  <c:v>471</c:v>
                </c:pt>
                <c:pt idx="342">
                  <c:v>602</c:v>
                </c:pt>
                <c:pt idx="343">
                  <c:v>#N/A</c:v>
                </c:pt>
                <c:pt idx="344">
                  <c:v>352</c:v>
                </c:pt>
                <c:pt idx="345">
                  <c:v>426</c:v>
                </c:pt>
                <c:pt idx="346">
                  <c:v>#N/A</c:v>
                </c:pt>
                <c:pt idx="347">
                  <c:v>503</c:v>
                </c:pt>
                <c:pt idx="348">
                  <c:v>#N/A</c:v>
                </c:pt>
                <c:pt idx="349">
                  <c:v>#N/A</c:v>
                </c:pt>
                <c:pt idx="350">
                  <c:v>#N/A</c:v>
                </c:pt>
                <c:pt idx="351">
                  <c:v>#N/A</c:v>
                </c:pt>
                <c:pt idx="352">
                  <c:v>#N/A</c:v>
                </c:pt>
                <c:pt idx="353">
                  <c:v>453</c:v>
                </c:pt>
                <c:pt idx="354">
                  <c:v>#N/A</c:v>
                </c:pt>
                <c:pt idx="355">
                  <c:v>#N/A</c:v>
                </c:pt>
                <c:pt idx="356">
                  <c:v>540</c:v>
                </c:pt>
                <c:pt idx="357">
                  <c:v>#N/A</c:v>
                </c:pt>
                <c:pt idx="358">
                  <c:v>330</c:v>
                </c:pt>
                <c:pt idx="359">
                  <c:v>#N/A</c:v>
                </c:pt>
                <c:pt idx="360">
                  <c:v>478</c:v>
                </c:pt>
                <c:pt idx="361">
                  <c:v>#N/A</c:v>
                </c:pt>
                <c:pt idx="362">
                  <c:v>#N/A</c:v>
                </c:pt>
                <c:pt idx="363">
                  <c:v>#N/A</c:v>
                </c:pt>
                <c:pt idx="364">
                  <c:v>#N/A</c:v>
                </c:pt>
                <c:pt idx="365">
                  <c:v>#N/A</c:v>
                </c:pt>
                <c:pt idx="366">
                  <c:v>#N/A</c:v>
                </c:pt>
                <c:pt idx="367">
                  <c:v>#N/A</c:v>
                </c:pt>
                <c:pt idx="368">
                  <c:v>#N/A</c:v>
                </c:pt>
                <c:pt idx="369">
                  <c:v>#N/A</c:v>
                </c:pt>
                <c:pt idx="370">
                  <c:v>386</c:v>
                </c:pt>
                <c:pt idx="371">
                  <c:v>#N/A</c:v>
                </c:pt>
                <c:pt idx="372">
                  <c:v>#N/A</c:v>
                </c:pt>
                <c:pt idx="373">
                  <c:v>#N/A</c:v>
                </c:pt>
                <c:pt idx="374">
                  <c:v>#N/A</c:v>
                </c:pt>
                <c:pt idx="375">
                  <c:v>#N/A</c:v>
                </c:pt>
                <c:pt idx="376">
                  <c:v>300</c:v>
                </c:pt>
                <c:pt idx="377">
                  <c:v>#N/A</c:v>
                </c:pt>
                <c:pt idx="378">
                  <c:v>416</c:v>
                </c:pt>
                <c:pt idx="379">
                  <c:v>#N/A</c:v>
                </c:pt>
                <c:pt idx="380">
                  <c:v>#N/A</c:v>
                </c:pt>
                <c:pt idx="381">
                  <c:v>398</c:v>
                </c:pt>
                <c:pt idx="382">
                  <c:v>#N/A</c:v>
                </c:pt>
                <c:pt idx="383">
                  <c:v>#N/A</c:v>
                </c:pt>
                <c:pt idx="384">
                  <c:v>#N/A</c:v>
                </c:pt>
                <c:pt idx="385">
                  <c:v>436</c:v>
                </c:pt>
                <c:pt idx="386">
                  <c:v>#N/A</c:v>
                </c:pt>
                <c:pt idx="387">
                  <c:v>417</c:v>
                </c:pt>
                <c:pt idx="388">
                  <c:v>377</c:v>
                </c:pt>
                <c:pt idx="389">
                  <c:v>#N/A</c:v>
                </c:pt>
                <c:pt idx="390">
                  <c:v>#N/A</c:v>
                </c:pt>
                <c:pt idx="391">
                  <c:v>520</c:v>
                </c:pt>
                <c:pt idx="392">
                  <c:v>#N/A</c:v>
                </c:pt>
                <c:pt idx="393">
                  <c:v>307</c:v>
                </c:pt>
                <c:pt idx="394">
                  <c:v>#N/A</c:v>
                </c:pt>
                <c:pt idx="395">
                  <c:v>#N/A</c:v>
                </c:pt>
                <c:pt idx="396">
                  <c:v>#N/A</c:v>
                </c:pt>
                <c:pt idx="397">
                  <c:v>#N/A</c:v>
                </c:pt>
                <c:pt idx="398">
                  <c:v>330</c:v>
                </c:pt>
                <c:pt idx="399">
                  <c:v>378</c:v>
                </c:pt>
                <c:pt idx="400">
                  <c:v>#N/A</c:v>
                </c:pt>
                <c:pt idx="401">
                  <c:v>#N/A</c:v>
                </c:pt>
                <c:pt idx="402">
                  <c:v>#N/A</c:v>
                </c:pt>
                <c:pt idx="403">
                  <c:v>#N/A</c:v>
                </c:pt>
                <c:pt idx="404">
                  <c:v>#N/A</c:v>
                </c:pt>
                <c:pt idx="405">
                  <c:v>#N/A</c:v>
                </c:pt>
                <c:pt idx="406">
                  <c:v>#N/A</c:v>
                </c:pt>
                <c:pt idx="407">
                  <c:v>#N/A</c:v>
                </c:pt>
                <c:pt idx="408">
                  <c:v>320</c:v>
                </c:pt>
                <c:pt idx="409">
                  <c:v>378</c:v>
                </c:pt>
                <c:pt idx="410">
                  <c:v>504</c:v>
                </c:pt>
                <c:pt idx="411">
                  <c:v>#N/A</c:v>
                </c:pt>
                <c:pt idx="412">
                  <c:v>#N/A</c:v>
                </c:pt>
                <c:pt idx="413">
                  <c:v>#N/A</c:v>
                </c:pt>
                <c:pt idx="414">
                  <c:v>556</c:v>
                </c:pt>
                <c:pt idx="415">
                  <c:v>#N/A</c:v>
                </c:pt>
                <c:pt idx="416">
                  <c:v>#N/A</c:v>
                </c:pt>
                <c:pt idx="417">
                  <c:v>429</c:v>
                </c:pt>
                <c:pt idx="418">
                  <c:v>#N/A</c:v>
                </c:pt>
                <c:pt idx="419">
                  <c:v>#N/A</c:v>
                </c:pt>
                <c:pt idx="420">
                  <c:v>#N/A</c:v>
                </c:pt>
                <c:pt idx="421">
                  <c:v>#N/A</c:v>
                </c:pt>
                <c:pt idx="422">
                  <c:v>#N/A</c:v>
                </c:pt>
                <c:pt idx="423">
                  <c:v>#N/A</c:v>
                </c:pt>
                <c:pt idx="424">
                  <c:v>#N/A</c:v>
                </c:pt>
                <c:pt idx="425">
                  <c:v>#N/A</c:v>
                </c:pt>
                <c:pt idx="426">
                  <c:v>342</c:v>
                </c:pt>
                <c:pt idx="427">
                  <c:v>#N/A</c:v>
                </c:pt>
                <c:pt idx="428">
                  <c:v>#N/A</c:v>
                </c:pt>
                <c:pt idx="429">
                  <c:v>#N/A</c:v>
                </c:pt>
                <c:pt idx="430">
                  <c:v>#N/A</c:v>
                </c:pt>
                <c:pt idx="431">
                  <c:v>#N/A</c:v>
                </c:pt>
                <c:pt idx="432">
                  <c:v>318</c:v>
                </c:pt>
                <c:pt idx="433">
                  <c:v>#N/A</c:v>
                </c:pt>
                <c:pt idx="434">
                  <c:v>362</c:v>
                </c:pt>
                <c:pt idx="435">
                  <c:v>#N/A</c:v>
                </c:pt>
                <c:pt idx="436">
                  <c:v>307</c:v>
                </c:pt>
                <c:pt idx="437">
                  <c:v>#N/A</c:v>
                </c:pt>
                <c:pt idx="438">
                  <c:v>504</c:v>
                </c:pt>
                <c:pt idx="439">
                  <c:v>#N/A</c:v>
                </c:pt>
                <c:pt idx="440">
                  <c:v>#N/A</c:v>
                </c:pt>
                <c:pt idx="441">
                  <c:v>374</c:v>
                </c:pt>
                <c:pt idx="442">
                  <c:v>#N/A</c:v>
                </c:pt>
                <c:pt idx="443">
                  <c:v>#N/A</c:v>
                </c:pt>
                <c:pt idx="444">
                  <c:v>#N/A</c:v>
                </c:pt>
                <c:pt idx="445">
                  <c:v>417</c:v>
                </c:pt>
                <c:pt idx="446">
                  <c:v>562</c:v>
                </c:pt>
                <c:pt idx="447">
                  <c:v>#N/A</c:v>
                </c:pt>
                <c:pt idx="448">
                  <c:v>#N/A</c:v>
                </c:pt>
                <c:pt idx="449">
                  <c:v>#N/A</c:v>
                </c:pt>
                <c:pt idx="450">
                  <c:v>#N/A</c:v>
                </c:pt>
                <c:pt idx="451">
                  <c:v>#N/A</c:v>
                </c:pt>
                <c:pt idx="452">
                  <c:v>470</c:v>
                </c:pt>
                <c:pt idx="453">
                  <c:v>#N/A</c:v>
                </c:pt>
                <c:pt idx="454">
                  <c:v>#N/A</c:v>
                </c:pt>
                <c:pt idx="455">
                  <c:v>#N/A</c:v>
                </c:pt>
                <c:pt idx="456">
                  <c:v>#N/A</c:v>
                </c:pt>
                <c:pt idx="457">
                  <c:v>#N/A</c:v>
                </c:pt>
                <c:pt idx="458">
                  <c:v>#N/A</c:v>
                </c:pt>
                <c:pt idx="459">
                  <c:v>#N/A</c:v>
                </c:pt>
                <c:pt idx="460">
                  <c:v>504</c:v>
                </c:pt>
                <c:pt idx="461">
                  <c:v>#N/A</c:v>
                </c:pt>
                <c:pt idx="462">
                  <c:v>475</c:v>
                </c:pt>
                <c:pt idx="463">
                  <c:v>495</c:v>
                </c:pt>
                <c:pt idx="464">
                  <c:v>#N/A</c:v>
                </c:pt>
                <c:pt idx="465">
                  <c:v>#N/A</c:v>
                </c:pt>
                <c:pt idx="466">
                  <c:v>#N/A</c:v>
                </c:pt>
                <c:pt idx="467">
                  <c:v>#N/A</c:v>
                </c:pt>
                <c:pt idx="468">
                  <c:v>348</c:v>
                </c:pt>
                <c:pt idx="469">
                  <c:v>#N/A</c:v>
                </c:pt>
                <c:pt idx="470">
                  <c:v>#N/A</c:v>
                </c:pt>
                <c:pt idx="471">
                  <c:v>#N/A</c:v>
                </c:pt>
                <c:pt idx="472">
                  <c:v>#N/A</c:v>
                </c:pt>
                <c:pt idx="473">
                  <c:v>#N/A</c:v>
                </c:pt>
                <c:pt idx="474">
                  <c:v>505</c:v>
                </c:pt>
                <c:pt idx="475">
                  <c:v>379</c:v>
                </c:pt>
                <c:pt idx="476">
                  <c:v>#N/A</c:v>
                </c:pt>
                <c:pt idx="477">
                  <c:v>384</c:v>
                </c:pt>
                <c:pt idx="478">
                  <c:v>#N/A</c:v>
                </c:pt>
                <c:pt idx="479">
                  <c:v>#N/A</c:v>
                </c:pt>
                <c:pt idx="480">
                  <c:v>#N/A</c:v>
                </c:pt>
                <c:pt idx="481">
                  <c:v>#N/A</c:v>
                </c:pt>
                <c:pt idx="482">
                  <c:v>#N/A</c:v>
                </c:pt>
                <c:pt idx="483">
                  <c:v>417</c:v>
                </c:pt>
                <c:pt idx="484">
                  <c:v>439</c:v>
                </c:pt>
                <c:pt idx="485">
                  <c:v>#N/A</c:v>
                </c:pt>
                <c:pt idx="486">
                  <c:v>403</c:v>
                </c:pt>
                <c:pt idx="487">
                  <c:v>#N/A</c:v>
                </c:pt>
                <c:pt idx="488">
                  <c:v>451</c:v>
                </c:pt>
                <c:pt idx="489">
                  <c:v>#N/A</c:v>
                </c:pt>
                <c:pt idx="490">
                  <c:v>#N/A</c:v>
                </c:pt>
                <c:pt idx="491">
                  <c:v>369</c:v>
                </c:pt>
                <c:pt idx="492">
                  <c:v>#N/A</c:v>
                </c:pt>
                <c:pt idx="493">
                  <c:v>369</c:v>
                </c:pt>
                <c:pt idx="494">
                  <c:v>#N/A</c:v>
                </c:pt>
                <c:pt idx="495">
                  <c:v>#N/A</c:v>
                </c:pt>
                <c:pt idx="496">
                  <c:v>#N/A</c:v>
                </c:pt>
                <c:pt idx="497">
                  <c:v>376</c:v>
                </c:pt>
                <c:pt idx="498">
                  <c:v>471</c:v>
                </c:pt>
                <c:pt idx="499">
                  <c:v>#N/A</c:v>
                </c:pt>
                <c:pt idx="500">
                  <c:v>564</c:v>
                </c:pt>
                <c:pt idx="501">
                  <c:v>#N/A</c:v>
                </c:pt>
                <c:pt idx="502">
                  <c:v>#N/A</c:v>
                </c:pt>
                <c:pt idx="503">
                  <c:v>#N/A</c:v>
                </c:pt>
                <c:pt idx="504">
                  <c:v>#N/A</c:v>
                </c:pt>
                <c:pt idx="505">
                  <c:v>#N/A</c:v>
                </c:pt>
                <c:pt idx="506">
                  <c:v>#N/A</c:v>
                </c:pt>
                <c:pt idx="507">
                  <c:v>#N/A</c:v>
                </c:pt>
                <c:pt idx="508">
                  <c:v>564</c:v>
                </c:pt>
                <c:pt idx="509">
                  <c:v>#N/A</c:v>
                </c:pt>
                <c:pt idx="510">
                  <c:v>#N/A</c:v>
                </c:pt>
                <c:pt idx="511">
                  <c:v>#N/A</c:v>
                </c:pt>
                <c:pt idx="512">
                  <c:v>#N/A</c:v>
                </c:pt>
                <c:pt idx="513">
                  <c:v>#N/A</c:v>
                </c:pt>
                <c:pt idx="514">
                  <c:v>#N/A</c:v>
                </c:pt>
                <c:pt idx="515">
                  <c:v>#N/A</c:v>
                </c:pt>
                <c:pt idx="516">
                  <c:v>509</c:v>
                </c:pt>
                <c:pt idx="517">
                  <c:v>#N/A</c:v>
                </c:pt>
                <c:pt idx="518">
                  <c:v>#N/A</c:v>
                </c:pt>
                <c:pt idx="519">
                  <c:v>#N/A</c:v>
                </c:pt>
                <c:pt idx="520">
                  <c:v>#N/A</c:v>
                </c:pt>
                <c:pt idx="521">
                  <c:v>#N/A</c:v>
                </c:pt>
                <c:pt idx="522">
                  <c:v>#N/A</c:v>
                </c:pt>
                <c:pt idx="523">
                  <c:v>#N/A</c:v>
                </c:pt>
                <c:pt idx="524">
                  <c:v>#N/A</c:v>
                </c:pt>
                <c:pt idx="525">
                  <c:v>435</c:v>
                </c:pt>
                <c:pt idx="526">
                  <c:v>#N/A</c:v>
                </c:pt>
                <c:pt idx="527">
                  <c:v>#N/A</c:v>
                </c:pt>
                <c:pt idx="528">
                  <c:v>593</c:v>
                </c:pt>
                <c:pt idx="529">
                  <c:v>#N/A</c:v>
                </c:pt>
                <c:pt idx="530">
                  <c:v>546</c:v>
                </c:pt>
                <c:pt idx="531">
                  <c:v>#N/A</c:v>
                </c:pt>
                <c:pt idx="532">
                  <c:v>#N/A</c:v>
                </c:pt>
                <c:pt idx="533">
                  <c:v>#N/A</c:v>
                </c:pt>
                <c:pt idx="534">
                  <c:v>#N/A</c:v>
                </c:pt>
                <c:pt idx="535">
                  <c:v>#N/A</c:v>
                </c:pt>
                <c:pt idx="536">
                  <c:v>364</c:v>
                </c:pt>
                <c:pt idx="537">
                  <c:v>375</c:v>
                </c:pt>
                <c:pt idx="538">
                  <c:v>#N/A</c:v>
                </c:pt>
                <c:pt idx="539">
                  <c:v>#N/A</c:v>
                </c:pt>
                <c:pt idx="540">
                  <c:v>#N/A</c:v>
                </c:pt>
                <c:pt idx="541">
                  <c:v>#N/A</c:v>
                </c:pt>
                <c:pt idx="542">
                  <c:v>244</c:v>
                </c:pt>
                <c:pt idx="543">
                  <c:v>#N/A</c:v>
                </c:pt>
                <c:pt idx="544">
                  <c:v>477</c:v>
                </c:pt>
                <c:pt idx="545">
                  <c:v>#N/A</c:v>
                </c:pt>
                <c:pt idx="546">
                  <c:v>#N/A</c:v>
                </c:pt>
                <c:pt idx="547">
                  <c:v>#N/A</c:v>
                </c:pt>
                <c:pt idx="548">
                  <c:v>#N/A</c:v>
                </c:pt>
                <c:pt idx="549">
                  <c:v>#N/A</c:v>
                </c:pt>
                <c:pt idx="550">
                  <c:v>#N/A</c:v>
                </c:pt>
                <c:pt idx="551">
                  <c:v>#N/A</c:v>
                </c:pt>
                <c:pt idx="552">
                  <c:v>#N/A</c:v>
                </c:pt>
                <c:pt idx="553">
                  <c:v>#N/A</c:v>
                </c:pt>
                <c:pt idx="554">
                  <c:v>536</c:v>
                </c:pt>
                <c:pt idx="555">
                  <c:v>#N/A</c:v>
                </c:pt>
                <c:pt idx="556">
                  <c:v>#N/A</c:v>
                </c:pt>
                <c:pt idx="557">
                  <c:v>471</c:v>
                </c:pt>
                <c:pt idx="558">
                  <c:v>#N/A</c:v>
                </c:pt>
                <c:pt idx="559">
                  <c:v>#N/A</c:v>
                </c:pt>
                <c:pt idx="560">
                  <c:v>477</c:v>
                </c:pt>
                <c:pt idx="561">
                  <c:v>#N/A</c:v>
                </c:pt>
                <c:pt idx="562">
                  <c:v>#N/A</c:v>
                </c:pt>
                <c:pt idx="563">
                  <c:v>#N/A</c:v>
                </c:pt>
                <c:pt idx="564">
                  <c:v>#N/A</c:v>
                </c:pt>
                <c:pt idx="565">
                  <c:v>384</c:v>
                </c:pt>
                <c:pt idx="566">
                  <c:v>269</c:v>
                </c:pt>
                <c:pt idx="567">
                  <c:v>#N/A</c:v>
                </c:pt>
                <c:pt idx="568">
                  <c:v>#N/A</c:v>
                </c:pt>
                <c:pt idx="569">
                  <c:v>483</c:v>
                </c:pt>
                <c:pt idx="570">
                  <c:v>#N/A</c:v>
                </c:pt>
                <c:pt idx="571">
                  <c:v>#N/A</c:v>
                </c:pt>
                <c:pt idx="572">
                  <c:v>#N/A</c:v>
                </c:pt>
                <c:pt idx="573">
                  <c:v>#N/A</c:v>
                </c:pt>
                <c:pt idx="574">
                  <c:v>#N/A</c:v>
                </c:pt>
                <c:pt idx="575">
                  <c:v>402</c:v>
                </c:pt>
                <c:pt idx="576">
                  <c:v>422</c:v>
                </c:pt>
                <c:pt idx="577">
                  <c:v>#N/A</c:v>
                </c:pt>
                <c:pt idx="578">
                  <c:v>#N/A</c:v>
                </c:pt>
                <c:pt idx="579">
                  <c:v>#N/A</c:v>
                </c:pt>
                <c:pt idx="580">
                  <c:v>398</c:v>
                </c:pt>
                <c:pt idx="581">
                  <c:v>#N/A</c:v>
                </c:pt>
                <c:pt idx="582">
                  <c:v>#N/A</c:v>
                </c:pt>
                <c:pt idx="583">
                  <c:v>#N/A</c:v>
                </c:pt>
                <c:pt idx="584">
                  <c:v>#N/A</c:v>
                </c:pt>
                <c:pt idx="585">
                  <c:v>#N/A</c:v>
                </c:pt>
                <c:pt idx="586">
                  <c:v>#N/A</c:v>
                </c:pt>
                <c:pt idx="587">
                  <c:v>492</c:v>
                </c:pt>
                <c:pt idx="588">
                  <c:v>471</c:v>
                </c:pt>
                <c:pt idx="589">
                  <c:v>#N/A</c:v>
                </c:pt>
                <c:pt idx="590">
                  <c:v>#N/A</c:v>
                </c:pt>
                <c:pt idx="591">
                  <c:v>#N/A</c:v>
                </c:pt>
                <c:pt idx="592">
                  <c:v>436</c:v>
                </c:pt>
                <c:pt idx="593">
                  <c:v>368</c:v>
                </c:pt>
                <c:pt idx="594">
                  <c:v>#N/A</c:v>
                </c:pt>
                <c:pt idx="595">
                  <c:v>462</c:v>
                </c:pt>
                <c:pt idx="596">
                  <c:v>#N/A</c:v>
                </c:pt>
                <c:pt idx="597">
                  <c:v>#N/A</c:v>
                </c:pt>
                <c:pt idx="598">
                  <c:v>#N/A</c:v>
                </c:pt>
                <c:pt idx="599">
                  <c:v>#N/A</c:v>
                </c:pt>
                <c:pt idx="600">
                  <c:v>430</c:v>
                </c:pt>
                <c:pt idx="601">
                  <c:v>399</c:v>
                </c:pt>
                <c:pt idx="602">
                  <c:v>#N/A</c:v>
                </c:pt>
                <c:pt idx="603">
                  <c:v>#N/A</c:v>
                </c:pt>
                <c:pt idx="604">
                  <c:v>#N/A</c:v>
                </c:pt>
                <c:pt idx="605">
                  <c:v>438</c:v>
                </c:pt>
                <c:pt idx="606">
                  <c:v>#N/A</c:v>
                </c:pt>
                <c:pt idx="607">
                  <c:v>#N/A</c:v>
                </c:pt>
                <c:pt idx="608">
                  <c:v>417</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416</c:v>
                </c:pt>
                <c:pt idx="624">
                  <c:v>#N/A</c:v>
                </c:pt>
                <c:pt idx="625">
                  <c:v>#N/A</c:v>
                </c:pt>
                <c:pt idx="626">
                  <c:v>317</c:v>
                </c:pt>
                <c:pt idx="627">
                  <c:v>#N/A</c:v>
                </c:pt>
                <c:pt idx="628">
                  <c:v>#N/A</c:v>
                </c:pt>
                <c:pt idx="629">
                  <c:v>#N/A</c:v>
                </c:pt>
                <c:pt idx="630">
                  <c:v>392</c:v>
                </c:pt>
                <c:pt idx="631">
                  <c:v>#N/A</c:v>
                </c:pt>
                <c:pt idx="632">
                  <c:v>586</c:v>
                </c:pt>
                <c:pt idx="633">
                  <c:v>#N/A</c:v>
                </c:pt>
                <c:pt idx="634">
                  <c:v>#N/A</c:v>
                </c:pt>
                <c:pt idx="635">
                  <c:v>#N/A</c:v>
                </c:pt>
                <c:pt idx="636">
                  <c:v>#N/A</c:v>
                </c:pt>
                <c:pt idx="637">
                  <c:v>#N/A</c:v>
                </c:pt>
                <c:pt idx="638">
                  <c:v>#N/A</c:v>
                </c:pt>
                <c:pt idx="639">
                  <c:v>#N/A</c:v>
                </c:pt>
                <c:pt idx="640">
                  <c:v>#N/A</c:v>
                </c:pt>
                <c:pt idx="641">
                  <c:v>#N/A</c:v>
                </c:pt>
                <c:pt idx="642">
                  <c:v>409</c:v>
                </c:pt>
                <c:pt idx="643">
                  <c:v>#N/A</c:v>
                </c:pt>
                <c:pt idx="644">
                  <c:v>337</c:v>
                </c:pt>
                <c:pt idx="645">
                  <c:v>#N/A</c:v>
                </c:pt>
                <c:pt idx="646">
                  <c:v>573</c:v>
                </c:pt>
                <c:pt idx="647">
                  <c:v>490</c:v>
                </c:pt>
                <c:pt idx="648">
                  <c:v>#N/A</c:v>
                </c:pt>
                <c:pt idx="649">
                  <c:v>#N/A</c:v>
                </c:pt>
                <c:pt idx="650">
                  <c:v>#N/A</c:v>
                </c:pt>
                <c:pt idx="651">
                  <c:v>508</c:v>
                </c:pt>
                <c:pt idx="652">
                  <c:v>#N/A</c:v>
                </c:pt>
                <c:pt idx="653">
                  <c:v>#N/A</c:v>
                </c:pt>
                <c:pt idx="654">
                  <c:v>328</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314</c:v>
                </c:pt>
                <c:pt idx="669">
                  <c:v>#N/A</c:v>
                </c:pt>
                <c:pt idx="670">
                  <c:v>501</c:v>
                </c:pt>
                <c:pt idx="671">
                  <c:v>#N/A</c:v>
                </c:pt>
                <c:pt idx="672">
                  <c:v>#N/A</c:v>
                </c:pt>
                <c:pt idx="673">
                  <c:v>309</c:v>
                </c:pt>
                <c:pt idx="674">
                  <c:v>#N/A</c:v>
                </c:pt>
                <c:pt idx="675">
                  <c:v>#N/A</c:v>
                </c:pt>
                <c:pt idx="676">
                  <c:v>#N/A</c:v>
                </c:pt>
                <c:pt idx="677">
                  <c:v>#N/A</c:v>
                </c:pt>
                <c:pt idx="678">
                  <c:v>#N/A</c:v>
                </c:pt>
                <c:pt idx="679">
                  <c:v>#N/A</c:v>
                </c:pt>
                <c:pt idx="680">
                  <c:v>#N/A</c:v>
                </c:pt>
                <c:pt idx="681">
                  <c:v>#N/A</c:v>
                </c:pt>
                <c:pt idx="682">
                  <c:v>332</c:v>
                </c:pt>
                <c:pt idx="683">
                  <c:v>#N/A</c:v>
                </c:pt>
                <c:pt idx="684">
                  <c:v>#N/A</c:v>
                </c:pt>
                <c:pt idx="685">
                  <c:v>#N/A</c:v>
                </c:pt>
                <c:pt idx="686">
                  <c:v>#N/A</c:v>
                </c:pt>
                <c:pt idx="687">
                  <c:v>#N/A</c:v>
                </c:pt>
                <c:pt idx="688">
                  <c:v>#N/A</c:v>
                </c:pt>
                <c:pt idx="689">
                  <c:v>#N/A</c:v>
                </c:pt>
                <c:pt idx="690">
                  <c:v>#N/A</c:v>
                </c:pt>
                <c:pt idx="691">
                  <c:v>438</c:v>
                </c:pt>
                <c:pt idx="692">
                  <c:v>#N/A</c:v>
                </c:pt>
                <c:pt idx="693">
                  <c:v>#N/A</c:v>
                </c:pt>
                <c:pt idx="694">
                  <c:v>#N/A</c:v>
                </c:pt>
                <c:pt idx="695">
                  <c:v>#N/A</c:v>
                </c:pt>
                <c:pt idx="696">
                  <c:v>#N/A</c:v>
                </c:pt>
                <c:pt idx="697">
                  <c:v>320</c:v>
                </c:pt>
                <c:pt idx="698">
                  <c:v>#N/A</c:v>
                </c:pt>
                <c:pt idx="699">
                  <c:v>396</c:v>
                </c:pt>
                <c:pt idx="700">
                  <c:v>#N/A</c:v>
                </c:pt>
                <c:pt idx="701">
                  <c:v>#N/A</c:v>
                </c:pt>
                <c:pt idx="702">
                  <c:v>592</c:v>
                </c:pt>
                <c:pt idx="703">
                  <c:v>471</c:v>
                </c:pt>
                <c:pt idx="704">
                  <c:v>#N/A</c:v>
                </c:pt>
                <c:pt idx="705">
                  <c:v>424</c:v>
                </c:pt>
                <c:pt idx="706">
                  <c:v>#N/A</c:v>
                </c:pt>
                <c:pt idx="707">
                  <c:v>#N/A</c:v>
                </c:pt>
                <c:pt idx="708">
                  <c:v>#N/A</c:v>
                </c:pt>
                <c:pt idx="709">
                  <c:v>356</c:v>
                </c:pt>
                <c:pt idx="710">
                  <c:v>#N/A</c:v>
                </c:pt>
                <c:pt idx="711">
                  <c:v>466</c:v>
                </c:pt>
                <c:pt idx="712">
                  <c:v>#N/A</c:v>
                </c:pt>
                <c:pt idx="713">
                  <c:v>373</c:v>
                </c:pt>
                <c:pt idx="714">
                  <c:v>#N/A</c:v>
                </c:pt>
                <c:pt idx="715">
                  <c:v>#N/A</c:v>
                </c:pt>
                <c:pt idx="716">
                  <c:v>#N/A</c:v>
                </c:pt>
                <c:pt idx="717">
                  <c:v>439</c:v>
                </c:pt>
                <c:pt idx="718">
                  <c:v>#N/A</c:v>
                </c:pt>
                <c:pt idx="719">
                  <c:v>#N/A</c:v>
                </c:pt>
                <c:pt idx="720">
                  <c:v>450</c:v>
                </c:pt>
                <c:pt idx="721">
                  <c:v>#N/A</c:v>
                </c:pt>
                <c:pt idx="722">
                  <c:v>454</c:v>
                </c:pt>
                <c:pt idx="723">
                  <c:v>#N/A</c:v>
                </c:pt>
                <c:pt idx="724">
                  <c:v>#N/A</c:v>
                </c:pt>
                <c:pt idx="725">
                  <c:v>#N/A</c:v>
                </c:pt>
                <c:pt idx="726">
                  <c:v>#N/A</c:v>
                </c:pt>
                <c:pt idx="727">
                  <c:v>#N/A</c:v>
                </c:pt>
                <c:pt idx="728">
                  <c:v>519</c:v>
                </c:pt>
                <c:pt idx="729">
                  <c:v>#N/A</c:v>
                </c:pt>
                <c:pt idx="730">
                  <c:v>395</c:v>
                </c:pt>
                <c:pt idx="731">
                  <c:v>517</c:v>
                </c:pt>
                <c:pt idx="732">
                  <c:v>#N/A</c:v>
                </c:pt>
                <c:pt idx="733">
                  <c:v>#N/A</c:v>
                </c:pt>
                <c:pt idx="734">
                  <c:v>#N/A</c:v>
                </c:pt>
                <c:pt idx="735">
                  <c:v>#N/A</c:v>
                </c:pt>
                <c:pt idx="736">
                  <c:v>497</c:v>
                </c:pt>
                <c:pt idx="737">
                  <c:v>357</c:v>
                </c:pt>
                <c:pt idx="738">
                  <c:v>#N/A</c:v>
                </c:pt>
                <c:pt idx="739">
                  <c:v>#N/A</c:v>
                </c:pt>
                <c:pt idx="740">
                  <c:v>#N/A</c:v>
                </c:pt>
                <c:pt idx="741">
                  <c:v>451</c:v>
                </c:pt>
                <c:pt idx="742">
                  <c:v>619</c:v>
                </c:pt>
                <c:pt idx="743">
                  <c:v>#N/A</c:v>
                </c:pt>
                <c:pt idx="744">
                  <c:v>#N/A</c:v>
                </c:pt>
                <c:pt idx="745">
                  <c:v>#N/A</c:v>
                </c:pt>
                <c:pt idx="746">
                  <c:v>#N/A</c:v>
                </c:pt>
                <c:pt idx="747">
                  <c:v>#N/A</c:v>
                </c:pt>
                <c:pt idx="748">
                  <c:v>#N/A</c:v>
                </c:pt>
                <c:pt idx="749">
                  <c:v>422</c:v>
                </c:pt>
                <c:pt idx="750">
                  <c:v>#N/A</c:v>
                </c:pt>
                <c:pt idx="751">
                  <c:v>418</c:v>
                </c:pt>
                <c:pt idx="752">
                  <c:v>#N/A</c:v>
                </c:pt>
                <c:pt idx="753">
                  <c:v>#N/A</c:v>
                </c:pt>
                <c:pt idx="754">
                  <c:v>#N/A</c:v>
                </c:pt>
                <c:pt idx="755">
                  <c:v>371</c:v>
                </c:pt>
                <c:pt idx="756">
                  <c:v>#N/A</c:v>
                </c:pt>
                <c:pt idx="757">
                  <c:v>#N/A</c:v>
                </c:pt>
                <c:pt idx="758">
                  <c:v>#N/A</c:v>
                </c:pt>
                <c:pt idx="759">
                  <c:v>425</c:v>
                </c:pt>
                <c:pt idx="760">
                  <c:v>262</c:v>
                </c:pt>
                <c:pt idx="761">
                  <c:v>323</c:v>
                </c:pt>
                <c:pt idx="762">
                  <c:v>#N/A</c:v>
                </c:pt>
                <c:pt idx="763">
                  <c:v>403</c:v>
                </c:pt>
                <c:pt idx="764">
                  <c:v>#N/A</c:v>
                </c:pt>
                <c:pt idx="765">
                  <c:v>#N/A</c:v>
                </c:pt>
                <c:pt idx="766">
                  <c:v>#N/A</c:v>
                </c:pt>
                <c:pt idx="767">
                  <c:v>#N/A</c:v>
                </c:pt>
                <c:pt idx="768">
                  <c:v>#N/A</c:v>
                </c:pt>
                <c:pt idx="769">
                  <c:v>433</c:v>
                </c:pt>
                <c:pt idx="770">
                  <c:v>#N/A</c:v>
                </c:pt>
                <c:pt idx="771">
                  <c:v>496</c:v>
                </c:pt>
                <c:pt idx="772">
                  <c:v>#N/A</c:v>
                </c:pt>
                <c:pt idx="773">
                  <c:v>#N/A</c:v>
                </c:pt>
                <c:pt idx="774">
                  <c:v>#N/A</c:v>
                </c:pt>
                <c:pt idx="775">
                  <c:v>463</c:v>
                </c:pt>
                <c:pt idx="776">
                  <c:v>481</c:v>
                </c:pt>
                <c:pt idx="777">
                  <c:v>374</c:v>
                </c:pt>
                <c:pt idx="778">
                  <c:v>#N/A</c:v>
                </c:pt>
                <c:pt idx="779">
                  <c:v>376</c:v>
                </c:pt>
                <c:pt idx="780">
                  <c:v>#N/A</c:v>
                </c:pt>
                <c:pt idx="781">
                  <c:v>#N/A</c:v>
                </c:pt>
                <c:pt idx="782">
                  <c:v>#N/A</c:v>
                </c:pt>
                <c:pt idx="783">
                  <c:v>#N/A</c:v>
                </c:pt>
                <c:pt idx="784">
                  <c:v>#N/A</c:v>
                </c:pt>
                <c:pt idx="785">
                  <c:v>385</c:v>
                </c:pt>
                <c:pt idx="786">
                  <c:v>#N/A</c:v>
                </c:pt>
                <c:pt idx="787">
                  <c:v>#N/A</c:v>
                </c:pt>
                <c:pt idx="788">
                  <c:v>#N/A</c:v>
                </c:pt>
                <c:pt idx="789">
                  <c:v>#N/A</c:v>
                </c:pt>
                <c:pt idx="790">
                  <c:v>#N/A</c:v>
                </c:pt>
                <c:pt idx="791">
                  <c:v>#N/A</c:v>
                </c:pt>
                <c:pt idx="792">
                  <c:v>#N/A</c:v>
                </c:pt>
                <c:pt idx="793">
                  <c:v>#N/A</c:v>
                </c:pt>
                <c:pt idx="794">
                  <c:v>#N/A</c:v>
                </c:pt>
                <c:pt idx="795">
                  <c:v>#N/A</c:v>
                </c:pt>
                <c:pt idx="796">
                  <c:v>#N/A</c:v>
                </c:pt>
                <c:pt idx="797">
                  <c:v>457</c:v>
                </c:pt>
                <c:pt idx="798">
                  <c:v>#N/A</c:v>
                </c:pt>
                <c:pt idx="799">
                  <c:v>#N/A</c:v>
                </c:pt>
                <c:pt idx="800">
                  <c:v>435</c:v>
                </c:pt>
                <c:pt idx="801">
                  <c:v>312</c:v>
                </c:pt>
                <c:pt idx="802">
                  <c:v>#N/A</c:v>
                </c:pt>
                <c:pt idx="803">
                  <c:v>#N/A</c:v>
                </c:pt>
                <c:pt idx="804">
                  <c:v>#N/A</c:v>
                </c:pt>
                <c:pt idx="805">
                  <c:v>515</c:v>
                </c:pt>
                <c:pt idx="806">
                  <c:v>478</c:v>
                </c:pt>
                <c:pt idx="807">
                  <c:v>500</c:v>
                </c:pt>
                <c:pt idx="808">
                  <c:v>359</c:v>
                </c:pt>
                <c:pt idx="809">
                  <c:v>#N/A</c:v>
                </c:pt>
                <c:pt idx="810">
                  <c:v>#N/A</c:v>
                </c:pt>
                <c:pt idx="811">
                  <c:v>#N/A</c:v>
                </c:pt>
                <c:pt idx="812">
                  <c:v>#N/A</c:v>
                </c:pt>
                <c:pt idx="813">
                  <c:v>#N/A</c:v>
                </c:pt>
                <c:pt idx="814">
                  <c:v>#N/A</c:v>
                </c:pt>
                <c:pt idx="815">
                  <c:v>#N/A</c:v>
                </c:pt>
                <c:pt idx="816">
                  <c:v>461</c:v>
                </c:pt>
                <c:pt idx="817">
                  <c:v>391</c:v>
                </c:pt>
                <c:pt idx="818">
                  <c:v>#N/A</c:v>
                </c:pt>
                <c:pt idx="819">
                  <c:v>#N/A</c:v>
                </c:pt>
                <c:pt idx="820">
                  <c:v>263</c:v>
                </c:pt>
                <c:pt idx="821">
                  <c:v>#N/A</c:v>
                </c:pt>
                <c:pt idx="822">
                  <c:v>#N/A</c:v>
                </c:pt>
                <c:pt idx="823">
                  <c:v>#N/A</c:v>
                </c:pt>
                <c:pt idx="824">
                  <c:v>373</c:v>
                </c:pt>
                <c:pt idx="825">
                  <c:v>407</c:v>
                </c:pt>
                <c:pt idx="826">
                  <c:v>#N/A</c:v>
                </c:pt>
                <c:pt idx="827">
                  <c:v>#N/A</c:v>
                </c:pt>
                <c:pt idx="828">
                  <c:v>#N/A</c:v>
                </c:pt>
                <c:pt idx="829">
                  <c:v>#N/A</c:v>
                </c:pt>
                <c:pt idx="830">
                  <c:v>316</c:v>
                </c:pt>
                <c:pt idx="831">
                  <c:v>#N/A</c:v>
                </c:pt>
                <c:pt idx="832">
                  <c:v>#N/A</c:v>
                </c:pt>
                <c:pt idx="833">
                  <c:v>#N/A</c:v>
                </c:pt>
                <c:pt idx="834">
                  <c:v>#N/A</c:v>
                </c:pt>
                <c:pt idx="835">
                  <c:v>439</c:v>
                </c:pt>
                <c:pt idx="836">
                  <c:v>628</c:v>
                </c:pt>
                <c:pt idx="837">
                  <c:v>#N/A</c:v>
                </c:pt>
                <c:pt idx="838">
                  <c:v>#N/A</c:v>
                </c:pt>
                <c:pt idx="839">
                  <c:v>#N/A</c:v>
                </c:pt>
                <c:pt idx="840">
                  <c:v>#N/A</c:v>
                </c:pt>
                <c:pt idx="841">
                  <c:v>#N/A</c:v>
                </c:pt>
                <c:pt idx="842">
                  <c:v>352</c:v>
                </c:pt>
                <c:pt idx="843">
                  <c:v>#N/A</c:v>
                </c:pt>
                <c:pt idx="844">
                  <c:v>#N/A</c:v>
                </c:pt>
                <c:pt idx="845">
                  <c:v>#N/A</c:v>
                </c:pt>
                <c:pt idx="846">
                  <c:v>#N/A</c:v>
                </c:pt>
                <c:pt idx="847">
                  <c:v>#N/A</c:v>
                </c:pt>
                <c:pt idx="848">
                  <c:v>#N/A</c:v>
                </c:pt>
                <c:pt idx="849">
                  <c:v>#N/A</c:v>
                </c:pt>
                <c:pt idx="850">
                  <c:v>#N/A</c:v>
                </c:pt>
                <c:pt idx="851">
                  <c:v>558</c:v>
                </c:pt>
                <c:pt idx="852">
                  <c:v>#N/A</c:v>
                </c:pt>
                <c:pt idx="853">
                  <c:v>307</c:v>
                </c:pt>
                <c:pt idx="854">
                  <c:v>#N/A</c:v>
                </c:pt>
                <c:pt idx="855">
                  <c:v>#N/A</c:v>
                </c:pt>
                <c:pt idx="856">
                  <c:v>#N/A</c:v>
                </c:pt>
                <c:pt idx="857">
                  <c:v>#N/A</c:v>
                </c:pt>
                <c:pt idx="858">
                  <c:v>625</c:v>
                </c:pt>
                <c:pt idx="859">
                  <c:v>#N/A</c:v>
                </c:pt>
                <c:pt idx="860">
                  <c:v>580</c:v>
                </c:pt>
                <c:pt idx="861">
                  <c:v>502</c:v>
                </c:pt>
                <c:pt idx="862">
                  <c:v>#N/A</c:v>
                </c:pt>
                <c:pt idx="863">
                  <c:v>#N/A</c:v>
                </c:pt>
                <c:pt idx="864">
                  <c:v>#N/A</c:v>
                </c:pt>
                <c:pt idx="865">
                  <c:v>#N/A</c:v>
                </c:pt>
                <c:pt idx="866">
                  <c:v>#N/A</c:v>
                </c:pt>
                <c:pt idx="867">
                  <c:v>#N/A</c:v>
                </c:pt>
                <c:pt idx="868">
                  <c:v>405</c:v>
                </c:pt>
                <c:pt idx="869">
                  <c:v>#N/A</c:v>
                </c:pt>
                <c:pt idx="870">
                  <c:v>#N/A</c:v>
                </c:pt>
                <c:pt idx="871">
                  <c:v>#N/A</c:v>
                </c:pt>
                <c:pt idx="872">
                  <c:v>#N/A</c:v>
                </c:pt>
                <c:pt idx="873">
                  <c:v>#N/A</c:v>
                </c:pt>
                <c:pt idx="874">
                  <c:v>#N/A</c:v>
                </c:pt>
                <c:pt idx="875">
                  <c:v>571</c:v>
                </c:pt>
                <c:pt idx="876">
                  <c:v>#N/A</c:v>
                </c:pt>
                <c:pt idx="877">
                  <c:v>431</c:v>
                </c:pt>
                <c:pt idx="878">
                  <c:v>279</c:v>
                </c:pt>
                <c:pt idx="879">
                  <c:v>383</c:v>
                </c:pt>
                <c:pt idx="880">
                  <c:v>#N/A</c:v>
                </c:pt>
                <c:pt idx="881">
                  <c:v>#N/A</c:v>
                </c:pt>
                <c:pt idx="882">
                  <c:v>#N/A</c:v>
                </c:pt>
                <c:pt idx="883">
                  <c:v>#N/A</c:v>
                </c:pt>
                <c:pt idx="884">
                  <c:v>562</c:v>
                </c:pt>
                <c:pt idx="885">
                  <c:v>#N/A</c:v>
                </c:pt>
                <c:pt idx="886">
                  <c:v>#N/A</c:v>
                </c:pt>
                <c:pt idx="887">
                  <c:v>#N/A</c:v>
                </c:pt>
                <c:pt idx="888">
                  <c:v>#N/A</c:v>
                </c:pt>
                <c:pt idx="889">
                  <c:v>#N/A</c:v>
                </c:pt>
                <c:pt idx="890">
                  <c:v>404</c:v>
                </c:pt>
                <c:pt idx="891">
                  <c:v>#N/A</c:v>
                </c:pt>
                <c:pt idx="892">
                  <c:v>#N/A</c:v>
                </c:pt>
                <c:pt idx="893">
                  <c:v>#N/A</c:v>
                </c:pt>
                <c:pt idx="894">
                  <c:v>#N/A</c:v>
                </c:pt>
                <c:pt idx="895">
                  <c:v>#N/A</c:v>
                </c:pt>
                <c:pt idx="896">
                  <c:v>#N/A</c:v>
                </c:pt>
                <c:pt idx="897">
                  <c:v>425</c:v>
                </c:pt>
                <c:pt idx="898">
                  <c:v>#N/A</c:v>
                </c:pt>
                <c:pt idx="899">
                  <c:v>#N/A</c:v>
                </c:pt>
                <c:pt idx="900">
                  <c:v>#N/A</c:v>
                </c:pt>
                <c:pt idx="901">
                  <c:v>#N/A</c:v>
                </c:pt>
                <c:pt idx="902">
                  <c:v>#N/A</c:v>
                </c:pt>
                <c:pt idx="903">
                  <c:v>#N/A</c:v>
                </c:pt>
                <c:pt idx="904">
                  <c:v>417</c:v>
                </c:pt>
                <c:pt idx="905">
                  <c:v>361</c:v>
                </c:pt>
                <c:pt idx="906">
                  <c:v>355</c:v>
                </c:pt>
                <c:pt idx="907">
                  <c:v>#N/A</c:v>
                </c:pt>
                <c:pt idx="908">
                  <c:v>425</c:v>
                </c:pt>
                <c:pt idx="909">
                  <c:v>#N/A</c:v>
                </c:pt>
                <c:pt idx="910">
                  <c:v>#N/A</c:v>
                </c:pt>
                <c:pt idx="911">
                  <c:v>#N/A</c:v>
                </c:pt>
                <c:pt idx="912">
                  <c:v>#N/A</c:v>
                </c:pt>
                <c:pt idx="913">
                  <c:v>455</c:v>
                </c:pt>
                <c:pt idx="914">
                  <c:v>#N/A</c:v>
                </c:pt>
                <c:pt idx="915">
                  <c:v>#N/A</c:v>
                </c:pt>
                <c:pt idx="916">
                  <c:v>#N/A</c:v>
                </c:pt>
                <c:pt idx="917">
                  <c:v>405</c:v>
                </c:pt>
                <c:pt idx="918">
                  <c:v>530</c:v>
                </c:pt>
                <c:pt idx="919">
                  <c:v>368</c:v>
                </c:pt>
                <c:pt idx="920">
                  <c:v>356</c:v>
                </c:pt>
                <c:pt idx="921">
                  <c:v>#N/A</c:v>
                </c:pt>
                <c:pt idx="922">
                  <c:v>550</c:v>
                </c:pt>
                <c:pt idx="923">
                  <c:v>397</c:v>
                </c:pt>
                <c:pt idx="924">
                  <c:v>#N/A</c:v>
                </c:pt>
                <c:pt idx="925">
                  <c:v>#N/A</c:v>
                </c:pt>
                <c:pt idx="926">
                  <c:v>414</c:v>
                </c:pt>
                <c:pt idx="927">
                  <c:v>#N/A</c:v>
                </c:pt>
                <c:pt idx="928">
                  <c:v>360</c:v>
                </c:pt>
                <c:pt idx="929">
                  <c:v>#N/A</c:v>
                </c:pt>
                <c:pt idx="930">
                  <c:v>#N/A</c:v>
                </c:pt>
                <c:pt idx="931">
                  <c:v>#N/A</c:v>
                </c:pt>
                <c:pt idx="932">
                  <c:v>506</c:v>
                </c:pt>
                <c:pt idx="933">
                  <c:v>#N/A</c:v>
                </c:pt>
                <c:pt idx="934">
                  <c:v>#N/A</c:v>
                </c:pt>
                <c:pt idx="935">
                  <c:v>#N/A</c:v>
                </c:pt>
                <c:pt idx="936">
                  <c:v>502</c:v>
                </c:pt>
                <c:pt idx="937">
                  <c:v>#N/A</c:v>
                </c:pt>
                <c:pt idx="938">
                  <c:v>388</c:v>
                </c:pt>
                <c:pt idx="939">
                  <c:v>#N/A</c:v>
                </c:pt>
                <c:pt idx="940">
                  <c:v>454</c:v>
                </c:pt>
                <c:pt idx="941">
                  <c:v>422</c:v>
                </c:pt>
                <c:pt idx="942">
                  <c:v>#N/A</c:v>
                </c:pt>
                <c:pt idx="943">
                  <c:v>#N/A</c:v>
                </c:pt>
                <c:pt idx="944">
                  <c:v>#N/A</c:v>
                </c:pt>
                <c:pt idx="945">
                  <c:v>#N/A</c:v>
                </c:pt>
                <c:pt idx="946">
                  <c:v>#N/A</c:v>
                </c:pt>
                <c:pt idx="947">
                  <c:v>#N/A</c:v>
                </c:pt>
                <c:pt idx="948">
                  <c:v>#N/A</c:v>
                </c:pt>
                <c:pt idx="949">
                  <c:v>#N/A</c:v>
                </c:pt>
                <c:pt idx="950">
                  <c:v>525</c:v>
                </c:pt>
                <c:pt idx="951">
                  <c:v>#N/A</c:v>
                </c:pt>
                <c:pt idx="952">
                  <c:v>#N/A</c:v>
                </c:pt>
                <c:pt idx="953">
                  <c:v>#N/A</c:v>
                </c:pt>
                <c:pt idx="954">
                  <c:v>418</c:v>
                </c:pt>
                <c:pt idx="955">
                  <c:v>487</c:v>
                </c:pt>
                <c:pt idx="956">
                  <c:v>#N/A</c:v>
                </c:pt>
                <c:pt idx="957">
                  <c:v>#N/A</c:v>
                </c:pt>
                <c:pt idx="958">
                  <c:v>#N/A</c:v>
                </c:pt>
                <c:pt idx="959">
                  <c:v>517</c:v>
                </c:pt>
                <c:pt idx="960">
                  <c:v>542</c:v>
                </c:pt>
                <c:pt idx="961">
                  <c:v>#N/A</c:v>
                </c:pt>
                <c:pt idx="962">
                  <c:v>#N/A</c:v>
                </c:pt>
                <c:pt idx="963">
                  <c:v>#N/A</c:v>
                </c:pt>
                <c:pt idx="964">
                  <c:v>515</c:v>
                </c:pt>
                <c:pt idx="965">
                  <c:v>#N/A</c:v>
                </c:pt>
                <c:pt idx="966">
                  <c:v>399</c:v>
                </c:pt>
                <c:pt idx="967">
                  <c:v>#N/A</c:v>
                </c:pt>
                <c:pt idx="968">
                  <c:v>#N/A</c:v>
                </c:pt>
                <c:pt idx="969">
                  <c:v>#N/A</c:v>
                </c:pt>
                <c:pt idx="970">
                  <c:v>#N/A</c:v>
                </c:pt>
                <c:pt idx="971">
                  <c:v>#N/A</c:v>
                </c:pt>
                <c:pt idx="972">
                  <c:v>#N/A</c:v>
                </c:pt>
                <c:pt idx="973">
                  <c:v>#N/A</c:v>
                </c:pt>
                <c:pt idx="974">
                  <c:v>#N/A</c:v>
                </c:pt>
                <c:pt idx="975">
                  <c:v>#N/A</c:v>
                </c:pt>
                <c:pt idx="976">
                  <c:v>#N/A</c:v>
                </c:pt>
                <c:pt idx="977">
                  <c:v>509</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412</c:v>
                </c:pt>
                <c:pt idx="996">
                  <c:v>#N/A</c:v>
                </c:pt>
                <c:pt idx="997">
                  <c:v>426</c:v>
                </c:pt>
                <c:pt idx="998">
                  <c:v>513</c:v>
                </c:pt>
                <c:pt idx="999">
                  <c:v>#N/A</c:v>
                </c:pt>
                <c:pt idx="1000">
                  <c:v>#N/A</c:v>
                </c:pt>
                <c:pt idx="1001">
                  <c:v>#N/A</c:v>
                </c:pt>
                <c:pt idx="1002">
                  <c:v>#N/A</c:v>
                </c:pt>
                <c:pt idx="1003">
                  <c:v>#N/A</c:v>
                </c:pt>
                <c:pt idx="1004">
                  <c:v>#N/A</c:v>
                </c:pt>
                <c:pt idx="1005">
                  <c:v>461</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413</c:v>
                </c:pt>
                <c:pt idx="1021">
                  <c:v>427</c:v>
                </c:pt>
                <c:pt idx="1022">
                  <c:v>#N/A</c:v>
                </c:pt>
                <c:pt idx="1023">
                  <c:v>395</c:v>
                </c:pt>
                <c:pt idx="1024">
                  <c:v>#N/A</c:v>
                </c:pt>
                <c:pt idx="1025">
                  <c:v>#N/A</c:v>
                </c:pt>
                <c:pt idx="1026">
                  <c:v>#N/A</c:v>
                </c:pt>
                <c:pt idx="1027">
                  <c:v>437</c:v>
                </c:pt>
                <c:pt idx="1028">
                  <c:v>#N/A</c:v>
                </c:pt>
                <c:pt idx="1029">
                  <c:v>#N/A</c:v>
                </c:pt>
                <c:pt idx="1030">
                  <c:v>#N/A</c:v>
                </c:pt>
                <c:pt idx="1031">
                  <c:v>#N/A</c:v>
                </c:pt>
                <c:pt idx="1032">
                  <c:v>#N/A</c:v>
                </c:pt>
                <c:pt idx="1033">
                  <c:v>441</c:v>
                </c:pt>
                <c:pt idx="1034">
                  <c:v>461</c:v>
                </c:pt>
                <c:pt idx="1035">
                  <c:v>#N/A</c:v>
                </c:pt>
                <c:pt idx="1036">
                  <c:v>#N/A</c:v>
                </c:pt>
                <c:pt idx="1037">
                  <c:v>#N/A</c:v>
                </c:pt>
                <c:pt idx="1038">
                  <c:v>#N/A</c:v>
                </c:pt>
                <c:pt idx="1039">
                  <c:v>248</c:v>
                </c:pt>
                <c:pt idx="1040">
                  <c:v>#N/A</c:v>
                </c:pt>
                <c:pt idx="1041">
                  <c:v>409</c:v>
                </c:pt>
                <c:pt idx="1042">
                  <c:v>#N/A</c:v>
                </c:pt>
                <c:pt idx="1043">
                  <c:v>#N/A</c:v>
                </c:pt>
                <c:pt idx="1044">
                  <c:v>#N/A</c:v>
                </c:pt>
                <c:pt idx="1045">
                  <c:v>412</c:v>
                </c:pt>
                <c:pt idx="1046">
                  <c:v>#N/A</c:v>
                </c:pt>
                <c:pt idx="1047">
                  <c:v>496</c:v>
                </c:pt>
                <c:pt idx="1048">
                  <c:v>#N/A</c:v>
                </c:pt>
                <c:pt idx="1049">
                  <c:v>329</c:v>
                </c:pt>
                <c:pt idx="1050">
                  <c:v>#N/A</c:v>
                </c:pt>
                <c:pt idx="1051">
                  <c:v>#N/A</c:v>
                </c:pt>
                <c:pt idx="1052">
                  <c:v>#N/A</c:v>
                </c:pt>
                <c:pt idx="1053">
                  <c:v>#N/A</c:v>
                </c:pt>
                <c:pt idx="1054">
                  <c:v>#N/A</c:v>
                </c:pt>
                <c:pt idx="1055">
                  <c:v>#N/A</c:v>
                </c:pt>
                <c:pt idx="1056">
                  <c:v>#N/A</c:v>
                </c:pt>
                <c:pt idx="1057">
                  <c:v>#N/A</c:v>
                </c:pt>
                <c:pt idx="1058">
                  <c:v>#N/A</c:v>
                </c:pt>
                <c:pt idx="1059">
                  <c:v>#N/A</c:v>
                </c:pt>
                <c:pt idx="1060">
                  <c:v>#N/A</c:v>
                </c:pt>
                <c:pt idx="1061">
                  <c:v>409</c:v>
                </c:pt>
                <c:pt idx="1062">
                  <c:v>#N/A</c:v>
                </c:pt>
                <c:pt idx="1063">
                  <c:v>#N/A</c:v>
                </c:pt>
                <c:pt idx="1064">
                  <c:v>287</c:v>
                </c:pt>
                <c:pt idx="1065">
                  <c:v>#N/A</c:v>
                </c:pt>
                <c:pt idx="1066">
                  <c:v>387</c:v>
                </c:pt>
                <c:pt idx="1067">
                  <c:v>#N/A</c:v>
                </c:pt>
                <c:pt idx="1068">
                  <c:v>#N/A</c:v>
                </c:pt>
                <c:pt idx="1069">
                  <c:v>#N/A</c:v>
                </c:pt>
                <c:pt idx="1070">
                  <c:v>#N/A</c:v>
                </c:pt>
                <c:pt idx="1071">
                  <c:v>#N/A</c:v>
                </c:pt>
                <c:pt idx="1072">
                  <c:v>356</c:v>
                </c:pt>
                <c:pt idx="1073">
                  <c:v>#N/A</c:v>
                </c:pt>
                <c:pt idx="1074">
                  <c:v>#N/A</c:v>
                </c:pt>
                <c:pt idx="1075">
                  <c:v>#N/A</c:v>
                </c:pt>
                <c:pt idx="1076">
                  <c:v>#N/A</c:v>
                </c:pt>
                <c:pt idx="1077">
                  <c:v>464</c:v>
                </c:pt>
                <c:pt idx="1078">
                  <c:v>421</c:v>
                </c:pt>
                <c:pt idx="1079">
                  <c:v>413</c:v>
                </c:pt>
                <c:pt idx="1080">
                  <c:v>390</c:v>
                </c:pt>
                <c:pt idx="1081">
                  <c:v>#N/A</c:v>
                </c:pt>
                <c:pt idx="1082">
                  <c:v>#N/A</c:v>
                </c:pt>
                <c:pt idx="1083">
                  <c:v>#N/A</c:v>
                </c:pt>
                <c:pt idx="1084">
                  <c:v>#N/A</c:v>
                </c:pt>
                <c:pt idx="1085">
                  <c:v>#N/A</c:v>
                </c:pt>
                <c:pt idx="1086">
                  <c:v>456</c:v>
                </c:pt>
                <c:pt idx="1087">
                  <c:v>#N/A</c:v>
                </c:pt>
                <c:pt idx="1088">
                  <c:v>#N/A</c:v>
                </c:pt>
                <c:pt idx="1089">
                  <c:v>#N/A</c:v>
                </c:pt>
                <c:pt idx="1090">
                  <c:v>460</c:v>
                </c:pt>
                <c:pt idx="1091">
                  <c:v>#N/A</c:v>
                </c:pt>
                <c:pt idx="1092">
                  <c:v>370</c:v>
                </c:pt>
                <c:pt idx="1093">
                  <c:v>262</c:v>
                </c:pt>
                <c:pt idx="1094">
                  <c:v>480</c:v>
                </c:pt>
                <c:pt idx="1095">
                  <c:v>#N/A</c:v>
                </c:pt>
                <c:pt idx="1096">
                  <c:v>#N/A</c:v>
                </c:pt>
                <c:pt idx="1097">
                  <c:v>#N/A</c:v>
                </c:pt>
                <c:pt idx="1098">
                  <c:v>#N/A</c:v>
                </c:pt>
                <c:pt idx="1099">
                  <c:v>#N/A</c:v>
                </c:pt>
                <c:pt idx="1100">
                  <c:v>#N/A</c:v>
                </c:pt>
                <c:pt idx="1101">
                  <c:v>#N/A</c:v>
                </c:pt>
                <c:pt idx="1102">
                  <c:v>#N/A</c:v>
                </c:pt>
                <c:pt idx="1103">
                  <c:v>445</c:v>
                </c:pt>
                <c:pt idx="1104">
                  <c:v>#N/A</c:v>
                </c:pt>
                <c:pt idx="1105">
                  <c:v>#N/A</c:v>
                </c:pt>
                <c:pt idx="1106">
                  <c:v>#N/A</c:v>
                </c:pt>
                <c:pt idx="1107">
                  <c:v>#N/A</c:v>
                </c:pt>
                <c:pt idx="1108">
                  <c:v>#N/A</c:v>
                </c:pt>
                <c:pt idx="1109">
                  <c:v>278</c:v>
                </c:pt>
                <c:pt idx="1110">
                  <c:v>#N/A</c:v>
                </c:pt>
                <c:pt idx="1111">
                  <c:v>372</c:v>
                </c:pt>
                <c:pt idx="1112">
                  <c:v>530</c:v>
                </c:pt>
                <c:pt idx="1113">
                  <c:v>#N/A</c:v>
                </c:pt>
                <c:pt idx="1114">
                  <c:v>#N/A</c:v>
                </c:pt>
                <c:pt idx="1115">
                  <c:v>#N/A</c:v>
                </c:pt>
                <c:pt idx="1116">
                  <c:v>472</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461</c:v>
                </c:pt>
                <c:pt idx="1131">
                  <c:v>#N/A</c:v>
                </c:pt>
                <c:pt idx="1132">
                  <c:v>480</c:v>
                </c:pt>
                <c:pt idx="1133">
                  <c:v>#N/A</c:v>
                </c:pt>
                <c:pt idx="1134">
                  <c:v>#N/A</c:v>
                </c:pt>
                <c:pt idx="1135">
                  <c:v>#N/A</c:v>
                </c:pt>
                <c:pt idx="1136">
                  <c:v>360</c:v>
                </c:pt>
                <c:pt idx="1137">
                  <c:v>#N/A</c:v>
                </c:pt>
                <c:pt idx="1138">
                  <c:v>#N/A</c:v>
                </c:pt>
                <c:pt idx="1139">
                  <c:v>#N/A</c:v>
                </c:pt>
                <c:pt idx="1140">
                  <c:v>#N/A</c:v>
                </c:pt>
                <c:pt idx="1141">
                  <c:v>#N/A</c:v>
                </c:pt>
                <c:pt idx="1142">
                  <c:v>495</c:v>
                </c:pt>
                <c:pt idx="1143">
                  <c:v>291</c:v>
                </c:pt>
                <c:pt idx="1144">
                  <c:v>359</c:v>
                </c:pt>
                <c:pt idx="1145">
                  <c:v>486</c:v>
                </c:pt>
                <c:pt idx="1146">
                  <c:v>#N/A</c:v>
                </c:pt>
                <c:pt idx="1147">
                  <c:v>#N/A</c:v>
                </c:pt>
                <c:pt idx="1148">
                  <c:v>#N/A</c:v>
                </c:pt>
                <c:pt idx="1149">
                  <c:v>#N/A</c:v>
                </c:pt>
                <c:pt idx="1150">
                  <c:v>#N/A</c:v>
                </c:pt>
                <c:pt idx="1151">
                  <c:v>178</c:v>
                </c:pt>
                <c:pt idx="1152">
                  <c:v>#N/A</c:v>
                </c:pt>
                <c:pt idx="1153">
                  <c:v>437</c:v>
                </c:pt>
                <c:pt idx="1154">
                  <c:v>#N/A</c:v>
                </c:pt>
                <c:pt idx="1155">
                  <c:v>#N/A</c:v>
                </c:pt>
                <c:pt idx="1156">
                  <c:v>#N/A</c:v>
                </c:pt>
                <c:pt idx="1157">
                  <c:v>#N/A</c:v>
                </c:pt>
                <c:pt idx="1158">
                  <c:v>379</c:v>
                </c:pt>
                <c:pt idx="1159">
                  <c:v>#N/A</c:v>
                </c:pt>
                <c:pt idx="1160">
                  <c:v>#N/A</c:v>
                </c:pt>
                <c:pt idx="1161">
                  <c:v>#N/A</c:v>
                </c:pt>
                <c:pt idx="1162">
                  <c:v>510</c:v>
                </c:pt>
                <c:pt idx="1163">
                  <c:v>#N/A</c:v>
                </c:pt>
                <c:pt idx="1164">
                  <c:v>432</c:v>
                </c:pt>
                <c:pt idx="1165">
                  <c:v>#N/A</c:v>
                </c:pt>
                <c:pt idx="1166">
                  <c:v>#N/A</c:v>
                </c:pt>
                <c:pt idx="1167">
                  <c:v>#N/A</c:v>
                </c:pt>
                <c:pt idx="1168">
                  <c:v>#N/A</c:v>
                </c:pt>
                <c:pt idx="1169">
                  <c:v>#N/A</c:v>
                </c:pt>
                <c:pt idx="1170">
                  <c:v>#N/A</c:v>
                </c:pt>
                <c:pt idx="1171">
                  <c:v>451</c:v>
                </c:pt>
                <c:pt idx="1172">
                  <c:v>#N/A</c:v>
                </c:pt>
                <c:pt idx="1173">
                  <c:v>#N/A</c:v>
                </c:pt>
                <c:pt idx="1174">
                  <c:v>#N/A</c:v>
                </c:pt>
                <c:pt idx="1175">
                  <c:v>#N/A</c:v>
                </c:pt>
                <c:pt idx="1176">
                  <c:v>519</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474</c:v>
                </c:pt>
                <c:pt idx="1190">
                  <c:v>#N/A</c:v>
                </c:pt>
                <c:pt idx="1191">
                  <c:v>#N/A</c:v>
                </c:pt>
                <c:pt idx="1192">
                  <c:v>#N/A</c:v>
                </c:pt>
                <c:pt idx="1193">
                  <c:v>#N/A</c:v>
                </c:pt>
                <c:pt idx="1194">
                  <c:v>551</c:v>
                </c:pt>
                <c:pt idx="1195">
                  <c:v>#N/A</c:v>
                </c:pt>
                <c:pt idx="1196">
                  <c:v>468</c:v>
                </c:pt>
                <c:pt idx="1197">
                  <c:v>423</c:v>
                </c:pt>
                <c:pt idx="1198">
                  <c:v>#N/A</c:v>
                </c:pt>
                <c:pt idx="1199">
                  <c:v>402</c:v>
                </c:pt>
                <c:pt idx="1200">
                  <c:v>340</c:v>
                </c:pt>
              </c:strCache>
            </c:strRef>
          </c:xVal>
          <c:yVal>
            <c:numRef>
              <c:f>riyadh_realestate_dataset!$P:$P</c:f>
              <c:numCache>
                <c:formatCode>General</c:formatCode>
                <c:ptCount val="1048576"/>
                <c:pt idx="0">
                  <c:v>0</c:v>
                </c:pt>
                <c:pt idx="1">
                  <c:v>#N/A</c:v>
                </c:pt>
                <c:pt idx="2">
                  <c:v>#N/A</c:v>
                </c:pt>
                <c:pt idx="3">
                  <c:v>#N/A</c:v>
                </c:pt>
                <c:pt idx="4">
                  <c:v>#N/A</c:v>
                </c:pt>
                <c:pt idx="5">
                  <c:v>1998000</c:v>
                </c:pt>
                <c:pt idx="6">
                  <c:v>#N/A</c:v>
                </c:pt>
                <c:pt idx="7">
                  <c:v>#N/A</c:v>
                </c:pt>
                <c:pt idx="8">
                  <c:v>#N/A</c:v>
                </c:pt>
                <c:pt idx="9">
                  <c:v>1897000</c:v>
                </c:pt>
                <c:pt idx="10">
                  <c:v>#N/A</c:v>
                </c:pt>
                <c:pt idx="11">
                  <c:v>#N/A</c:v>
                </c:pt>
                <c:pt idx="12">
                  <c:v>#N/A</c:v>
                </c:pt>
                <c:pt idx="13">
                  <c:v>#N/A</c:v>
                </c:pt>
                <c:pt idx="14">
                  <c:v>#N/A</c:v>
                </c:pt>
                <c:pt idx="15">
                  <c:v>#N/A</c:v>
                </c:pt>
                <c:pt idx="16">
                  <c:v>2803000</c:v>
                </c:pt>
                <c:pt idx="17">
                  <c:v>#N/A</c:v>
                </c:pt>
                <c:pt idx="18">
                  <c:v>#N/A</c:v>
                </c:pt>
                <c:pt idx="19">
                  <c:v>#N/A</c:v>
                </c:pt>
                <c:pt idx="20">
                  <c:v>#N/A</c:v>
                </c:pt>
                <c:pt idx="21">
                  <c:v>#N/A</c:v>
                </c:pt>
                <c:pt idx="22">
                  <c:v>#N/A</c:v>
                </c:pt>
                <c:pt idx="23">
                  <c:v>#N/A</c:v>
                </c:pt>
                <c:pt idx="24">
                  <c:v>#N/A</c:v>
                </c:pt>
                <c:pt idx="25">
                  <c:v>1872000</c:v>
                </c:pt>
                <c:pt idx="26">
                  <c:v>#N/A</c:v>
                </c:pt>
                <c:pt idx="27">
                  <c:v>#N/A</c:v>
                </c:pt>
                <c:pt idx="28">
                  <c:v>#N/A</c:v>
                </c:pt>
                <c:pt idx="29">
                  <c:v>2324000</c:v>
                </c:pt>
                <c:pt idx="30">
                  <c:v>#N/A</c:v>
                </c:pt>
                <c:pt idx="31">
                  <c:v>#N/A</c:v>
                </c:pt>
                <c:pt idx="32">
                  <c:v>#N/A</c:v>
                </c:pt>
                <c:pt idx="33">
                  <c:v>#N/A</c:v>
                </c:pt>
                <c:pt idx="34">
                  <c:v>#N/A</c:v>
                </c:pt>
                <c:pt idx="35">
                  <c:v>#N/A</c:v>
                </c:pt>
                <c:pt idx="36">
                  <c:v>1768000</c:v>
                </c:pt>
                <c:pt idx="37">
                  <c:v>#N/A</c:v>
                </c:pt>
                <c:pt idx="38">
                  <c:v>1820000</c:v>
                </c:pt>
                <c:pt idx="39">
                  <c:v>#N/A</c:v>
                </c:pt>
                <c:pt idx="40">
                  <c:v>#N/A</c:v>
                </c:pt>
                <c:pt idx="41">
                  <c:v>2949000</c:v>
                </c:pt>
                <c:pt idx="42">
                  <c:v>#N/A</c:v>
                </c:pt>
                <c:pt idx="43">
                  <c:v>2172000</c:v>
                </c:pt>
                <c:pt idx="44">
                  <c:v>2263000</c:v>
                </c:pt>
                <c:pt idx="45">
                  <c:v>#N/A</c:v>
                </c:pt>
                <c:pt idx="46">
                  <c:v>#N/A</c:v>
                </c:pt>
                <c:pt idx="47">
                  <c:v>2720000</c:v>
                </c:pt>
                <c:pt idx="48">
                  <c:v>#N/A</c:v>
                </c:pt>
                <c:pt idx="49">
                  <c:v>#N/A</c:v>
                </c:pt>
                <c:pt idx="50">
                  <c:v>2429000</c:v>
                </c:pt>
                <c:pt idx="51">
                  <c:v>#N/A</c:v>
                </c:pt>
                <c:pt idx="52">
                  <c:v>#N/A</c:v>
                </c:pt>
                <c:pt idx="53">
                  <c:v>#N/A</c:v>
                </c:pt>
                <c:pt idx="54">
                  <c:v>#N/A</c:v>
                </c:pt>
                <c:pt idx="55">
                  <c:v>#N/A</c:v>
                </c:pt>
                <c:pt idx="56">
                  <c:v>#N/A</c:v>
                </c:pt>
                <c:pt idx="57">
                  <c:v>#N/A</c:v>
                </c:pt>
                <c:pt idx="58">
                  <c:v>2765000</c:v>
                </c:pt>
                <c:pt idx="59">
                  <c:v>1897000</c:v>
                </c:pt>
                <c:pt idx="60">
                  <c:v>#N/A</c:v>
                </c:pt>
                <c:pt idx="61">
                  <c:v>#N/A</c:v>
                </c:pt>
                <c:pt idx="62">
                  <c:v>1753000</c:v>
                </c:pt>
                <c:pt idx="63">
                  <c:v>#N/A</c:v>
                </c:pt>
                <c:pt idx="64">
                  <c:v>#N/A</c:v>
                </c:pt>
                <c:pt idx="65">
                  <c:v>#N/A</c:v>
                </c:pt>
                <c:pt idx="66">
                  <c:v>#N/A</c:v>
                </c:pt>
                <c:pt idx="67">
                  <c:v>#N/A</c:v>
                </c:pt>
                <c:pt idx="68">
                  <c:v>#N/A</c:v>
                </c:pt>
                <c:pt idx="69">
                  <c:v>1477000</c:v>
                </c:pt>
                <c:pt idx="70">
                  <c:v>2097000</c:v>
                </c:pt>
                <c:pt idx="71">
                  <c:v>1669000</c:v>
                </c:pt>
                <c:pt idx="72">
                  <c:v>#N/A</c:v>
                </c:pt>
                <c:pt idx="73">
                  <c:v>#N/A</c:v>
                </c:pt>
                <c:pt idx="74">
                  <c:v>#N/A</c:v>
                </c:pt>
                <c:pt idx="75">
                  <c:v>#N/A</c:v>
                </c:pt>
                <c:pt idx="76">
                  <c:v>1517000</c:v>
                </c:pt>
                <c:pt idx="77">
                  <c:v>#N/A</c:v>
                </c:pt>
                <c:pt idx="78">
                  <c:v>1662000</c:v>
                </c:pt>
                <c:pt idx="79">
                  <c:v>#N/A</c:v>
                </c:pt>
                <c:pt idx="80">
                  <c:v>#N/A</c:v>
                </c:pt>
                <c:pt idx="81">
                  <c:v>#N/A</c:v>
                </c:pt>
                <c:pt idx="82">
                  <c:v>#N/A</c:v>
                </c:pt>
                <c:pt idx="83">
                  <c:v>1982000</c:v>
                </c:pt>
                <c:pt idx="84">
                  <c:v>1789000</c:v>
                </c:pt>
                <c:pt idx="85">
                  <c:v>#N/A</c:v>
                </c:pt>
                <c:pt idx="86">
                  <c:v>#N/A</c:v>
                </c:pt>
                <c:pt idx="87">
                  <c:v>#N/A</c:v>
                </c:pt>
                <c:pt idx="88">
                  <c:v>#N/A</c:v>
                </c:pt>
                <c:pt idx="89">
                  <c:v>2258000</c:v>
                </c:pt>
                <c:pt idx="90">
                  <c:v>#N/A</c:v>
                </c:pt>
                <c:pt idx="91">
                  <c:v>#N/A</c:v>
                </c:pt>
                <c:pt idx="92">
                  <c:v>#N/A</c:v>
                </c:pt>
                <c:pt idx="93">
                  <c:v>1927000</c:v>
                </c:pt>
                <c:pt idx="94">
                  <c:v>2602000</c:v>
                </c:pt>
                <c:pt idx="95">
                  <c:v>#N/A</c:v>
                </c:pt>
                <c:pt idx="96">
                  <c:v>#N/A</c:v>
                </c:pt>
                <c:pt idx="97">
                  <c:v>2703000</c:v>
                </c:pt>
                <c:pt idx="98">
                  <c:v>2025000</c:v>
                </c:pt>
                <c:pt idx="99">
                  <c:v>#N/A</c:v>
                </c:pt>
                <c:pt idx="100">
                  <c:v>#N/A</c:v>
                </c:pt>
                <c:pt idx="101">
                  <c:v>3097000</c:v>
                </c:pt>
                <c:pt idx="102">
                  <c:v>#N/A</c:v>
                </c:pt>
                <c:pt idx="103">
                  <c:v>#N/A</c:v>
                </c:pt>
                <c:pt idx="104">
                  <c:v>1186000</c:v>
                </c:pt>
                <c:pt idx="105">
                  <c:v>#N/A</c:v>
                </c:pt>
                <c:pt idx="106">
                  <c:v>#N/A</c:v>
                </c:pt>
                <c:pt idx="107">
                  <c:v>#N/A</c:v>
                </c:pt>
                <c:pt idx="108">
                  <c:v>#N/A</c:v>
                </c:pt>
                <c:pt idx="109">
                  <c:v>#N/A</c:v>
                </c:pt>
                <c:pt idx="110">
                  <c:v>#N/A</c:v>
                </c:pt>
                <c:pt idx="111">
                  <c:v>#N/A</c:v>
                </c:pt>
                <c:pt idx="112">
                  <c:v>#N/A</c:v>
                </c:pt>
                <c:pt idx="113">
                  <c:v>#N/A</c:v>
                </c:pt>
                <c:pt idx="114">
                  <c:v>2255000</c:v>
                </c:pt>
                <c:pt idx="115">
                  <c:v>2150000</c:v>
                </c:pt>
                <c:pt idx="116">
                  <c:v>#N/A</c:v>
                </c:pt>
                <c:pt idx="117">
                  <c:v>#N/A</c:v>
                </c:pt>
                <c:pt idx="118">
                  <c:v>#N/A</c:v>
                </c:pt>
                <c:pt idx="119">
                  <c:v>#N/A</c:v>
                </c:pt>
                <c:pt idx="120">
                  <c:v>#N/A</c:v>
                </c:pt>
                <c:pt idx="121">
                  <c:v>2291000</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2368000</c:v>
                </c:pt>
                <c:pt idx="136">
                  <c:v>#N/A</c:v>
                </c:pt>
                <c:pt idx="137">
                  <c:v>2478000</c:v>
                </c:pt>
                <c:pt idx="138">
                  <c:v>3094000</c:v>
                </c:pt>
                <c:pt idx="139">
                  <c:v>#N/A</c:v>
                </c:pt>
                <c:pt idx="140">
                  <c:v>#N/A</c:v>
                </c:pt>
                <c:pt idx="141">
                  <c:v>#N/A</c:v>
                </c:pt>
                <c:pt idx="142">
                  <c:v>#N/A</c:v>
                </c:pt>
                <c:pt idx="143">
                  <c:v>1623000</c:v>
                </c:pt>
                <c:pt idx="144">
                  <c:v>#N/A</c:v>
                </c:pt>
                <c:pt idx="145">
                  <c:v>#N/A</c:v>
                </c:pt>
                <c:pt idx="146">
                  <c:v>#N/A</c:v>
                </c:pt>
                <c:pt idx="147">
                  <c:v>#N/A</c:v>
                </c:pt>
                <c:pt idx="148">
                  <c:v>#N/A</c:v>
                </c:pt>
                <c:pt idx="149">
                  <c:v>#N/A</c:v>
                </c:pt>
                <c:pt idx="150">
                  <c:v>#N/A</c:v>
                </c:pt>
                <c:pt idx="151">
                  <c:v>1357000</c:v>
                </c:pt>
                <c:pt idx="152">
                  <c:v>#N/A</c:v>
                </c:pt>
                <c:pt idx="153">
                  <c:v>#N/A</c:v>
                </c:pt>
                <c:pt idx="154">
                  <c:v>2934000</c:v>
                </c:pt>
                <c:pt idx="155">
                  <c:v>#N/A</c:v>
                </c:pt>
                <c:pt idx="156">
                  <c:v>1783000</c:v>
                </c:pt>
                <c:pt idx="157">
                  <c:v>#N/A</c:v>
                </c:pt>
                <c:pt idx="158">
                  <c:v>#N/A</c:v>
                </c:pt>
                <c:pt idx="159">
                  <c:v>#N/A</c:v>
                </c:pt>
                <c:pt idx="160">
                  <c:v>#N/A</c:v>
                </c:pt>
                <c:pt idx="161">
                  <c:v>3382000</c:v>
                </c:pt>
                <c:pt idx="162">
                  <c:v>1312000</c:v>
                </c:pt>
                <c:pt idx="163">
                  <c:v>#N/A</c:v>
                </c:pt>
                <c:pt idx="164">
                  <c:v>1545000</c:v>
                </c:pt>
                <c:pt idx="165">
                  <c:v>#N/A</c:v>
                </c:pt>
                <c:pt idx="166">
                  <c:v>#N/A</c:v>
                </c:pt>
                <c:pt idx="167">
                  <c:v>3008000</c:v>
                </c:pt>
                <c:pt idx="168">
                  <c:v>2942000</c:v>
                </c:pt>
                <c:pt idx="169">
                  <c:v>#N/A</c:v>
                </c:pt>
                <c:pt idx="170">
                  <c:v>2437000</c:v>
                </c:pt>
                <c:pt idx="171">
                  <c:v>#N/A</c:v>
                </c:pt>
                <c:pt idx="172">
                  <c:v>#N/A</c:v>
                </c:pt>
                <c:pt idx="173">
                  <c:v>2586000</c:v>
                </c:pt>
                <c:pt idx="174">
                  <c:v>#N/A</c:v>
                </c:pt>
                <c:pt idx="175">
                  <c:v>#N/A</c:v>
                </c:pt>
                <c:pt idx="176">
                  <c:v>#N/A</c:v>
                </c:pt>
                <c:pt idx="177">
                  <c:v>#N/A</c:v>
                </c:pt>
                <c:pt idx="178">
                  <c:v>#N/A</c:v>
                </c:pt>
                <c:pt idx="179">
                  <c:v>#N/A</c:v>
                </c:pt>
                <c:pt idx="180">
                  <c:v>#N/A</c:v>
                </c:pt>
                <c:pt idx="181">
                  <c:v>2376000</c:v>
                </c:pt>
                <c:pt idx="182">
                  <c:v>#N/A</c:v>
                </c:pt>
                <c:pt idx="183">
                  <c:v>#N/A</c:v>
                </c:pt>
                <c:pt idx="184">
                  <c:v>#N/A</c:v>
                </c:pt>
                <c:pt idx="185">
                  <c:v>#N/A</c:v>
                </c:pt>
                <c:pt idx="186">
                  <c:v>2911000</c:v>
                </c:pt>
                <c:pt idx="187">
                  <c:v>#N/A</c:v>
                </c:pt>
                <c:pt idx="188">
                  <c:v>#N/A</c:v>
                </c:pt>
                <c:pt idx="189">
                  <c:v>#N/A</c:v>
                </c:pt>
                <c:pt idx="190">
                  <c:v>#N/A</c:v>
                </c:pt>
                <c:pt idx="191">
                  <c:v>#N/A</c:v>
                </c:pt>
                <c:pt idx="192">
                  <c:v>3470000</c:v>
                </c:pt>
                <c:pt idx="193">
                  <c:v>#N/A</c:v>
                </c:pt>
                <c:pt idx="194">
                  <c:v>#N/A</c:v>
                </c:pt>
                <c:pt idx="195">
                  <c:v>2339000</c:v>
                </c:pt>
                <c:pt idx="196">
                  <c:v>#N/A</c:v>
                </c:pt>
                <c:pt idx="197">
                  <c:v>2257000</c:v>
                </c:pt>
                <c:pt idx="198">
                  <c:v>#N/A</c:v>
                </c:pt>
                <c:pt idx="199">
                  <c:v>#N/A</c:v>
                </c:pt>
                <c:pt idx="200">
                  <c:v>#N/A</c:v>
                </c:pt>
                <c:pt idx="201">
                  <c:v>2015000</c:v>
                </c:pt>
                <c:pt idx="202">
                  <c:v>#N/A</c:v>
                </c:pt>
                <c:pt idx="203">
                  <c:v>2389000</c:v>
                </c:pt>
                <c:pt idx="204">
                  <c:v>1772000</c:v>
                </c:pt>
                <c:pt idx="205">
                  <c:v>#N/A</c:v>
                </c:pt>
                <c:pt idx="206">
                  <c:v>#N/A</c:v>
                </c:pt>
                <c:pt idx="207">
                  <c:v>#N/A</c:v>
                </c:pt>
                <c:pt idx="208">
                  <c:v>#N/A</c:v>
                </c:pt>
                <c:pt idx="209">
                  <c:v>2956000</c:v>
                </c:pt>
                <c:pt idx="210">
                  <c:v>#N/A</c:v>
                </c:pt>
                <c:pt idx="211">
                  <c:v>#N/A</c:v>
                </c:pt>
                <c:pt idx="212">
                  <c:v>2267000</c:v>
                </c:pt>
                <c:pt idx="213">
                  <c:v>#N/A</c:v>
                </c:pt>
                <c:pt idx="214">
                  <c:v>#N/A</c:v>
                </c:pt>
                <c:pt idx="215">
                  <c:v>#N/A</c:v>
                </c:pt>
                <c:pt idx="216">
                  <c:v>3608000</c:v>
                </c:pt>
                <c:pt idx="217">
                  <c:v>#N/A</c:v>
                </c:pt>
                <c:pt idx="218">
                  <c:v>#N/A</c:v>
                </c:pt>
                <c:pt idx="219">
                  <c:v>2664000</c:v>
                </c:pt>
                <c:pt idx="220">
                  <c:v>2254000</c:v>
                </c:pt>
                <c:pt idx="221">
                  <c:v>#N/A</c:v>
                </c:pt>
                <c:pt idx="222">
                  <c:v>#N/A</c:v>
                </c:pt>
                <c:pt idx="223">
                  <c:v>#N/A</c:v>
                </c:pt>
                <c:pt idx="224">
                  <c:v>1713000</c:v>
                </c:pt>
                <c:pt idx="225">
                  <c:v>1356000</c:v>
                </c:pt>
                <c:pt idx="226">
                  <c:v>#N/A</c:v>
                </c:pt>
                <c:pt idx="227">
                  <c:v>3238000</c:v>
                </c:pt>
                <c:pt idx="228">
                  <c:v>#N/A</c:v>
                </c:pt>
                <c:pt idx="229">
                  <c:v>1535000</c:v>
                </c:pt>
                <c:pt idx="230">
                  <c:v>#N/A</c:v>
                </c:pt>
                <c:pt idx="231">
                  <c:v>#N/A</c:v>
                </c:pt>
                <c:pt idx="232">
                  <c:v>#N/A</c:v>
                </c:pt>
                <c:pt idx="233">
                  <c:v>#N/A</c:v>
                </c:pt>
                <c:pt idx="234">
                  <c:v>1595000</c:v>
                </c:pt>
                <c:pt idx="235">
                  <c:v>1828000</c:v>
                </c:pt>
                <c:pt idx="236">
                  <c:v>#N/A</c:v>
                </c:pt>
                <c:pt idx="237">
                  <c:v>#N/A</c:v>
                </c:pt>
                <c:pt idx="238">
                  <c:v>2864000</c:v>
                </c:pt>
                <c:pt idx="239">
                  <c:v>#N/A</c:v>
                </c:pt>
                <c:pt idx="240">
                  <c:v>#N/A</c:v>
                </c:pt>
                <c:pt idx="241">
                  <c:v>1531000</c:v>
                </c:pt>
                <c:pt idx="242">
                  <c:v>#N/A</c:v>
                </c:pt>
                <c:pt idx="243">
                  <c:v>1797000</c:v>
                </c:pt>
                <c:pt idx="244">
                  <c:v>2328000</c:v>
                </c:pt>
                <c:pt idx="245">
                  <c:v>#N/A</c:v>
                </c:pt>
                <c:pt idx="246">
                  <c:v>#N/A</c:v>
                </c:pt>
                <c:pt idx="247">
                  <c:v>#N/A</c:v>
                </c:pt>
                <c:pt idx="248">
                  <c:v>#N/A</c:v>
                </c:pt>
                <c:pt idx="249">
                  <c:v>#N/A</c:v>
                </c:pt>
                <c:pt idx="250">
                  <c:v>#N/A</c:v>
                </c:pt>
                <c:pt idx="251">
                  <c:v>3362000</c:v>
                </c:pt>
                <c:pt idx="252">
                  <c:v>#N/A</c:v>
                </c:pt>
                <c:pt idx="253">
                  <c:v>1995000</c:v>
                </c:pt>
                <c:pt idx="254">
                  <c:v>1241000</c:v>
                </c:pt>
                <c:pt idx="255">
                  <c:v>1518000</c:v>
                </c:pt>
                <c:pt idx="256">
                  <c:v>2533000</c:v>
                </c:pt>
                <c:pt idx="257">
                  <c:v>3877000</c:v>
                </c:pt>
                <c:pt idx="258">
                  <c:v>1336000</c:v>
                </c:pt>
                <c:pt idx="259">
                  <c:v>#N/A</c:v>
                </c:pt>
                <c:pt idx="260">
                  <c:v>#N/A</c:v>
                </c:pt>
                <c:pt idx="261">
                  <c:v>#N/A</c:v>
                </c:pt>
                <c:pt idx="262">
                  <c:v>#N/A</c:v>
                </c:pt>
                <c:pt idx="263">
                  <c:v>#N/A</c:v>
                </c:pt>
                <c:pt idx="264">
                  <c:v>#N/A</c:v>
                </c:pt>
                <c:pt idx="265">
                  <c:v>2095000</c:v>
                </c:pt>
                <c:pt idx="266">
                  <c:v>#N/A</c:v>
                </c:pt>
                <c:pt idx="267">
                  <c:v>#N/A</c:v>
                </c:pt>
                <c:pt idx="268">
                  <c:v>2222000</c:v>
                </c:pt>
                <c:pt idx="269">
                  <c:v>#N/A</c:v>
                </c:pt>
                <c:pt idx="270">
                  <c:v>#N/A</c:v>
                </c:pt>
                <c:pt idx="271">
                  <c:v>2236000</c:v>
                </c:pt>
                <c:pt idx="272">
                  <c:v>#N/A</c:v>
                </c:pt>
                <c:pt idx="273">
                  <c:v>#N/A</c:v>
                </c:pt>
                <c:pt idx="274">
                  <c:v>#N/A</c:v>
                </c:pt>
                <c:pt idx="275">
                  <c:v>#N/A</c:v>
                </c:pt>
                <c:pt idx="276">
                  <c:v>#N/A</c:v>
                </c:pt>
                <c:pt idx="277">
                  <c:v>#N/A</c:v>
                </c:pt>
                <c:pt idx="278">
                  <c:v>1676000</c:v>
                </c:pt>
                <c:pt idx="279">
                  <c:v>#N/A</c:v>
                </c:pt>
                <c:pt idx="280">
                  <c:v>#N/A</c:v>
                </c:pt>
                <c:pt idx="281">
                  <c:v>2454000</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1783000</c:v>
                </c:pt>
                <c:pt idx="298">
                  <c:v>#N/A</c:v>
                </c:pt>
                <c:pt idx="299">
                  <c:v>#N/A</c:v>
                </c:pt>
                <c:pt idx="300">
                  <c:v>2074000</c:v>
                </c:pt>
                <c:pt idx="301">
                  <c:v>#N/A</c:v>
                </c:pt>
                <c:pt idx="302">
                  <c:v>#N/A</c:v>
                </c:pt>
                <c:pt idx="303">
                  <c:v>#N/A</c:v>
                </c:pt>
                <c:pt idx="304">
                  <c:v>#N/A</c:v>
                </c:pt>
                <c:pt idx="305">
                  <c:v>1652000</c:v>
                </c:pt>
                <c:pt idx="306">
                  <c:v>#N/A</c:v>
                </c:pt>
                <c:pt idx="307">
                  <c:v>1773000</c:v>
                </c:pt>
                <c:pt idx="308">
                  <c:v>#N/A</c:v>
                </c:pt>
                <c:pt idx="309">
                  <c:v>#N/A</c:v>
                </c:pt>
                <c:pt idx="310">
                  <c:v>#N/A</c:v>
                </c:pt>
                <c:pt idx="311">
                  <c:v>#N/A</c:v>
                </c:pt>
                <c:pt idx="312">
                  <c:v>2402000</c:v>
                </c:pt>
                <c:pt idx="313">
                  <c:v>1789000</c:v>
                </c:pt>
                <c:pt idx="314">
                  <c:v>#N/A</c:v>
                </c:pt>
                <c:pt idx="315">
                  <c:v>#N/A</c:v>
                </c:pt>
                <c:pt idx="316">
                  <c:v>#N/A</c:v>
                </c:pt>
                <c:pt idx="317">
                  <c:v>1696000</c:v>
                </c:pt>
                <c:pt idx="318">
                  <c:v>#N/A</c:v>
                </c:pt>
                <c:pt idx="319">
                  <c:v>#N/A</c:v>
                </c:pt>
                <c:pt idx="320">
                  <c:v>#N/A</c:v>
                </c:pt>
                <c:pt idx="321">
                  <c:v>#N/A</c:v>
                </c:pt>
                <c:pt idx="322">
                  <c:v>2643000</c:v>
                </c:pt>
                <c:pt idx="323">
                  <c:v>#N/A</c:v>
                </c:pt>
                <c:pt idx="324">
                  <c:v>2435000</c:v>
                </c:pt>
                <c:pt idx="325">
                  <c:v>#N/A</c:v>
                </c:pt>
                <c:pt idx="326">
                  <c:v>#N/A</c:v>
                </c:pt>
                <c:pt idx="327">
                  <c:v>2156000</c:v>
                </c:pt>
                <c:pt idx="328">
                  <c:v>#N/A</c:v>
                </c:pt>
                <c:pt idx="329">
                  <c:v>#N/A</c:v>
                </c:pt>
                <c:pt idx="330">
                  <c:v>#N/A</c:v>
                </c:pt>
                <c:pt idx="331">
                  <c:v>1845000</c:v>
                </c:pt>
                <c:pt idx="332">
                  <c:v>#N/A</c:v>
                </c:pt>
                <c:pt idx="333">
                  <c:v>#N/A</c:v>
                </c:pt>
                <c:pt idx="334">
                  <c:v>#N/A</c:v>
                </c:pt>
                <c:pt idx="335">
                  <c:v>#N/A</c:v>
                </c:pt>
                <c:pt idx="336">
                  <c:v>#N/A</c:v>
                </c:pt>
                <c:pt idx="337">
                  <c:v>#N/A</c:v>
                </c:pt>
                <c:pt idx="338">
                  <c:v>1419000</c:v>
                </c:pt>
                <c:pt idx="339">
                  <c:v>#N/A</c:v>
                </c:pt>
                <c:pt idx="340">
                  <c:v>2155000</c:v>
                </c:pt>
                <c:pt idx="341">
                  <c:v>2451000</c:v>
                </c:pt>
                <c:pt idx="342">
                  <c:v>3236000</c:v>
                </c:pt>
                <c:pt idx="343">
                  <c:v>#N/A</c:v>
                </c:pt>
                <c:pt idx="344">
                  <c:v>1392000</c:v>
                </c:pt>
                <c:pt idx="345">
                  <c:v>1964000</c:v>
                </c:pt>
                <c:pt idx="346">
                  <c:v>#N/A</c:v>
                </c:pt>
                <c:pt idx="347">
                  <c:v>2674000</c:v>
                </c:pt>
                <c:pt idx="348">
                  <c:v>#N/A</c:v>
                </c:pt>
                <c:pt idx="349">
                  <c:v>#N/A</c:v>
                </c:pt>
                <c:pt idx="350">
                  <c:v>#N/A</c:v>
                </c:pt>
                <c:pt idx="351">
                  <c:v>#N/A</c:v>
                </c:pt>
                <c:pt idx="352">
                  <c:v>#N/A</c:v>
                </c:pt>
                <c:pt idx="353">
                  <c:v>2466000</c:v>
                </c:pt>
                <c:pt idx="354">
                  <c:v>#N/A</c:v>
                </c:pt>
                <c:pt idx="355">
                  <c:v>#N/A</c:v>
                </c:pt>
                <c:pt idx="356">
                  <c:v>1988000</c:v>
                </c:pt>
                <c:pt idx="357">
                  <c:v>#N/A</c:v>
                </c:pt>
                <c:pt idx="358">
                  <c:v>1593000</c:v>
                </c:pt>
                <c:pt idx="359">
                  <c:v>#N/A</c:v>
                </c:pt>
                <c:pt idx="360">
                  <c:v>3813000</c:v>
                </c:pt>
                <c:pt idx="361">
                  <c:v>#N/A</c:v>
                </c:pt>
                <c:pt idx="362">
                  <c:v>#N/A</c:v>
                </c:pt>
                <c:pt idx="363">
                  <c:v>#N/A</c:v>
                </c:pt>
                <c:pt idx="364">
                  <c:v>#N/A</c:v>
                </c:pt>
                <c:pt idx="365">
                  <c:v>#N/A</c:v>
                </c:pt>
                <c:pt idx="366">
                  <c:v>#N/A</c:v>
                </c:pt>
                <c:pt idx="367">
                  <c:v>#N/A</c:v>
                </c:pt>
                <c:pt idx="368">
                  <c:v>#N/A</c:v>
                </c:pt>
                <c:pt idx="369">
                  <c:v>#N/A</c:v>
                </c:pt>
                <c:pt idx="370">
                  <c:v>1722000</c:v>
                </c:pt>
                <c:pt idx="371">
                  <c:v>#N/A</c:v>
                </c:pt>
                <c:pt idx="372">
                  <c:v>#N/A</c:v>
                </c:pt>
                <c:pt idx="373">
                  <c:v>#N/A</c:v>
                </c:pt>
                <c:pt idx="374">
                  <c:v>#N/A</c:v>
                </c:pt>
                <c:pt idx="375">
                  <c:v>#N/A</c:v>
                </c:pt>
                <c:pt idx="376">
                  <c:v>1128000</c:v>
                </c:pt>
                <c:pt idx="377">
                  <c:v>#N/A</c:v>
                </c:pt>
                <c:pt idx="378">
                  <c:v>1613000</c:v>
                </c:pt>
                <c:pt idx="379">
                  <c:v>#N/A</c:v>
                </c:pt>
                <c:pt idx="380">
                  <c:v>#N/A</c:v>
                </c:pt>
                <c:pt idx="381">
                  <c:v>2439000</c:v>
                </c:pt>
                <c:pt idx="382">
                  <c:v>#N/A</c:v>
                </c:pt>
                <c:pt idx="383">
                  <c:v>#N/A</c:v>
                </c:pt>
                <c:pt idx="384">
                  <c:v>#N/A</c:v>
                </c:pt>
                <c:pt idx="385">
                  <c:v>2156000</c:v>
                </c:pt>
                <c:pt idx="386">
                  <c:v>#N/A</c:v>
                </c:pt>
                <c:pt idx="387">
                  <c:v>2996000</c:v>
                </c:pt>
                <c:pt idx="388">
                  <c:v>1820000</c:v>
                </c:pt>
                <c:pt idx="389">
                  <c:v>#N/A</c:v>
                </c:pt>
                <c:pt idx="390">
                  <c:v>#N/A</c:v>
                </c:pt>
                <c:pt idx="391">
                  <c:v>2952000</c:v>
                </c:pt>
                <c:pt idx="392">
                  <c:v>#N/A</c:v>
                </c:pt>
                <c:pt idx="393">
                  <c:v>1390000</c:v>
                </c:pt>
                <c:pt idx="394">
                  <c:v>#N/A</c:v>
                </c:pt>
                <c:pt idx="395">
                  <c:v>#N/A</c:v>
                </c:pt>
                <c:pt idx="396">
                  <c:v>#N/A</c:v>
                </c:pt>
                <c:pt idx="397">
                  <c:v>#N/A</c:v>
                </c:pt>
                <c:pt idx="398">
                  <c:v>1735000</c:v>
                </c:pt>
                <c:pt idx="399">
                  <c:v>1934000</c:v>
                </c:pt>
                <c:pt idx="400">
                  <c:v>#N/A</c:v>
                </c:pt>
                <c:pt idx="401">
                  <c:v>#N/A</c:v>
                </c:pt>
                <c:pt idx="402">
                  <c:v>#N/A</c:v>
                </c:pt>
                <c:pt idx="403">
                  <c:v>#N/A</c:v>
                </c:pt>
                <c:pt idx="404">
                  <c:v>#N/A</c:v>
                </c:pt>
                <c:pt idx="405">
                  <c:v>#N/A</c:v>
                </c:pt>
                <c:pt idx="406">
                  <c:v>#N/A</c:v>
                </c:pt>
                <c:pt idx="407">
                  <c:v>#N/A</c:v>
                </c:pt>
                <c:pt idx="408">
                  <c:v>1577000</c:v>
                </c:pt>
                <c:pt idx="409">
                  <c:v>1383000</c:v>
                </c:pt>
                <c:pt idx="410">
                  <c:v>2163000</c:v>
                </c:pt>
                <c:pt idx="411">
                  <c:v>#N/A</c:v>
                </c:pt>
                <c:pt idx="412">
                  <c:v>#N/A</c:v>
                </c:pt>
                <c:pt idx="413">
                  <c:v>#N/A</c:v>
                </c:pt>
                <c:pt idx="414">
                  <c:v>2693000</c:v>
                </c:pt>
                <c:pt idx="415">
                  <c:v>#N/A</c:v>
                </c:pt>
                <c:pt idx="416">
                  <c:v>#N/A</c:v>
                </c:pt>
                <c:pt idx="417">
                  <c:v>2924000</c:v>
                </c:pt>
                <c:pt idx="418">
                  <c:v>#N/A</c:v>
                </c:pt>
                <c:pt idx="419">
                  <c:v>#N/A</c:v>
                </c:pt>
                <c:pt idx="420">
                  <c:v>#N/A</c:v>
                </c:pt>
                <c:pt idx="421">
                  <c:v>#N/A</c:v>
                </c:pt>
                <c:pt idx="422">
                  <c:v>#N/A</c:v>
                </c:pt>
                <c:pt idx="423">
                  <c:v>#N/A</c:v>
                </c:pt>
                <c:pt idx="424">
                  <c:v>#N/A</c:v>
                </c:pt>
                <c:pt idx="425">
                  <c:v>#N/A</c:v>
                </c:pt>
                <c:pt idx="426">
                  <c:v>1511000</c:v>
                </c:pt>
                <c:pt idx="427">
                  <c:v>#N/A</c:v>
                </c:pt>
                <c:pt idx="428">
                  <c:v>#N/A</c:v>
                </c:pt>
                <c:pt idx="429">
                  <c:v>#N/A</c:v>
                </c:pt>
                <c:pt idx="430">
                  <c:v>#N/A</c:v>
                </c:pt>
                <c:pt idx="431">
                  <c:v>#N/A</c:v>
                </c:pt>
                <c:pt idx="432">
                  <c:v>1854000</c:v>
                </c:pt>
                <c:pt idx="433">
                  <c:v>#N/A</c:v>
                </c:pt>
                <c:pt idx="434">
                  <c:v>1864000</c:v>
                </c:pt>
                <c:pt idx="435">
                  <c:v>#N/A</c:v>
                </c:pt>
                <c:pt idx="436">
                  <c:v>1559000</c:v>
                </c:pt>
                <c:pt idx="437">
                  <c:v>#N/A</c:v>
                </c:pt>
                <c:pt idx="438">
                  <c:v>3016000</c:v>
                </c:pt>
                <c:pt idx="439">
                  <c:v>#N/A</c:v>
                </c:pt>
                <c:pt idx="440">
                  <c:v>#N/A</c:v>
                </c:pt>
                <c:pt idx="441">
                  <c:v>1689000</c:v>
                </c:pt>
                <c:pt idx="442">
                  <c:v>#N/A</c:v>
                </c:pt>
                <c:pt idx="443">
                  <c:v>#N/A</c:v>
                </c:pt>
                <c:pt idx="444">
                  <c:v>#N/A</c:v>
                </c:pt>
                <c:pt idx="445">
                  <c:v>2611000</c:v>
                </c:pt>
                <c:pt idx="446">
                  <c:v>2302000</c:v>
                </c:pt>
                <c:pt idx="447">
                  <c:v>#N/A</c:v>
                </c:pt>
                <c:pt idx="448">
                  <c:v>#N/A</c:v>
                </c:pt>
                <c:pt idx="449">
                  <c:v>#N/A</c:v>
                </c:pt>
                <c:pt idx="450">
                  <c:v>#N/A</c:v>
                </c:pt>
                <c:pt idx="451">
                  <c:v>#N/A</c:v>
                </c:pt>
                <c:pt idx="452">
                  <c:v>2243000</c:v>
                </c:pt>
                <c:pt idx="453">
                  <c:v>#N/A</c:v>
                </c:pt>
                <c:pt idx="454">
                  <c:v>#N/A</c:v>
                </c:pt>
                <c:pt idx="455">
                  <c:v>#N/A</c:v>
                </c:pt>
                <c:pt idx="456">
                  <c:v>#N/A</c:v>
                </c:pt>
                <c:pt idx="457">
                  <c:v>#N/A</c:v>
                </c:pt>
                <c:pt idx="458">
                  <c:v>#N/A</c:v>
                </c:pt>
                <c:pt idx="459">
                  <c:v>#N/A</c:v>
                </c:pt>
                <c:pt idx="460">
                  <c:v>2817000</c:v>
                </c:pt>
                <c:pt idx="461">
                  <c:v>#N/A</c:v>
                </c:pt>
                <c:pt idx="462">
                  <c:v>1860000</c:v>
                </c:pt>
                <c:pt idx="463">
                  <c:v>1842000</c:v>
                </c:pt>
                <c:pt idx="464">
                  <c:v>#N/A</c:v>
                </c:pt>
                <c:pt idx="465">
                  <c:v>#N/A</c:v>
                </c:pt>
                <c:pt idx="466">
                  <c:v>#N/A</c:v>
                </c:pt>
                <c:pt idx="467">
                  <c:v>#N/A</c:v>
                </c:pt>
                <c:pt idx="468">
                  <c:v>1413000</c:v>
                </c:pt>
                <c:pt idx="469">
                  <c:v>#N/A</c:v>
                </c:pt>
                <c:pt idx="470">
                  <c:v>#N/A</c:v>
                </c:pt>
                <c:pt idx="471">
                  <c:v>#N/A</c:v>
                </c:pt>
                <c:pt idx="472">
                  <c:v>#N/A</c:v>
                </c:pt>
                <c:pt idx="473">
                  <c:v>#N/A</c:v>
                </c:pt>
                <c:pt idx="474">
                  <c:v>3035000</c:v>
                </c:pt>
                <c:pt idx="475">
                  <c:v>1402000</c:v>
                </c:pt>
                <c:pt idx="476">
                  <c:v>#N/A</c:v>
                </c:pt>
                <c:pt idx="477">
                  <c:v>1407000</c:v>
                </c:pt>
                <c:pt idx="478">
                  <c:v>#N/A</c:v>
                </c:pt>
                <c:pt idx="479">
                  <c:v>#N/A</c:v>
                </c:pt>
                <c:pt idx="480">
                  <c:v>#N/A</c:v>
                </c:pt>
                <c:pt idx="481">
                  <c:v>#N/A</c:v>
                </c:pt>
                <c:pt idx="482">
                  <c:v>#N/A</c:v>
                </c:pt>
                <c:pt idx="483">
                  <c:v>1442000</c:v>
                </c:pt>
                <c:pt idx="484">
                  <c:v>3009000</c:v>
                </c:pt>
                <c:pt idx="485">
                  <c:v>#N/A</c:v>
                </c:pt>
                <c:pt idx="486">
                  <c:v>2409000</c:v>
                </c:pt>
                <c:pt idx="487">
                  <c:v>#N/A</c:v>
                </c:pt>
                <c:pt idx="488">
                  <c:v>2169000</c:v>
                </c:pt>
                <c:pt idx="489">
                  <c:v>#N/A</c:v>
                </c:pt>
                <c:pt idx="490">
                  <c:v>#N/A</c:v>
                </c:pt>
                <c:pt idx="491">
                  <c:v>1593000</c:v>
                </c:pt>
                <c:pt idx="492">
                  <c:v>#N/A</c:v>
                </c:pt>
                <c:pt idx="493">
                  <c:v>1550000</c:v>
                </c:pt>
                <c:pt idx="494">
                  <c:v>#N/A</c:v>
                </c:pt>
                <c:pt idx="495">
                  <c:v>#N/A</c:v>
                </c:pt>
                <c:pt idx="496">
                  <c:v>#N/A</c:v>
                </c:pt>
                <c:pt idx="497">
                  <c:v>1377000</c:v>
                </c:pt>
                <c:pt idx="498">
                  <c:v>1628000</c:v>
                </c:pt>
                <c:pt idx="499">
                  <c:v>#N/A</c:v>
                </c:pt>
                <c:pt idx="500">
                  <c:v>4253000</c:v>
                </c:pt>
                <c:pt idx="501">
                  <c:v>#N/A</c:v>
                </c:pt>
                <c:pt idx="502">
                  <c:v>#N/A</c:v>
                </c:pt>
                <c:pt idx="503">
                  <c:v>#N/A</c:v>
                </c:pt>
                <c:pt idx="504">
                  <c:v>#N/A</c:v>
                </c:pt>
                <c:pt idx="505">
                  <c:v>#N/A</c:v>
                </c:pt>
                <c:pt idx="506">
                  <c:v>#N/A</c:v>
                </c:pt>
                <c:pt idx="507">
                  <c:v>#N/A</c:v>
                </c:pt>
                <c:pt idx="508">
                  <c:v>3767000</c:v>
                </c:pt>
                <c:pt idx="509">
                  <c:v>#N/A</c:v>
                </c:pt>
                <c:pt idx="510">
                  <c:v>#N/A</c:v>
                </c:pt>
                <c:pt idx="511">
                  <c:v>#N/A</c:v>
                </c:pt>
                <c:pt idx="512">
                  <c:v>#N/A</c:v>
                </c:pt>
                <c:pt idx="513">
                  <c:v>#N/A</c:v>
                </c:pt>
                <c:pt idx="514">
                  <c:v>#N/A</c:v>
                </c:pt>
                <c:pt idx="515">
                  <c:v>#N/A</c:v>
                </c:pt>
                <c:pt idx="516">
                  <c:v>3128000</c:v>
                </c:pt>
                <c:pt idx="517">
                  <c:v>#N/A</c:v>
                </c:pt>
                <c:pt idx="518">
                  <c:v>#N/A</c:v>
                </c:pt>
                <c:pt idx="519">
                  <c:v>#N/A</c:v>
                </c:pt>
                <c:pt idx="520">
                  <c:v>#N/A</c:v>
                </c:pt>
                <c:pt idx="521">
                  <c:v>#N/A</c:v>
                </c:pt>
                <c:pt idx="522">
                  <c:v>#N/A</c:v>
                </c:pt>
                <c:pt idx="523">
                  <c:v>#N/A</c:v>
                </c:pt>
                <c:pt idx="524">
                  <c:v>#N/A</c:v>
                </c:pt>
                <c:pt idx="525">
                  <c:v>2669000</c:v>
                </c:pt>
                <c:pt idx="526">
                  <c:v>#N/A</c:v>
                </c:pt>
                <c:pt idx="527">
                  <c:v>#N/A</c:v>
                </c:pt>
                <c:pt idx="528">
                  <c:v>3946000</c:v>
                </c:pt>
                <c:pt idx="529">
                  <c:v>#N/A</c:v>
                </c:pt>
                <c:pt idx="530">
                  <c:v>2405000</c:v>
                </c:pt>
                <c:pt idx="531">
                  <c:v>#N/A</c:v>
                </c:pt>
                <c:pt idx="532">
                  <c:v>#N/A</c:v>
                </c:pt>
                <c:pt idx="533">
                  <c:v>#N/A</c:v>
                </c:pt>
                <c:pt idx="534">
                  <c:v>#N/A</c:v>
                </c:pt>
                <c:pt idx="535">
                  <c:v>#N/A</c:v>
                </c:pt>
                <c:pt idx="536">
                  <c:v>1530000</c:v>
                </c:pt>
                <c:pt idx="537">
                  <c:v>1920000</c:v>
                </c:pt>
                <c:pt idx="538">
                  <c:v>#N/A</c:v>
                </c:pt>
                <c:pt idx="539">
                  <c:v>#N/A</c:v>
                </c:pt>
                <c:pt idx="540">
                  <c:v>#N/A</c:v>
                </c:pt>
                <c:pt idx="541">
                  <c:v>#N/A</c:v>
                </c:pt>
                <c:pt idx="542">
                  <c:v>1580000</c:v>
                </c:pt>
                <c:pt idx="543">
                  <c:v>#N/A</c:v>
                </c:pt>
                <c:pt idx="544">
                  <c:v>2144000</c:v>
                </c:pt>
                <c:pt idx="545">
                  <c:v>#N/A</c:v>
                </c:pt>
                <c:pt idx="546">
                  <c:v>#N/A</c:v>
                </c:pt>
                <c:pt idx="547">
                  <c:v>#N/A</c:v>
                </c:pt>
                <c:pt idx="548">
                  <c:v>#N/A</c:v>
                </c:pt>
                <c:pt idx="549">
                  <c:v>#N/A</c:v>
                </c:pt>
                <c:pt idx="550">
                  <c:v>#N/A</c:v>
                </c:pt>
                <c:pt idx="551">
                  <c:v>#N/A</c:v>
                </c:pt>
                <c:pt idx="552">
                  <c:v>#N/A</c:v>
                </c:pt>
                <c:pt idx="553">
                  <c:v>#N/A</c:v>
                </c:pt>
                <c:pt idx="554">
                  <c:v>2158000</c:v>
                </c:pt>
                <c:pt idx="555">
                  <c:v>#N/A</c:v>
                </c:pt>
                <c:pt idx="556">
                  <c:v>#N/A</c:v>
                </c:pt>
                <c:pt idx="557">
                  <c:v>1757000</c:v>
                </c:pt>
                <c:pt idx="558">
                  <c:v>#N/A</c:v>
                </c:pt>
                <c:pt idx="559">
                  <c:v>#N/A</c:v>
                </c:pt>
                <c:pt idx="560">
                  <c:v>1885000</c:v>
                </c:pt>
                <c:pt idx="561">
                  <c:v>#N/A</c:v>
                </c:pt>
                <c:pt idx="562">
                  <c:v>#N/A</c:v>
                </c:pt>
                <c:pt idx="563">
                  <c:v>#N/A</c:v>
                </c:pt>
                <c:pt idx="564">
                  <c:v>#N/A</c:v>
                </c:pt>
                <c:pt idx="565">
                  <c:v>2804000</c:v>
                </c:pt>
                <c:pt idx="566">
                  <c:v>1227000</c:v>
                </c:pt>
                <c:pt idx="567">
                  <c:v>#N/A</c:v>
                </c:pt>
                <c:pt idx="568">
                  <c:v>#N/A</c:v>
                </c:pt>
                <c:pt idx="569">
                  <c:v>2334000</c:v>
                </c:pt>
                <c:pt idx="570">
                  <c:v>#N/A</c:v>
                </c:pt>
                <c:pt idx="571">
                  <c:v>#N/A</c:v>
                </c:pt>
                <c:pt idx="572">
                  <c:v>#N/A</c:v>
                </c:pt>
                <c:pt idx="573">
                  <c:v>#N/A</c:v>
                </c:pt>
                <c:pt idx="574">
                  <c:v>#N/A</c:v>
                </c:pt>
                <c:pt idx="575">
                  <c:v>1859000</c:v>
                </c:pt>
                <c:pt idx="576">
                  <c:v>1678000</c:v>
                </c:pt>
                <c:pt idx="577">
                  <c:v>#N/A</c:v>
                </c:pt>
                <c:pt idx="578">
                  <c:v>#N/A</c:v>
                </c:pt>
                <c:pt idx="579">
                  <c:v>#N/A</c:v>
                </c:pt>
                <c:pt idx="580">
                  <c:v>2380000</c:v>
                </c:pt>
                <c:pt idx="581">
                  <c:v>#N/A</c:v>
                </c:pt>
                <c:pt idx="582">
                  <c:v>#N/A</c:v>
                </c:pt>
                <c:pt idx="583">
                  <c:v>#N/A</c:v>
                </c:pt>
                <c:pt idx="584">
                  <c:v>#N/A</c:v>
                </c:pt>
                <c:pt idx="585">
                  <c:v>#N/A</c:v>
                </c:pt>
                <c:pt idx="586">
                  <c:v>#N/A</c:v>
                </c:pt>
                <c:pt idx="587">
                  <c:v>2121000</c:v>
                </c:pt>
                <c:pt idx="588">
                  <c:v>2070000</c:v>
                </c:pt>
                <c:pt idx="589">
                  <c:v>#N/A</c:v>
                </c:pt>
                <c:pt idx="590">
                  <c:v>#N/A</c:v>
                </c:pt>
                <c:pt idx="591">
                  <c:v>#N/A</c:v>
                </c:pt>
                <c:pt idx="592">
                  <c:v>1771000</c:v>
                </c:pt>
                <c:pt idx="593">
                  <c:v>2003000</c:v>
                </c:pt>
                <c:pt idx="594">
                  <c:v>#N/A</c:v>
                </c:pt>
                <c:pt idx="595">
                  <c:v>2254000</c:v>
                </c:pt>
                <c:pt idx="596">
                  <c:v>#N/A</c:v>
                </c:pt>
                <c:pt idx="597">
                  <c:v>#N/A</c:v>
                </c:pt>
                <c:pt idx="598">
                  <c:v>#N/A</c:v>
                </c:pt>
                <c:pt idx="599">
                  <c:v>#N/A</c:v>
                </c:pt>
                <c:pt idx="600">
                  <c:v>1988000</c:v>
                </c:pt>
                <c:pt idx="601">
                  <c:v>3185000</c:v>
                </c:pt>
                <c:pt idx="602">
                  <c:v>#N/A</c:v>
                </c:pt>
                <c:pt idx="603">
                  <c:v>#N/A</c:v>
                </c:pt>
                <c:pt idx="604">
                  <c:v>#N/A</c:v>
                </c:pt>
                <c:pt idx="605">
                  <c:v>2123000</c:v>
                </c:pt>
                <c:pt idx="606">
                  <c:v>#N/A</c:v>
                </c:pt>
                <c:pt idx="607">
                  <c:v>#N/A</c:v>
                </c:pt>
                <c:pt idx="608">
                  <c:v>2503000</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1369000</c:v>
                </c:pt>
                <c:pt idx="624">
                  <c:v>#N/A</c:v>
                </c:pt>
                <c:pt idx="625">
                  <c:v>#N/A</c:v>
                </c:pt>
                <c:pt idx="626">
                  <c:v>1914000</c:v>
                </c:pt>
                <c:pt idx="627">
                  <c:v>#N/A</c:v>
                </c:pt>
                <c:pt idx="628">
                  <c:v>#N/A</c:v>
                </c:pt>
                <c:pt idx="629">
                  <c:v>#N/A</c:v>
                </c:pt>
                <c:pt idx="630">
                  <c:v>2055000</c:v>
                </c:pt>
                <c:pt idx="631">
                  <c:v>#N/A</c:v>
                </c:pt>
                <c:pt idx="632">
                  <c:v>3626000</c:v>
                </c:pt>
                <c:pt idx="633">
                  <c:v>#N/A</c:v>
                </c:pt>
                <c:pt idx="634">
                  <c:v>#N/A</c:v>
                </c:pt>
                <c:pt idx="635">
                  <c:v>#N/A</c:v>
                </c:pt>
                <c:pt idx="636">
                  <c:v>#N/A</c:v>
                </c:pt>
                <c:pt idx="637">
                  <c:v>#N/A</c:v>
                </c:pt>
                <c:pt idx="638">
                  <c:v>#N/A</c:v>
                </c:pt>
                <c:pt idx="639">
                  <c:v>#N/A</c:v>
                </c:pt>
                <c:pt idx="640">
                  <c:v>#N/A</c:v>
                </c:pt>
                <c:pt idx="641">
                  <c:v>#N/A</c:v>
                </c:pt>
                <c:pt idx="642">
                  <c:v>2025000</c:v>
                </c:pt>
                <c:pt idx="643">
                  <c:v>#N/A</c:v>
                </c:pt>
                <c:pt idx="644">
                  <c:v>2175000</c:v>
                </c:pt>
                <c:pt idx="645">
                  <c:v>#N/A</c:v>
                </c:pt>
                <c:pt idx="646">
                  <c:v>2576000</c:v>
                </c:pt>
                <c:pt idx="647">
                  <c:v>2659000</c:v>
                </c:pt>
                <c:pt idx="648">
                  <c:v>#N/A</c:v>
                </c:pt>
                <c:pt idx="649">
                  <c:v>#N/A</c:v>
                </c:pt>
                <c:pt idx="650">
                  <c:v>#N/A</c:v>
                </c:pt>
                <c:pt idx="651">
                  <c:v>2122000</c:v>
                </c:pt>
                <c:pt idx="652">
                  <c:v>#N/A</c:v>
                </c:pt>
                <c:pt idx="653">
                  <c:v>#N/A</c:v>
                </c:pt>
                <c:pt idx="654">
                  <c:v>2253000</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1839000</c:v>
                </c:pt>
                <c:pt idx="669">
                  <c:v>#N/A</c:v>
                </c:pt>
                <c:pt idx="670">
                  <c:v>2523000</c:v>
                </c:pt>
                <c:pt idx="671">
                  <c:v>#N/A</c:v>
                </c:pt>
                <c:pt idx="672">
                  <c:v>#N/A</c:v>
                </c:pt>
                <c:pt idx="673">
                  <c:v>1453000</c:v>
                </c:pt>
                <c:pt idx="674">
                  <c:v>#N/A</c:v>
                </c:pt>
                <c:pt idx="675">
                  <c:v>#N/A</c:v>
                </c:pt>
                <c:pt idx="676">
                  <c:v>#N/A</c:v>
                </c:pt>
                <c:pt idx="677">
                  <c:v>#N/A</c:v>
                </c:pt>
                <c:pt idx="678">
                  <c:v>#N/A</c:v>
                </c:pt>
                <c:pt idx="679">
                  <c:v>#N/A</c:v>
                </c:pt>
                <c:pt idx="680">
                  <c:v>#N/A</c:v>
                </c:pt>
                <c:pt idx="681">
                  <c:v>#N/A</c:v>
                </c:pt>
                <c:pt idx="682">
                  <c:v>1377000</c:v>
                </c:pt>
                <c:pt idx="683">
                  <c:v>#N/A</c:v>
                </c:pt>
                <c:pt idx="684">
                  <c:v>#N/A</c:v>
                </c:pt>
                <c:pt idx="685">
                  <c:v>#N/A</c:v>
                </c:pt>
                <c:pt idx="686">
                  <c:v>#N/A</c:v>
                </c:pt>
                <c:pt idx="687">
                  <c:v>#N/A</c:v>
                </c:pt>
                <c:pt idx="688">
                  <c:v>#N/A</c:v>
                </c:pt>
                <c:pt idx="689">
                  <c:v>#N/A</c:v>
                </c:pt>
                <c:pt idx="690">
                  <c:v>#N/A</c:v>
                </c:pt>
                <c:pt idx="691">
                  <c:v>2197000</c:v>
                </c:pt>
                <c:pt idx="692">
                  <c:v>#N/A</c:v>
                </c:pt>
                <c:pt idx="693">
                  <c:v>#N/A</c:v>
                </c:pt>
                <c:pt idx="694">
                  <c:v>#N/A</c:v>
                </c:pt>
                <c:pt idx="695">
                  <c:v>#N/A</c:v>
                </c:pt>
                <c:pt idx="696">
                  <c:v>#N/A</c:v>
                </c:pt>
                <c:pt idx="697">
                  <c:v>1149000</c:v>
                </c:pt>
                <c:pt idx="698">
                  <c:v>#N/A</c:v>
                </c:pt>
                <c:pt idx="699">
                  <c:v>1932000</c:v>
                </c:pt>
                <c:pt idx="700">
                  <c:v>#N/A</c:v>
                </c:pt>
                <c:pt idx="701">
                  <c:v>#N/A</c:v>
                </c:pt>
                <c:pt idx="702">
                  <c:v>3210000</c:v>
                </c:pt>
                <c:pt idx="703">
                  <c:v>1861000</c:v>
                </c:pt>
                <c:pt idx="704">
                  <c:v>#N/A</c:v>
                </c:pt>
                <c:pt idx="705">
                  <c:v>2178000</c:v>
                </c:pt>
                <c:pt idx="706">
                  <c:v>#N/A</c:v>
                </c:pt>
                <c:pt idx="707">
                  <c:v>#N/A</c:v>
                </c:pt>
                <c:pt idx="708">
                  <c:v>#N/A</c:v>
                </c:pt>
                <c:pt idx="709">
                  <c:v>2427000</c:v>
                </c:pt>
                <c:pt idx="710">
                  <c:v>#N/A</c:v>
                </c:pt>
                <c:pt idx="711">
                  <c:v>1939000</c:v>
                </c:pt>
                <c:pt idx="712">
                  <c:v>#N/A</c:v>
                </c:pt>
                <c:pt idx="713">
                  <c:v>1930000</c:v>
                </c:pt>
                <c:pt idx="714">
                  <c:v>#N/A</c:v>
                </c:pt>
                <c:pt idx="715">
                  <c:v>#N/A</c:v>
                </c:pt>
                <c:pt idx="716">
                  <c:v>#N/A</c:v>
                </c:pt>
                <c:pt idx="717">
                  <c:v>1728000</c:v>
                </c:pt>
                <c:pt idx="718">
                  <c:v>#N/A</c:v>
                </c:pt>
                <c:pt idx="719">
                  <c:v>#N/A</c:v>
                </c:pt>
                <c:pt idx="720">
                  <c:v>1759000</c:v>
                </c:pt>
                <c:pt idx="721">
                  <c:v>#N/A</c:v>
                </c:pt>
                <c:pt idx="722">
                  <c:v>2001000</c:v>
                </c:pt>
                <c:pt idx="723">
                  <c:v>#N/A</c:v>
                </c:pt>
                <c:pt idx="724">
                  <c:v>#N/A</c:v>
                </c:pt>
                <c:pt idx="725">
                  <c:v>#N/A</c:v>
                </c:pt>
                <c:pt idx="726">
                  <c:v>#N/A</c:v>
                </c:pt>
                <c:pt idx="727">
                  <c:v>#N/A</c:v>
                </c:pt>
                <c:pt idx="728">
                  <c:v>2203000</c:v>
                </c:pt>
                <c:pt idx="729">
                  <c:v>#N/A</c:v>
                </c:pt>
                <c:pt idx="730">
                  <c:v>2005000</c:v>
                </c:pt>
                <c:pt idx="731">
                  <c:v>2459000</c:v>
                </c:pt>
                <c:pt idx="732">
                  <c:v>#N/A</c:v>
                </c:pt>
                <c:pt idx="733">
                  <c:v>#N/A</c:v>
                </c:pt>
                <c:pt idx="734">
                  <c:v>#N/A</c:v>
                </c:pt>
                <c:pt idx="735">
                  <c:v>#N/A</c:v>
                </c:pt>
                <c:pt idx="736">
                  <c:v>2756000</c:v>
                </c:pt>
                <c:pt idx="737">
                  <c:v>1745000</c:v>
                </c:pt>
                <c:pt idx="738">
                  <c:v>#N/A</c:v>
                </c:pt>
                <c:pt idx="739">
                  <c:v>#N/A</c:v>
                </c:pt>
                <c:pt idx="740">
                  <c:v>#N/A</c:v>
                </c:pt>
                <c:pt idx="741">
                  <c:v>1950000</c:v>
                </c:pt>
                <c:pt idx="742">
                  <c:v>4268000</c:v>
                </c:pt>
                <c:pt idx="743">
                  <c:v>#N/A</c:v>
                </c:pt>
                <c:pt idx="744">
                  <c:v>#N/A</c:v>
                </c:pt>
                <c:pt idx="745">
                  <c:v>#N/A</c:v>
                </c:pt>
                <c:pt idx="746">
                  <c:v>#N/A</c:v>
                </c:pt>
                <c:pt idx="747">
                  <c:v>#N/A</c:v>
                </c:pt>
                <c:pt idx="748">
                  <c:v>#N/A</c:v>
                </c:pt>
                <c:pt idx="749">
                  <c:v>1483000</c:v>
                </c:pt>
                <c:pt idx="750">
                  <c:v>#N/A</c:v>
                </c:pt>
                <c:pt idx="751">
                  <c:v>1910000</c:v>
                </c:pt>
                <c:pt idx="752">
                  <c:v>#N/A</c:v>
                </c:pt>
                <c:pt idx="753">
                  <c:v>#N/A</c:v>
                </c:pt>
                <c:pt idx="754">
                  <c:v>#N/A</c:v>
                </c:pt>
                <c:pt idx="755">
                  <c:v>1910000</c:v>
                </c:pt>
                <c:pt idx="756">
                  <c:v>#N/A</c:v>
                </c:pt>
                <c:pt idx="757">
                  <c:v>#N/A</c:v>
                </c:pt>
                <c:pt idx="758">
                  <c:v>#N/A</c:v>
                </c:pt>
                <c:pt idx="759">
                  <c:v>1724000</c:v>
                </c:pt>
                <c:pt idx="760">
                  <c:v>987000</c:v>
                </c:pt>
                <c:pt idx="761">
                  <c:v>1618000</c:v>
                </c:pt>
                <c:pt idx="762">
                  <c:v>#N/A</c:v>
                </c:pt>
                <c:pt idx="763">
                  <c:v>2509000</c:v>
                </c:pt>
                <c:pt idx="764">
                  <c:v>#N/A</c:v>
                </c:pt>
                <c:pt idx="765">
                  <c:v>#N/A</c:v>
                </c:pt>
                <c:pt idx="766">
                  <c:v>#N/A</c:v>
                </c:pt>
                <c:pt idx="767">
                  <c:v>#N/A</c:v>
                </c:pt>
                <c:pt idx="768">
                  <c:v>#N/A</c:v>
                </c:pt>
                <c:pt idx="769">
                  <c:v>2488000</c:v>
                </c:pt>
                <c:pt idx="770">
                  <c:v>#N/A</c:v>
                </c:pt>
                <c:pt idx="771">
                  <c:v>2852000</c:v>
                </c:pt>
                <c:pt idx="772">
                  <c:v>#N/A</c:v>
                </c:pt>
                <c:pt idx="773">
                  <c:v>#N/A</c:v>
                </c:pt>
                <c:pt idx="774">
                  <c:v>#N/A</c:v>
                </c:pt>
                <c:pt idx="775">
                  <c:v>2941000</c:v>
                </c:pt>
                <c:pt idx="776">
                  <c:v>2470000</c:v>
                </c:pt>
                <c:pt idx="777">
                  <c:v>1560000</c:v>
                </c:pt>
                <c:pt idx="778">
                  <c:v>#N/A</c:v>
                </c:pt>
                <c:pt idx="779">
                  <c:v>1915000</c:v>
                </c:pt>
                <c:pt idx="780">
                  <c:v>#N/A</c:v>
                </c:pt>
                <c:pt idx="781">
                  <c:v>#N/A</c:v>
                </c:pt>
                <c:pt idx="782">
                  <c:v>#N/A</c:v>
                </c:pt>
                <c:pt idx="783">
                  <c:v>#N/A</c:v>
                </c:pt>
                <c:pt idx="784">
                  <c:v>#N/A</c:v>
                </c:pt>
                <c:pt idx="785">
                  <c:v>2018000</c:v>
                </c:pt>
                <c:pt idx="786">
                  <c:v>#N/A</c:v>
                </c:pt>
                <c:pt idx="787">
                  <c:v>#N/A</c:v>
                </c:pt>
                <c:pt idx="788">
                  <c:v>#N/A</c:v>
                </c:pt>
                <c:pt idx="789">
                  <c:v>#N/A</c:v>
                </c:pt>
                <c:pt idx="790">
                  <c:v>#N/A</c:v>
                </c:pt>
                <c:pt idx="791">
                  <c:v>#N/A</c:v>
                </c:pt>
                <c:pt idx="792">
                  <c:v>#N/A</c:v>
                </c:pt>
                <c:pt idx="793">
                  <c:v>#N/A</c:v>
                </c:pt>
                <c:pt idx="794">
                  <c:v>#N/A</c:v>
                </c:pt>
                <c:pt idx="795">
                  <c:v>#N/A</c:v>
                </c:pt>
                <c:pt idx="796">
                  <c:v>#N/A</c:v>
                </c:pt>
                <c:pt idx="797">
                  <c:v>2714000</c:v>
                </c:pt>
                <c:pt idx="798">
                  <c:v>#N/A</c:v>
                </c:pt>
                <c:pt idx="799">
                  <c:v>#N/A</c:v>
                </c:pt>
                <c:pt idx="800">
                  <c:v>1612000</c:v>
                </c:pt>
                <c:pt idx="801">
                  <c:v>1636000</c:v>
                </c:pt>
                <c:pt idx="802">
                  <c:v>#N/A</c:v>
                </c:pt>
                <c:pt idx="803">
                  <c:v>#N/A</c:v>
                </c:pt>
                <c:pt idx="804">
                  <c:v>#N/A</c:v>
                </c:pt>
                <c:pt idx="805">
                  <c:v>2358000</c:v>
                </c:pt>
                <c:pt idx="806">
                  <c:v>2049000</c:v>
                </c:pt>
                <c:pt idx="807">
                  <c:v>2444000</c:v>
                </c:pt>
                <c:pt idx="808">
                  <c:v>1670000</c:v>
                </c:pt>
                <c:pt idx="809">
                  <c:v>#N/A</c:v>
                </c:pt>
                <c:pt idx="810">
                  <c:v>#N/A</c:v>
                </c:pt>
                <c:pt idx="811">
                  <c:v>#N/A</c:v>
                </c:pt>
                <c:pt idx="812">
                  <c:v>#N/A</c:v>
                </c:pt>
                <c:pt idx="813">
                  <c:v>#N/A</c:v>
                </c:pt>
                <c:pt idx="814">
                  <c:v>#N/A</c:v>
                </c:pt>
                <c:pt idx="815">
                  <c:v>#N/A</c:v>
                </c:pt>
                <c:pt idx="816">
                  <c:v>3149000</c:v>
                </c:pt>
                <c:pt idx="817">
                  <c:v>2368000</c:v>
                </c:pt>
                <c:pt idx="818">
                  <c:v>#N/A</c:v>
                </c:pt>
                <c:pt idx="819">
                  <c:v>#N/A</c:v>
                </c:pt>
                <c:pt idx="820">
                  <c:v>1360000</c:v>
                </c:pt>
                <c:pt idx="821">
                  <c:v>#N/A</c:v>
                </c:pt>
                <c:pt idx="822">
                  <c:v>#N/A</c:v>
                </c:pt>
                <c:pt idx="823">
                  <c:v>#N/A</c:v>
                </c:pt>
                <c:pt idx="824">
                  <c:v>2285000</c:v>
                </c:pt>
                <c:pt idx="825">
                  <c:v>1623000</c:v>
                </c:pt>
                <c:pt idx="826">
                  <c:v>#N/A</c:v>
                </c:pt>
                <c:pt idx="827">
                  <c:v>#N/A</c:v>
                </c:pt>
                <c:pt idx="828">
                  <c:v>#N/A</c:v>
                </c:pt>
                <c:pt idx="829">
                  <c:v>#N/A</c:v>
                </c:pt>
                <c:pt idx="830">
                  <c:v>1689000</c:v>
                </c:pt>
                <c:pt idx="831">
                  <c:v>#N/A</c:v>
                </c:pt>
                <c:pt idx="832">
                  <c:v>#N/A</c:v>
                </c:pt>
                <c:pt idx="833">
                  <c:v>#N/A</c:v>
                </c:pt>
                <c:pt idx="834">
                  <c:v>#N/A</c:v>
                </c:pt>
                <c:pt idx="835">
                  <c:v>2145000</c:v>
                </c:pt>
                <c:pt idx="836">
                  <c:v>2935000</c:v>
                </c:pt>
                <c:pt idx="837">
                  <c:v>#N/A</c:v>
                </c:pt>
                <c:pt idx="838">
                  <c:v>#N/A</c:v>
                </c:pt>
                <c:pt idx="839">
                  <c:v>#N/A</c:v>
                </c:pt>
                <c:pt idx="840">
                  <c:v>#N/A</c:v>
                </c:pt>
                <c:pt idx="841">
                  <c:v>#N/A</c:v>
                </c:pt>
                <c:pt idx="842">
                  <c:v>2656000</c:v>
                </c:pt>
                <c:pt idx="843">
                  <c:v>#N/A</c:v>
                </c:pt>
                <c:pt idx="844">
                  <c:v>#N/A</c:v>
                </c:pt>
                <c:pt idx="845">
                  <c:v>#N/A</c:v>
                </c:pt>
                <c:pt idx="846">
                  <c:v>#N/A</c:v>
                </c:pt>
                <c:pt idx="847">
                  <c:v>#N/A</c:v>
                </c:pt>
                <c:pt idx="848">
                  <c:v>#N/A</c:v>
                </c:pt>
                <c:pt idx="849">
                  <c:v>#N/A</c:v>
                </c:pt>
                <c:pt idx="850">
                  <c:v>#N/A</c:v>
                </c:pt>
                <c:pt idx="851">
                  <c:v>4466000</c:v>
                </c:pt>
                <c:pt idx="852">
                  <c:v>#N/A</c:v>
                </c:pt>
                <c:pt idx="853">
                  <c:v>1356000</c:v>
                </c:pt>
                <c:pt idx="854">
                  <c:v>#N/A</c:v>
                </c:pt>
                <c:pt idx="855">
                  <c:v>#N/A</c:v>
                </c:pt>
                <c:pt idx="856">
                  <c:v>#N/A</c:v>
                </c:pt>
                <c:pt idx="857">
                  <c:v>#N/A</c:v>
                </c:pt>
                <c:pt idx="858">
                  <c:v>2757000</c:v>
                </c:pt>
                <c:pt idx="859">
                  <c:v>#N/A</c:v>
                </c:pt>
                <c:pt idx="860">
                  <c:v>2963000</c:v>
                </c:pt>
                <c:pt idx="861">
                  <c:v>2243000</c:v>
                </c:pt>
                <c:pt idx="862">
                  <c:v>#N/A</c:v>
                </c:pt>
                <c:pt idx="863">
                  <c:v>#N/A</c:v>
                </c:pt>
                <c:pt idx="864">
                  <c:v>#N/A</c:v>
                </c:pt>
                <c:pt idx="865">
                  <c:v>#N/A</c:v>
                </c:pt>
                <c:pt idx="866">
                  <c:v>#N/A</c:v>
                </c:pt>
                <c:pt idx="867">
                  <c:v>#N/A</c:v>
                </c:pt>
                <c:pt idx="868">
                  <c:v>2583000</c:v>
                </c:pt>
                <c:pt idx="869">
                  <c:v>#N/A</c:v>
                </c:pt>
                <c:pt idx="870">
                  <c:v>#N/A</c:v>
                </c:pt>
                <c:pt idx="871">
                  <c:v>#N/A</c:v>
                </c:pt>
                <c:pt idx="872">
                  <c:v>#N/A</c:v>
                </c:pt>
                <c:pt idx="873">
                  <c:v>#N/A</c:v>
                </c:pt>
                <c:pt idx="874">
                  <c:v>#N/A</c:v>
                </c:pt>
                <c:pt idx="875">
                  <c:v>2576000</c:v>
                </c:pt>
                <c:pt idx="876">
                  <c:v>#N/A</c:v>
                </c:pt>
                <c:pt idx="877">
                  <c:v>2967000</c:v>
                </c:pt>
                <c:pt idx="878">
                  <c:v>1961000</c:v>
                </c:pt>
                <c:pt idx="879">
                  <c:v>1673000</c:v>
                </c:pt>
                <c:pt idx="880">
                  <c:v>#N/A</c:v>
                </c:pt>
                <c:pt idx="881">
                  <c:v>#N/A</c:v>
                </c:pt>
                <c:pt idx="882">
                  <c:v>#N/A</c:v>
                </c:pt>
                <c:pt idx="883">
                  <c:v>#N/A</c:v>
                </c:pt>
                <c:pt idx="884">
                  <c:v>3542000</c:v>
                </c:pt>
                <c:pt idx="885">
                  <c:v>#N/A</c:v>
                </c:pt>
                <c:pt idx="886">
                  <c:v>#N/A</c:v>
                </c:pt>
                <c:pt idx="887">
                  <c:v>#N/A</c:v>
                </c:pt>
                <c:pt idx="888">
                  <c:v>#N/A</c:v>
                </c:pt>
                <c:pt idx="889">
                  <c:v>#N/A</c:v>
                </c:pt>
                <c:pt idx="890">
                  <c:v>2583000</c:v>
                </c:pt>
                <c:pt idx="891">
                  <c:v>#N/A</c:v>
                </c:pt>
                <c:pt idx="892">
                  <c:v>#N/A</c:v>
                </c:pt>
                <c:pt idx="893">
                  <c:v>#N/A</c:v>
                </c:pt>
                <c:pt idx="894">
                  <c:v>#N/A</c:v>
                </c:pt>
                <c:pt idx="895">
                  <c:v>#N/A</c:v>
                </c:pt>
                <c:pt idx="896">
                  <c:v>#N/A</c:v>
                </c:pt>
                <c:pt idx="897">
                  <c:v>3136000</c:v>
                </c:pt>
                <c:pt idx="898">
                  <c:v>#N/A</c:v>
                </c:pt>
                <c:pt idx="899">
                  <c:v>#N/A</c:v>
                </c:pt>
                <c:pt idx="900">
                  <c:v>#N/A</c:v>
                </c:pt>
                <c:pt idx="901">
                  <c:v>#N/A</c:v>
                </c:pt>
                <c:pt idx="902">
                  <c:v>#N/A</c:v>
                </c:pt>
                <c:pt idx="903">
                  <c:v>#N/A</c:v>
                </c:pt>
                <c:pt idx="904">
                  <c:v>2267000</c:v>
                </c:pt>
                <c:pt idx="905">
                  <c:v>2457000</c:v>
                </c:pt>
                <c:pt idx="906">
                  <c:v>1705000</c:v>
                </c:pt>
                <c:pt idx="907">
                  <c:v>#N/A</c:v>
                </c:pt>
                <c:pt idx="908">
                  <c:v>2837000</c:v>
                </c:pt>
                <c:pt idx="909">
                  <c:v>#N/A</c:v>
                </c:pt>
                <c:pt idx="910">
                  <c:v>#N/A</c:v>
                </c:pt>
                <c:pt idx="911">
                  <c:v>#N/A</c:v>
                </c:pt>
                <c:pt idx="912">
                  <c:v>#N/A</c:v>
                </c:pt>
                <c:pt idx="913">
                  <c:v>2749000</c:v>
                </c:pt>
                <c:pt idx="914">
                  <c:v>#N/A</c:v>
                </c:pt>
                <c:pt idx="915">
                  <c:v>#N/A</c:v>
                </c:pt>
                <c:pt idx="916">
                  <c:v>#N/A</c:v>
                </c:pt>
                <c:pt idx="917">
                  <c:v>1431000</c:v>
                </c:pt>
                <c:pt idx="918">
                  <c:v>3656000</c:v>
                </c:pt>
                <c:pt idx="919">
                  <c:v>1759000</c:v>
                </c:pt>
                <c:pt idx="920">
                  <c:v>2421000</c:v>
                </c:pt>
                <c:pt idx="921">
                  <c:v>#N/A</c:v>
                </c:pt>
                <c:pt idx="922">
                  <c:v>2997000</c:v>
                </c:pt>
                <c:pt idx="923">
                  <c:v>1720000</c:v>
                </c:pt>
                <c:pt idx="924">
                  <c:v>#N/A</c:v>
                </c:pt>
                <c:pt idx="925">
                  <c:v>#N/A</c:v>
                </c:pt>
                <c:pt idx="926">
                  <c:v>2008000</c:v>
                </c:pt>
                <c:pt idx="927">
                  <c:v>#N/A</c:v>
                </c:pt>
                <c:pt idx="928">
                  <c:v>1419000</c:v>
                </c:pt>
                <c:pt idx="929">
                  <c:v>#N/A</c:v>
                </c:pt>
                <c:pt idx="930">
                  <c:v>#N/A</c:v>
                </c:pt>
                <c:pt idx="931">
                  <c:v>#N/A</c:v>
                </c:pt>
                <c:pt idx="932">
                  <c:v>2888000</c:v>
                </c:pt>
                <c:pt idx="933">
                  <c:v>#N/A</c:v>
                </c:pt>
                <c:pt idx="934">
                  <c:v>#N/A</c:v>
                </c:pt>
                <c:pt idx="935">
                  <c:v>#N/A</c:v>
                </c:pt>
                <c:pt idx="936">
                  <c:v>3031000</c:v>
                </c:pt>
                <c:pt idx="937">
                  <c:v>#N/A</c:v>
                </c:pt>
                <c:pt idx="938">
                  <c:v>2028000</c:v>
                </c:pt>
                <c:pt idx="939">
                  <c:v>#N/A</c:v>
                </c:pt>
                <c:pt idx="940">
                  <c:v>3662000</c:v>
                </c:pt>
                <c:pt idx="941">
                  <c:v>1870000</c:v>
                </c:pt>
                <c:pt idx="942">
                  <c:v>#N/A</c:v>
                </c:pt>
                <c:pt idx="943">
                  <c:v>#N/A</c:v>
                </c:pt>
                <c:pt idx="944">
                  <c:v>#N/A</c:v>
                </c:pt>
                <c:pt idx="945">
                  <c:v>#N/A</c:v>
                </c:pt>
                <c:pt idx="946">
                  <c:v>#N/A</c:v>
                </c:pt>
                <c:pt idx="947">
                  <c:v>#N/A</c:v>
                </c:pt>
                <c:pt idx="948">
                  <c:v>#N/A</c:v>
                </c:pt>
                <c:pt idx="949">
                  <c:v>#N/A</c:v>
                </c:pt>
                <c:pt idx="950">
                  <c:v>2888000</c:v>
                </c:pt>
                <c:pt idx="951">
                  <c:v>#N/A</c:v>
                </c:pt>
                <c:pt idx="952">
                  <c:v>#N/A</c:v>
                </c:pt>
                <c:pt idx="953">
                  <c:v>#N/A</c:v>
                </c:pt>
                <c:pt idx="954">
                  <c:v>2073000</c:v>
                </c:pt>
                <c:pt idx="955">
                  <c:v>2771000</c:v>
                </c:pt>
                <c:pt idx="956">
                  <c:v>#N/A</c:v>
                </c:pt>
                <c:pt idx="957">
                  <c:v>#N/A</c:v>
                </c:pt>
                <c:pt idx="958">
                  <c:v>#N/A</c:v>
                </c:pt>
                <c:pt idx="959">
                  <c:v>2081000</c:v>
                </c:pt>
                <c:pt idx="960">
                  <c:v>3093000</c:v>
                </c:pt>
                <c:pt idx="961">
                  <c:v>#N/A</c:v>
                </c:pt>
                <c:pt idx="962">
                  <c:v>#N/A</c:v>
                </c:pt>
                <c:pt idx="963">
                  <c:v>#N/A</c:v>
                </c:pt>
                <c:pt idx="964">
                  <c:v>2842000</c:v>
                </c:pt>
                <c:pt idx="965">
                  <c:v>#N/A</c:v>
                </c:pt>
                <c:pt idx="966">
                  <c:v>1800000</c:v>
                </c:pt>
                <c:pt idx="967">
                  <c:v>#N/A</c:v>
                </c:pt>
                <c:pt idx="968">
                  <c:v>#N/A</c:v>
                </c:pt>
                <c:pt idx="969">
                  <c:v>#N/A</c:v>
                </c:pt>
                <c:pt idx="970">
                  <c:v>#N/A</c:v>
                </c:pt>
                <c:pt idx="971">
                  <c:v>#N/A</c:v>
                </c:pt>
                <c:pt idx="972">
                  <c:v>#N/A</c:v>
                </c:pt>
                <c:pt idx="973">
                  <c:v>#N/A</c:v>
                </c:pt>
                <c:pt idx="974">
                  <c:v>#N/A</c:v>
                </c:pt>
                <c:pt idx="975">
                  <c:v>#N/A</c:v>
                </c:pt>
                <c:pt idx="976">
                  <c:v>#N/A</c:v>
                </c:pt>
                <c:pt idx="977">
                  <c:v>3171000</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2401000</c:v>
                </c:pt>
                <c:pt idx="996">
                  <c:v>#N/A</c:v>
                </c:pt>
                <c:pt idx="997">
                  <c:v>2531000</c:v>
                </c:pt>
                <c:pt idx="998">
                  <c:v>2714000</c:v>
                </c:pt>
                <c:pt idx="999">
                  <c:v>#N/A</c:v>
                </c:pt>
                <c:pt idx="1000">
                  <c:v>#N/A</c:v>
                </c:pt>
                <c:pt idx="1001">
                  <c:v>#N/A</c:v>
                </c:pt>
                <c:pt idx="1002">
                  <c:v>#N/A</c:v>
                </c:pt>
                <c:pt idx="1003">
                  <c:v>#N/A</c:v>
                </c:pt>
                <c:pt idx="1004">
                  <c:v>#N/A</c:v>
                </c:pt>
                <c:pt idx="1005">
                  <c:v>2542000</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1404000</c:v>
                </c:pt>
                <c:pt idx="1021">
                  <c:v>2252000</c:v>
                </c:pt>
                <c:pt idx="1022">
                  <c:v>#N/A</c:v>
                </c:pt>
                <c:pt idx="1023">
                  <c:v>1550000</c:v>
                </c:pt>
                <c:pt idx="1024">
                  <c:v>#N/A</c:v>
                </c:pt>
                <c:pt idx="1025">
                  <c:v>#N/A</c:v>
                </c:pt>
                <c:pt idx="1026">
                  <c:v>#N/A</c:v>
                </c:pt>
                <c:pt idx="1027">
                  <c:v>1755000</c:v>
                </c:pt>
                <c:pt idx="1028">
                  <c:v>#N/A</c:v>
                </c:pt>
                <c:pt idx="1029">
                  <c:v>#N/A</c:v>
                </c:pt>
                <c:pt idx="1030">
                  <c:v>#N/A</c:v>
                </c:pt>
                <c:pt idx="1031">
                  <c:v>#N/A</c:v>
                </c:pt>
                <c:pt idx="1032">
                  <c:v>#N/A</c:v>
                </c:pt>
                <c:pt idx="1033">
                  <c:v>2818000</c:v>
                </c:pt>
                <c:pt idx="1034">
                  <c:v>1658000</c:v>
                </c:pt>
                <c:pt idx="1035">
                  <c:v>#N/A</c:v>
                </c:pt>
                <c:pt idx="1036">
                  <c:v>#N/A</c:v>
                </c:pt>
                <c:pt idx="1037">
                  <c:v>#N/A</c:v>
                </c:pt>
                <c:pt idx="1038">
                  <c:v>#N/A</c:v>
                </c:pt>
                <c:pt idx="1039">
                  <c:v>1145000</c:v>
                </c:pt>
                <c:pt idx="1040">
                  <c:v>#N/A</c:v>
                </c:pt>
                <c:pt idx="1041">
                  <c:v>2459000</c:v>
                </c:pt>
                <c:pt idx="1042">
                  <c:v>#N/A</c:v>
                </c:pt>
                <c:pt idx="1043">
                  <c:v>#N/A</c:v>
                </c:pt>
                <c:pt idx="1044">
                  <c:v>#N/A</c:v>
                </c:pt>
                <c:pt idx="1045">
                  <c:v>2563000</c:v>
                </c:pt>
                <c:pt idx="1046">
                  <c:v>#N/A</c:v>
                </c:pt>
                <c:pt idx="1047">
                  <c:v>3087000</c:v>
                </c:pt>
                <c:pt idx="1048">
                  <c:v>#N/A</c:v>
                </c:pt>
                <c:pt idx="1049">
                  <c:v>2402000</c:v>
                </c:pt>
                <c:pt idx="1050">
                  <c:v>#N/A</c:v>
                </c:pt>
                <c:pt idx="1051">
                  <c:v>#N/A</c:v>
                </c:pt>
                <c:pt idx="1052">
                  <c:v>#N/A</c:v>
                </c:pt>
                <c:pt idx="1053">
                  <c:v>#N/A</c:v>
                </c:pt>
                <c:pt idx="1054">
                  <c:v>#N/A</c:v>
                </c:pt>
                <c:pt idx="1055">
                  <c:v>#N/A</c:v>
                </c:pt>
                <c:pt idx="1056">
                  <c:v>#N/A</c:v>
                </c:pt>
                <c:pt idx="1057">
                  <c:v>#N/A</c:v>
                </c:pt>
                <c:pt idx="1058">
                  <c:v>#N/A</c:v>
                </c:pt>
                <c:pt idx="1059">
                  <c:v>#N/A</c:v>
                </c:pt>
                <c:pt idx="1060">
                  <c:v>#N/A</c:v>
                </c:pt>
                <c:pt idx="1061">
                  <c:v>1996000</c:v>
                </c:pt>
                <c:pt idx="1062">
                  <c:v>#N/A</c:v>
                </c:pt>
                <c:pt idx="1063">
                  <c:v>#N/A</c:v>
                </c:pt>
                <c:pt idx="1064">
                  <c:v>2209000</c:v>
                </c:pt>
                <c:pt idx="1065">
                  <c:v>#N/A</c:v>
                </c:pt>
                <c:pt idx="1066">
                  <c:v>2057000</c:v>
                </c:pt>
                <c:pt idx="1067">
                  <c:v>#N/A</c:v>
                </c:pt>
                <c:pt idx="1068">
                  <c:v>#N/A</c:v>
                </c:pt>
                <c:pt idx="1069">
                  <c:v>#N/A</c:v>
                </c:pt>
                <c:pt idx="1070">
                  <c:v>#N/A</c:v>
                </c:pt>
                <c:pt idx="1071">
                  <c:v>#N/A</c:v>
                </c:pt>
                <c:pt idx="1072">
                  <c:v>1493000</c:v>
                </c:pt>
                <c:pt idx="1073">
                  <c:v>#N/A</c:v>
                </c:pt>
                <c:pt idx="1074">
                  <c:v>#N/A</c:v>
                </c:pt>
                <c:pt idx="1075">
                  <c:v>#N/A</c:v>
                </c:pt>
                <c:pt idx="1076">
                  <c:v>#N/A</c:v>
                </c:pt>
                <c:pt idx="1077">
                  <c:v>2183000</c:v>
                </c:pt>
                <c:pt idx="1078">
                  <c:v>1853000</c:v>
                </c:pt>
                <c:pt idx="1079">
                  <c:v>1892000</c:v>
                </c:pt>
                <c:pt idx="1080">
                  <c:v>1799000</c:v>
                </c:pt>
                <c:pt idx="1081">
                  <c:v>#N/A</c:v>
                </c:pt>
                <c:pt idx="1082">
                  <c:v>#N/A</c:v>
                </c:pt>
                <c:pt idx="1083">
                  <c:v>#N/A</c:v>
                </c:pt>
                <c:pt idx="1084">
                  <c:v>#N/A</c:v>
                </c:pt>
                <c:pt idx="1085">
                  <c:v>#N/A</c:v>
                </c:pt>
                <c:pt idx="1086">
                  <c:v>3107000</c:v>
                </c:pt>
                <c:pt idx="1087">
                  <c:v>#N/A</c:v>
                </c:pt>
                <c:pt idx="1088">
                  <c:v>#N/A</c:v>
                </c:pt>
                <c:pt idx="1089">
                  <c:v>#N/A</c:v>
                </c:pt>
                <c:pt idx="1090">
                  <c:v>2311000</c:v>
                </c:pt>
                <c:pt idx="1091">
                  <c:v>#N/A</c:v>
                </c:pt>
                <c:pt idx="1092">
                  <c:v>2231000</c:v>
                </c:pt>
                <c:pt idx="1093">
                  <c:v>1855000</c:v>
                </c:pt>
                <c:pt idx="1094">
                  <c:v>2681000</c:v>
                </c:pt>
                <c:pt idx="1095">
                  <c:v>#N/A</c:v>
                </c:pt>
                <c:pt idx="1096">
                  <c:v>#N/A</c:v>
                </c:pt>
                <c:pt idx="1097">
                  <c:v>#N/A</c:v>
                </c:pt>
                <c:pt idx="1098">
                  <c:v>#N/A</c:v>
                </c:pt>
                <c:pt idx="1099">
                  <c:v>#N/A</c:v>
                </c:pt>
                <c:pt idx="1100">
                  <c:v>#N/A</c:v>
                </c:pt>
                <c:pt idx="1101">
                  <c:v>#N/A</c:v>
                </c:pt>
                <c:pt idx="1102">
                  <c:v>#N/A</c:v>
                </c:pt>
                <c:pt idx="1103">
                  <c:v>1731000</c:v>
                </c:pt>
                <c:pt idx="1104">
                  <c:v>#N/A</c:v>
                </c:pt>
                <c:pt idx="1105">
                  <c:v>#N/A</c:v>
                </c:pt>
                <c:pt idx="1106">
                  <c:v>#N/A</c:v>
                </c:pt>
                <c:pt idx="1107">
                  <c:v>#N/A</c:v>
                </c:pt>
                <c:pt idx="1108">
                  <c:v>#N/A</c:v>
                </c:pt>
                <c:pt idx="1109">
                  <c:v>1079000</c:v>
                </c:pt>
                <c:pt idx="1110">
                  <c:v>#N/A</c:v>
                </c:pt>
                <c:pt idx="1111">
                  <c:v>1729000</c:v>
                </c:pt>
                <c:pt idx="1112">
                  <c:v>3072000</c:v>
                </c:pt>
                <c:pt idx="1113">
                  <c:v>#N/A</c:v>
                </c:pt>
                <c:pt idx="1114">
                  <c:v>#N/A</c:v>
                </c:pt>
                <c:pt idx="1115">
                  <c:v>#N/A</c:v>
                </c:pt>
                <c:pt idx="1116">
                  <c:v>2119000</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2068000</c:v>
                </c:pt>
                <c:pt idx="1131">
                  <c:v>#N/A</c:v>
                </c:pt>
                <c:pt idx="1132">
                  <c:v>3553000</c:v>
                </c:pt>
                <c:pt idx="1133">
                  <c:v>#N/A</c:v>
                </c:pt>
                <c:pt idx="1134">
                  <c:v>#N/A</c:v>
                </c:pt>
                <c:pt idx="1135">
                  <c:v>#N/A</c:v>
                </c:pt>
                <c:pt idx="1136">
                  <c:v>1482000</c:v>
                </c:pt>
                <c:pt idx="1137">
                  <c:v>#N/A</c:v>
                </c:pt>
                <c:pt idx="1138">
                  <c:v>#N/A</c:v>
                </c:pt>
                <c:pt idx="1139">
                  <c:v>#N/A</c:v>
                </c:pt>
                <c:pt idx="1140">
                  <c:v>#N/A</c:v>
                </c:pt>
                <c:pt idx="1141">
                  <c:v>#N/A</c:v>
                </c:pt>
                <c:pt idx="1142">
                  <c:v>1974000</c:v>
                </c:pt>
                <c:pt idx="1143">
                  <c:v>1856000</c:v>
                </c:pt>
                <c:pt idx="1144">
                  <c:v>2142000</c:v>
                </c:pt>
                <c:pt idx="1145">
                  <c:v>1622000</c:v>
                </c:pt>
                <c:pt idx="1146">
                  <c:v>#N/A</c:v>
                </c:pt>
                <c:pt idx="1147">
                  <c:v>#N/A</c:v>
                </c:pt>
                <c:pt idx="1148">
                  <c:v>#N/A</c:v>
                </c:pt>
                <c:pt idx="1149">
                  <c:v>#N/A</c:v>
                </c:pt>
                <c:pt idx="1150">
                  <c:v>#N/A</c:v>
                </c:pt>
                <c:pt idx="1151">
                  <c:v>911000</c:v>
                </c:pt>
                <c:pt idx="1152">
                  <c:v>#N/A</c:v>
                </c:pt>
                <c:pt idx="1153">
                  <c:v>2975000</c:v>
                </c:pt>
                <c:pt idx="1154">
                  <c:v>#N/A</c:v>
                </c:pt>
                <c:pt idx="1155">
                  <c:v>#N/A</c:v>
                </c:pt>
                <c:pt idx="1156">
                  <c:v>#N/A</c:v>
                </c:pt>
                <c:pt idx="1157">
                  <c:v>#N/A</c:v>
                </c:pt>
                <c:pt idx="1158">
                  <c:v>1406000</c:v>
                </c:pt>
                <c:pt idx="1159">
                  <c:v>#N/A</c:v>
                </c:pt>
                <c:pt idx="1160">
                  <c:v>#N/A</c:v>
                </c:pt>
                <c:pt idx="1161">
                  <c:v>#N/A</c:v>
                </c:pt>
                <c:pt idx="1162">
                  <c:v>2138000</c:v>
                </c:pt>
                <c:pt idx="1163">
                  <c:v>#N/A</c:v>
                </c:pt>
                <c:pt idx="1164">
                  <c:v>1694000</c:v>
                </c:pt>
                <c:pt idx="1165">
                  <c:v>#N/A</c:v>
                </c:pt>
                <c:pt idx="1166">
                  <c:v>#N/A</c:v>
                </c:pt>
                <c:pt idx="1167">
                  <c:v>#N/A</c:v>
                </c:pt>
                <c:pt idx="1168">
                  <c:v>#N/A</c:v>
                </c:pt>
                <c:pt idx="1169">
                  <c:v>#N/A</c:v>
                </c:pt>
                <c:pt idx="1170">
                  <c:v>#N/A</c:v>
                </c:pt>
                <c:pt idx="1171">
                  <c:v>2716000</c:v>
                </c:pt>
                <c:pt idx="1172">
                  <c:v>#N/A</c:v>
                </c:pt>
                <c:pt idx="1173">
                  <c:v>#N/A</c:v>
                </c:pt>
                <c:pt idx="1174">
                  <c:v>#N/A</c:v>
                </c:pt>
                <c:pt idx="1175">
                  <c:v>#N/A</c:v>
                </c:pt>
                <c:pt idx="1176">
                  <c:v>3065000</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2506000</c:v>
                </c:pt>
                <c:pt idx="1190">
                  <c:v>#N/A</c:v>
                </c:pt>
                <c:pt idx="1191">
                  <c:v>#N/A</c:v>
                </c:pt>
                <c:pt idx="1192">
                  <c:v>#N/A</c:v>
                </c:pt>
                <c:pt idx="1193">
                  <c:v>#N/A</c:v>
                </c:pt>
                <c:pt idx="1194">
                  <c:v>2079000</c:v>
                </c:pt>
                <c:pt idx="1195">
                  <c:v>#N/A</c:v>
                </c:pt>
                <c:pt idx="1196">
                  <c:v>2260000</c:v>
                </c:pt>
                <c:pt idx="1197">
                  <c:v>3225000</c:v>
                </c:pt>
                <c:pt idx="1198">
                  <c:v>#N/A</c:v>
                </c:pt>
                <c:pt idx="1199">
                  <c:v>2525000</c:v>
                </c:pt>
                <c:pt idx="1200">
                  <c:v>2502000</c:v>
                </c:pt>
              </c:numCache>
            </c:numRef>
          </c:yVal>
          <c:smooth val="0"/>
          <c:extLst>
            <c:ext xmlns:c16="http://schemas.microsoft.com/office/drawing/2014/chart" uri="{C3380CC4-5D6E-409C-BE32-E72D297353CC}">
              <c16:uniqueId val="{00000000-E68E-A849-803B-7832E31AC732}"/>
            </c:ext>
          </c:extLst>
        </c:ser>
        <c:ser>
          <c:idx val="1"/>
          <c:order val="1"/>
          <c:tx>
            <c:v>Apartment</c:v>
          </c:tx>
          <c:spPr>
            <a:ln w="25400" cap="rnd">
              <a:noFill/>
              <a:round/>
            </a:ln>
            <a:effectLst/>
          </c:spPr>
          <c:marker>
            <c:symbol val="circle"/>
            <c:size val="5"/>
            <c:spPr>
              <a:solidFill>
                <a:schemeClr val="accent2"/>
              </a:solidFill>
              <a:ln w="9525">
                <a:solidFill>
                  <a:schemeClr val="accent2"/>
                </a:solidFill>
              </a:ln>
              <a:effectLst/>
            </c:spPr>
          </c:marker>
          <c:xVal>
            <c:strRef>
              <c:f>riyadh_realestate_dataset!$S:$S</c:f>
              <c:strCache>
                <c:ptCount val="1201"/>
                <c:pt idx="0">
                  <c:v>apt_area</c:v>
                </c:pt>
                <c:pt idx="1">
                  <c:v>160</c:v>
                </c:pt>
                <c:pt idx="2">
                  <c:v>141</c:v>
                </c:pt>
                <c:pt idx="3">
                  <c:v>#N/A</c:v>
                </c:pt>
                <c:pt idx="4">
                  <c:v>138</c:v>
                </c:pt>
                <c:pt idx="5">
                  <c:v>#N/A</c:v>
                </c:pt>
                <c:pt idx="6">
                  <c:v>168</c:v>
                </c:pt>
                <c:pt idx="7">
                  <c:v>131</c:v>
                </c:pt>
                <c:pt idx="8">
                  <c:v>161</c:v>
                </c:pt>
                <c:pt idx="9">
                  <c:v>#N/A</c:v>
                </c:pt>
                <c:pt idx="10">
                  <c:v>#N/A</c:v>
                </c:pt>
                <c:pt idx="11">
                  <c:v>#N/A</c:v>
                </c:pt>
                <c:pt idx="12">
                  <c:v>#N/A</c:v>
                </c:pt>
                <c:pt idx="13">
                  <c:v>#N/A</c:v>
                </c:pt>
                <c:pt idx="14">
                  <c:v>138</c:v>
                </c:pt>
                <c:pt idx="15">
                  <c:v>#N/A</c:v>
                </c:pt>
                <c:pt idx="16">
                  <c:v>#N/A</c:v>
                </c:pt>
                <c:pt idx="17">
                  <c:v>127</c:v>
                </c:pt>
                <c:pt idx="18">
                  <c:v>136</c:v>
                </c:pt>
                <c:pt idx="19">
                  <c:v>145</c:v>
                </c:pt>
                <c:pt idx="20">
                  <c:v>113</c:v>
                </c:pt>
                <c:pt idx="21">
                  <c:v>170</c:v>
                </c:pt>
                <c:pt idx="22">
                  <c:v>108</c:v>
                </c:pt>
                <c:pt idx="23">
                  <c:v>105</c:v>
                </c:pt>
                <c:pt idx="24">
                  <c:v>151</c:v>
                </c:pt>
                <c:pt idx="25">
                  <c:v>#N/A</c:v>
                </c:pt>
                <c:pt idx="26">
                  <c:v>#N/A</c:v>
                </c:pt>
                <c:pt idx="27">
                  <c:v>142</c:v>
                </c:pt>
                <c:pt idx="28">
                  <c:v>136</c:v>
                </c:pt>
                <c:pt idx="29">
                  <c:v>#N/A</c:v>
                </c:pt>
                <c:pt idx="30">
                  <c:v>177</c:v>
                </c:pt>
                <c:pt idx="31">
                  <c:v>#N/A</c:v>
                </c:pt>
                <c:pt idx="32">
                  <c:v>#N/A</c:v>
                </c:pt>
                <c:pt idx="33">
                  <c:v>125</c:v>
                </c:pt>
                <c:pt idx="34">
                  <c:v>163</c:v>
                </c:pt>
                <c:pt idx="35">
                  <c:v>176</c:v>
                </c:pt>
                <c:pt idx="36">
                  <c:v>#N/A</c:v>
                </c:pt>
                <c:pt idx="37">
                  <c:v>120</c:v>
                </c:pt>
                <c:pt idx="38">
                  <c:v>#N/A</c:v>
                </c:pt>
                <c:pt idx="39">
                  <c:v>#N/A</c:v>
                </c:pt>
                <c:pt idx="40">
                  <c:v>#N/A</c:v>
                </c:pt>
                <c:pt idx="41">
                  <c:v>#N/A</c:v>
                </c:pt>
                <c:pt idx="42">
                  <c:v>#N/A</c:v>
                </c:pt>
                <c:pt idx="43">
                  <c:v>#N/A</c:v>
                </c:pt>
                <c:pt idx="44">
                  <c:v>#N/A</c:v>
                </c:pt>
                <c:pt idx="45">
                  <c:v>144</c:v>
                </c:pt>
                <c:pt idx="46">
                  <c:v>192</c:v>
                </c:pt>
                <c:pt idx="47">
                  <c:v>#N/A</c:v>
                </c:pt>
                <c:pt idx="48">
                  <c:v>#N/A</c:v>
                </c:pt>
                <c:pt idx="49">
                  <c:v>138</c:v>
                </c:pt>
                <c:pt idx="50">
                  <c:v>#N/A</c:v>
                </c:pt>
                <c:pt idx="51">
                  <c:v>121</c:v>
                </c:pt>
                <c:pt idx="52">
                  <c:v>#N/A</c:v>
                </c:pt>
                <c:pt idx="53">
                  <c:v>172</c:v>
                </c:pt>
                <c:pt idx="54">
                  <c:v>155</c:v>
                </c:pt>
                <c:pt idx="55">
                  <c:v>#N/A</c:v>
                </c:pt>
                <c:pt idx="56">
                  <c:v>174</c:v>
                </c:pt>
                <c:pt idx="57">
                  <c:v>124</c:v>
                </c:pt>
                <c:pt idx="58">
                  <c:v>#N/A</c:v>
                </c:pt>
                <c:pt idx="59">
                  <c:v>#N/A</c:v>
                </c:pt>
                <c:pt idx="60">
                  <c:v>153</c:v>
                </c:pt>
                <c:pt idx="61">
                  <c:v>#N/A</c:v>
                </c:pt>
                <c:pt idx="62">
                  <c:v>#N/A</c:v>
                </c:pt>
                <c:pt idx="63">
                  <c:v>#N/A</c:v>
                </c:pt>
                <c:pt idx="64">
                  <c:v>#N/A</c:v>
                </c:pt>
                <c:pt idx="65">
                  <c:v>#N/A</c:v>
                </c:pt>
                <c:pt idx="66">
                  <c:v>143</c:v>
                </c:pt>
                <c:pt idx="67">
                  <c:v>#N/A</c:v>
                </c:pt>
                <c:pt idx="68">
                  <c:v>144</c:v>
                </c:pt>
                <c:pt idx="69">
                  <c:v>#N/A</c:v>
                </c:pt>
                <c:pt idx="70">
                  <c:v>#N/A</c:v>
                </c:pt>
                <c:pt idx="71">
                  <c:v>#N/A</c:v>
                </c:pt>
                <c:pt idx="72">
                  <c:v>#N/A</c:v>
                </c:pt>
                <c:pt idx="73">
                  <c:v>#N/A</c:v>
                </c:pt>
                <c:pt idx="74">
                  <c:v>168</c:v>
                </c:pt>
                <c:pt idx="75">
                  <c:v>187</c:v>
                </c:pt>
                <c:pt idx="76">
                  <c:v>#N/A</c:v>
                </c:pt>
                <c:pt idx="77">
                  <c:v>#N/A</c:v>
                </c:pt>
                <c:pt idx="78">
                  <c:v>#N/A</c:v>
                </c:pt>
                <c:pt idx="79">
                  <c:v>#N/A</c:v>
                </c:pt>
                <c:pt idx="80">
                  <c:v>#N/A</c:v>
                </c:pt>
                <c:pt idx="81">
                  <c:v>117</c:v>
                </c:pt>
                <c:pt idx="82">
                  <c:v>#N/A</c:v>
                </c:pt>
                <c:pt idx="83">
                  <c:v>#N/A</c:v>
                </c:pt>
                <c:pt idx="84">
                  <c:v>#N/A</c:v>
                </c:pt>
                <c:pt idx="85">
                  <c:v>#N/A</c:v>
                </c:pt>
                <c:pt idx="86">
                  <c:v>#N/A</c:v>
                </c:pt>
                <c:pt idx="87">
                  <c:v>97</c:v>
                </c:pt>
                <c:pt idx="88">
                  <c:v>#N/A</c:v>
                </c:pt>
                <c:pt idx="89">
                  <c:v>#N/A</c:v>
                </c:pt>
                <c:pt idx="90">
                  <c:v>168</c:v>
                </c:pt>
                <c:pt idx="91">
                  <c:v>#N/A</c:v>
                </c:pt>
                <c:pt idx="92">
                  <c:v>#N/A</c:v>
                </c:pt>
                <c:pt idx="93">
                  <c:v>#N/A</c:v>
                </c:pt>
                <c:pt idx="94">
                  <c:v>#N/A</c:v>
                </c:pt>
                <c:pt idx="95">
                  <c:v>154</c:v>
                </c:pt>
                <c:pt idx="96">
                  <c:v>#N/A</c:v>
                </c:pt>
                <c:pt idx="97">
                  <c:v>#N/A</c:v>
                </c:pt>
                <c:pt idx="98">
                  <c:v>#N/A</c:v>
                </c:pt>
                <c:pt idx="99">
                  <c:v>116</c:v>
                </c:pt>
                <c:pt idx="100">
                  <c:v>#N/A</c:v>
                </c:pt>
                <c:pt idx="101">
                  <c:v>#N/A</c:v>
                </c:pt>
                <c:pt idx="102">
                  <c:v>157</c:v>
                </c:pt>
                <c:pt idx="103">
                  <c:v>138</c:v>
                </c:pt>
                <c:pt idx="104">
                  <c:v>#N/A</c:v>
                </c:pt>
                <c:pt idx="105">
                  <c:v>143</c:v>
                </c:pt>
                <c:pt idx="106">
                  <c:v>#N/A</c:v>
                </c:pt>
                <c:pt idx="107">
                  <c:v>#N/A</c:v>
                </c:pt>
                <c:pt idx="108">
                  <c:v>189</c:v>
                </c:pt>
                <c:pt idx="109">
                  <c:v>164</c:v>
                </c:pt>
                <c:pt idx="110">
                  <c:v>119</c:v>
                </c:pt>
                <c:pt idx="111">
                  <c:v>113</c:v>
                </c:pt>
                <c:pt idx="112">
                  <c:v>159</c:v>
                </c:pt>
                <c:pt idx="113">
                  <c:v>138</c:v>
                </c:pt>
                <c:pt idx="114">
                  <c:v>#N/A</c:v>
                </c:pt>
                <c:pt idx="115">
                  <c:v>#N/A</c:v>
                </c:pt>
                <c:pt idx="116">
                  <c:v>#N/A</c:v>
                </c:pt>
                <c:pt idx="117">
                  <c:v>#N/A</c:v>
                </c:pt>
                <c:pt idx="118">
                  <c:v>100</c:v>
                </c:pt>
                <c:pt idx="119">
                  <c:v>#N/A</c:v>
                </c:pt>
                <c:pt idx="120">
                  <c:v>108</c:v>
                </c:pt>
                <c:pt idx="121">
                  <c:v>#N/A</c:v>
                </c:pt>
                <c:pt idx="122">
                  <c:v>150</c:v>
                </c:pt>
                <c:pt idx="123">
                  <c:v>147</c:v>
                </c:pt>
                <c:pt idx="124">
                  <c:v>111</c:v>
                </c:pt>
                <c:pt idx="125">
                  <c:v>#N/A</c:v>
                </c:pt>
                <c:pt idx="126">
                  <c:v>177</c:v>
                </c:pt>
                <c:pt idx="127">
                  <c:v>160</c:v>
                </c:pt>
                <c:pt idx="128">
                  <c:v>#N/A</c:v>
                </c:pt>
                <c:pt idx="129">
                  <c:v>160</c:v>
                </c:pt>
                <c:pt idx="130">
                  <c:v>#N/A</c:v>
                </c:pt>
                <c:pt idx="131">
                  <c:v>#N/A</c:v>
                </c:pt>
                <c:pt idx="132">
                  <c:v>165</c:v>
                </c:pt>
                <c:pt idx="133">
                  <c:v>#N/A</c:v>
                </c:pt>
                <c:pt idx="134">
                  <c:v>#N/A</c:v>
                </c:pt>
                <c:pt idx="135">
                  <c:v>#N/A</c:v>
                </c:pt>
                <c:pt idx="136">
                  <c:v>89</c:v>
                </c:pt>
                <c:pt idx="137">
                  <c:v>#N/A</c:v>
                </c:pt>
                <c:pt idx="138">
                  <c:v>#N/A</c:v>
                </c:pt>
                <c:pt idx="139">
                  <c:v>124</c:v>
                </c:pt>
                <c:pt idx="140">
                  <c:v>#N/A</c:v>
                </c:pt>
                <c:pt idx="141">
                  <c:v>#N/A</c:v>
                </c:pt>
                <c:pt idx="142">
                  <c:v>#N/A</c:v>
                </c:pt>
                <c:pt idx="143">
                  <c:v>#N/A</c:v>
                </c:pt>
                <c:pt idx="144">
                  <c:v>151</c:v>
                </c:pt>
                <c:pt idx="145">
                  <c:v>121</c:v>
                </c:pt>
                <c:pt idx="146">
                  <c:v>#N/A</c:v>
                </c:pt>
                <c:pt idx="147">
                  <c:v>160</c:v>
                </c:pt>
                <c:pt idx="148">
                  <c:v>171</c:v>
                </c:pt>
                <c:pt idx="149">
                  <c:v>#N/A</c:v>
                </c:pt>
                <c:pt idx="150">
                  <c:v>#N/A</c:v>
                </c:pt>
                <c:pt idx="151">
                  <c:v>#N/A</c:v>
                </c:pt>
                <c:pt idx="152">
                  <c:v>173</c:v>
                </c:pt>
                <c:pt idx="153">
                  <c:v>#N/A</c:v>
                </c:pt>
                <c:pt idx="154">
                  <c:v>#N/A</c:v>
                </c:pt>
                <c:pt idx="155">
                  <c:v>#N/A</c:v>
                </c:pt>
                <c:pt idx="156">
                  <c:v>#N/A</c:v>
                </c:pt>
                <c:pt idx="157">
                  <c:v>#N/A</c:v>
                </c:pt>
                <c:pt idx="158">
                  <c:v>168</c:v>
                </c:pt>
                <c:pt idx="159">
                  <c:v>#N/A</c:v>
                </c:pt>
                <c:pt idx="160">
                  <c:v>114</c:v>
                </c:pt>
                <c:pt idx="161">
                  <c:v>#N/A</c:v>
                </c:pt>
                <c:pt idx="162">
                  <c:v>#N/A</c:v>
                </c:pt>
                <c:pt idx="163">
                  <c:v>#N/A</c:v>
                </c:pt>
                <c:pt idx="164">
                  <c:v>#N/A</c:v>
                </c:pt>
                <c:pt idx="165">
                  <c:v>116</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149</c:v>
                </c:pt>
                <c:pt idx="183">
                  <c:v>#N/A</c:v>
                </c:pt>
                <c:pt idx="184">
                  <c:v>#N/A</c:v>
                </c:pt>
                <c:pt idx="185">
                  <c:v>#N/A</c:v>
                </c:pt>
                <c:pt idx="186">
                  <c:v>#N/A</c:v>
                </c:pt>
                <c:pt idx="187">
                  <c:v>184</c:v>
                </c:pt>
                <c:pt idx="188">
                  <c:v>#N/A</c:v>
                </c:pt>
                <c:pt idx="189">
                  <c:v>155</c:v>
                </c:pt>
                <c:pt idx="190">
                  <c:v>141</c:v>
                </c:pt>
                <c:pt idx="191">
                  <c:v>#N/A</c:v>
                </c:pt>
                <c:pt idx="192">
                  <c:v>#N/A</c:v>
                </c:pt>
                <c:pt idx="193">
                  <c:v>180</c:v>
                </c:pt>
                <c:pt idx="194">
                  <c:v>169</c:v>
                </c:pt>
                <c:pt idx="195">
                  <c:v>#N/A</c:v>
                </c:pt>
                <c:pt idx="196">
                  <c:v>118</c:v>
                </c:pt>
                <c:pt idx="197">
                  <c:v>#N/A</c:v>
                </c:pt>
                <c:pt idx="198">
                  <c:v>#N/A</c:v>
                </c:pt>
                <c:pt idx="199">
                  <c:v>157</c:v>
                </c:pt>
                <c:pt idx="200">
                  <c:v>#N/A</c:v>
                </c:pt>
                <c:pt idx="201">
                  <c:v>#N/A</c:v>
                </c:pt>
                <c:pt idx="202">
                  <c:v>#N/A</c:v>
                </c:pt>
                <c:pt idx="203">
                  <c:v>#N/A</c:v>
                </c:pt>
                <c:pt idx="204">
                  <c:v>#N/A</c:v>
                </c:pt>
                <c:pt idx="205">
                  <c:v>102</c:v>
                </c:pt>
                <c:pt idx="206">
                  <c:v>#N/A</c:v>
                </c:pt>
                <c:pt idx="207">
                  <c:v>#N/A</c:v>
                </c:pt>
                <c:pt idx="208">
                  <c:v>#N/A</c:v>
                </c:pt>
                <c:pt idx="209">
                  <c:v>#N/A</c:v>
                </c:pt>
                <c:pt idx="210">
                  <c:v>140</c:v>
                </c:pt>
                <c:pt idx="211">
                  <c:v>#N/A</c:v>
                </c:pt>
                <c:pt idx="212">
                  <c:v>#N/A</c:v>
                </c:pt>
                <c:pt idx="213">
                  <c:v>#N/A</c:v>
                </c:pt>
                <c:pt idx="214">
                  <c:v>#N/A</c:v>
                </c:pt>
                <c:pt idx="215">
                  <c:v>142</c:v>
                </c:pt>
                <c:pt idx="216">
                  <c:v>#N/A</c:v>
                </c:pt>
                <c:pt idx="217">
                  <c:v>152</c:v>
                </c:pt>
                <c:pt idx="218">
                  <c:v>145</c:v>
                </c:pt>
                <c:pt idx="219">
                  <c:v>#N/A</c:v>
                </c:pt>
                <c:pt idx="220">
                  <c:v>#N/A</c:v>
                </c:pt>
                <c:pt idx="221">
                  <c:v>#N/A</c:v>
                </c:pt>
                <c:pt idx="222">
                  <c:v>122</c:v>
                </c:pt>
                <c:pt idx="223">
                  <c:v>211</c:v>
                </c:pt>
                <c:pt idx="224">
                  <c:v>#N/A</c:v>
                </c:pt>
                <c:pt idx="225">
                  <c:v>#N/A</c:v>
                </c:pt>
                <c:pt idx="226">
                  <c:v>#N/A</c:v>
                </c:pt>
                <c:pt idx="227">
                  <c:v>#N/A</c:v>
                </c:pt>
                <c:pt idx="228">
                  <c:v>201</c:v>
                </c:pt>
                <c:pt idx="229">
                  <c:v>#N/A</c:v>
                </c:pt>
                <c:pt idx="230">
                  <c:v>160</c:v>
                </c:pt>
                <c:pt idx="231">
                  <c:v>#N/A</c:v>
                </c:pt>
                <c:pt idx="232">
                  <c:v>#N/A</c:v>
                </c:pt>
                <c:pt idx="233">
                  <c:v>#N/A</c:v>
                </c:pt>
                <c:pt idx="234">
                  <c:v>#N/A</c:v>
                </c:pt>
                <c:pt idx="235">
                  <c:v>#N/A</c:v>
                </c:pt>
                <c:pt idx="236">
                  <c:v>186</c:v>
                </c:pt>
                <c:pt idx="237">
                  <c:v>#N/A</c:v>
                </c:pt>
                <c:pt idx="238">
                  <c:v>#N/A</c:v>
                </c:pt>
                <c:pt idx="239">
                  <c:v>145</c:v>
                </c:pt>
                <c:pt idx="240">
                  <c:v>#N/A</c:v>
                </c:pt>
                <c:pt idx="241">
                  <c:v>#N/A</c:v>
                </c:pt>
                <c:pt idx="242">
                  <c:v>#N/A</c:v>
                </c:pt>
                <c:pt idx="243">
                  <c:v>#N/A</c:v>
                </c:pt>
                <c:pt idx="244">
                  <c:v>#N/A</c:v>
                </c:pt>
                <c:pt idx="245">
                  <c:v>99</c:v>
                </c:pt>
                <c:pt idx="246">
                  <c:v>#N/A</c:v>
                </c:pt>
                <c:pt idx="247">
                  <c:v>192</c:v>
                </c:pt>
                <c:pt idx="248">
                  <c:v>148</c:v>
                </c:pt>
                <c:pt idx="249">
                  <c:v>#N/A</c:v>
                </c:pt>
                <c:pt idx="250">
                  <c:v>198</c:v>
                </c:pt>
                <c:pt idx="251">
                  <c:v>#N/A</c:v>
                </c:pt>
                <c:pt idx="252">
                  <c:v>186</c:v>
                </c:pt>
                <c:pt idx="253">
                  <c:v>#N/A</c:v>
                </c:pt>
                <c:pt idx="254">
                  <c:v>#N/A</c:v>
                </c:pt>
                <c:pt idx="255">
                  <c:v>#N/A</c:v>
                </c:pt>
                <c:pt idx="256">
                  <c:v>#N/A</c:v>
                </c:pt>
                <c:pt idx="257">
                  <c:v>#N/A</c:v>
                </c:pt>
                <c:pt idx="258">
                  <c:v>#N/A</c:v>
                </c:pt>
                <c:pt idx="259">
                  <c:v>#N/A</c:v>
                </c:pt>
                <c:pt idx="260">
                  <c:v>143</c:v>
                </c:pt>
                <c:pt idx="261">
                  <c:v>83</c:v>
                </c:pt>
                <c:pt idx="262">
                  <c:v>142</c:v>
                </c:pt>
                <c:pt idx="263">
                  <c:v>156</c:v>
                </c:pt>
                <c:pt idx="264">
                  <c:v>117</c:v>
                </c:pt>
                <c:pt idx="265">
                  <c:v>#N/A</c:v>
                </c:pt>
                <c:pt idx="266">
                  <c:v>#N/A</c:v>
                </c:pt>
                <c:pt idx="267">
                  <c:v>#N/A</c:v>
                </c:pt>
                <c:pt idx="268">
                  <c:v>#N/A</c:v>
                </c:pt>
                <c:pt idx="269">
                  <c:v>#N/A</c:v>
                </c:pt>
                <c:pt idx="270">
                  <c:v>114</c:v>
                </c:pt>
                <c:pt idx="271">
                  <c:v>#N/A</c:v>
                </c:pt>
                <c:pt idx="272">
                  <c:v>#N/A</c:v>
                </c:pt>
                <c:pt idx="273">
                  <c:v>124</c:v>
                </c:pt>
                <c:pt idx="274">
                  <c:v>151</c:v>
                </c:pt>
                <c:pt idx="275">
                  <c:v>142</c:v>
                </c:pt>
                <c:pt idx="276">
                  <c:v>#N/A</c:v>
                </c:pt>
                <c:pt idx="277">
                  <c:v>#N/A</c:v>
                </c:pt>
                <c:pt idx="278">
                  <c:v>#N/A</c:v>
                </c:pt>
                <c:pt idx="279">
                  <c:v>100</c:v>
                </c:pt>
                <c:pt idx="280">
                  <c:v>186</c:v>
                </c:pt>
                <c:pt idx="281">
                  <c:v>#N/A</c:v>
                </c:pt>
                <c:pt idx="282">
                  <c:v>154</c:v>
                </c:pt>
                <c:pt idx="283">
                  <c:v>141</c:v>
                </c:pt>
                <c:pt idx="284">
                  <c:v>116</c:v>
                </c:pt>
                <c:pt idx="285">
                  <c:v>#N/A</c:v>
                </c:pt>
                <c:pt idx="286">
                  <c:v>102</c:v>
                </c:pt>
                <c:pt idx="287">
                  <c:v>126</c:v>
                </c:pt>
                <c:pt idx="288">
                  <c:v>#N/A</c:v>
                </c:pt>
                <c:pt idx="289">
                  <c:v>#N/A</c:v>
                </c:pt>
                <c:pt idx="290">
                  <c:v>171</c:v>
                </c:pt>
                <c:pt idx="291">
                  <c:v>#N/A</c:v>
                </c:pt>
                <c:pt idx="292">
                  <c:v>119</c:v>
                </c:pt>
                <c:pt idx="293">
                  <c:v>114</c:v>
                </c:pt>
                <c:pt idx="294">
                  <c:v>#N/A</c:v>
                </c:pt>
                <c:pt idx="295">
                  <c:v>173</c:v>
                </c:pt>
                <c:pt idx="296">
                  <c:v>202</c:v>
                </c:pt>
                <c:pt idx="297">
                  <c:v>#N/A</c:v>
                </c:pt>
                <c:pt idx="298">
                  <c:v>#N/A</c:v>
                </c:pt>
                <c:pt idx="299">
                  <c:v>125</c:v>
                </c:pt>
                <c:pt idx="300">
                  <c:v>#N/A</c:v>
                </c:pt>
                <c:pt idx="301">
                  <c:v>#N/A</c:v>
                </c:pt>
                <c:pt idx="302">
                  <c:v>120</c:v>
                </c:pt>
                <c:pt idx="303">
                  <c:v>138</c:v>
                </c:pt>
                <c:pt idx="304">
                  <c:v>118</c:v>
                </c:pt>
                <c:pt idx="305">
                  <c:v>#N/A</c:v>
                </c:pt>
                <c:pt idx="306">
                  <c:v>#N/A</c:v>
                </c:pt>
                <c:pt idx="307">
                  <c:v>#N/A</c:v>
                </c:pt>
                <c:pt idx="308">
                  <c:v>168</c:v>
                </c:pt>
                <c:pt idx="309">
                  <c:v>#N/A</c:v>
                </c:pt>
                <c:pt idx="310">
                  <c:v>#N/A</c:v>
                </c:pt>
                <c:pt idx="311">
                  <c:v>#N/A</c:v>
                </c:pt>
                <c:pt idx="312">
                  <c:v>#N/A</c:v>
                </c:pt>
                <c:pt idx="313">
                  <c:v>#N/A</c:v>
                </c:pt>
                <c:pt idx="314">
                  <c:v>#N/A</c:v>
                </c:pt>
                <c:pt idx="315">
                  <c:v>125</c:v>
                </c:pt>
                <c:pt idx="316">
                  <c:v>#N/A</c:v>
                </c:pt>
                <c:pt idx="317">
                  <c:v>#N/A</c:v>
                </c:pt>
                <c:pt idx="318">
                  <c:v>#N/A</c:v>
                </c:pt>
                <c:pt idx="319">
                  <c:v>161</c:v>
                </c:pt>
                <c:pt idx="320">
                  <c:v>188</c:v>
                </c:pt>
                <c:pt idx="321">
                  <c:v>#N/A</c:v>
                </c:pt>
                <c:pt idx="322">
                  <c:v>#N/A</c:v>
                </c:pt>
                <c:pt idx="323">
                  <c:v>156</c:v>
                </c:pt>
                <c:pt idx="324">
                  <c:v>#N/A</c:v>
                </c:pt>
                <c:pt idx="325">
                  <c:v>#N/A</c:v>
                </c:pt>
                <c:pt idx="326">
                  <c:v>#N/A</c:v>
                </c:pt>
                <c:pt idx="327">
                  <c:v>#N/A</c:v>
                </c:pt>
                <c:pt idx="328">
                  <c:v>133</c:v>
                </c:pt>
                <c:pt idx="329">
                  <c:v>#N/A</c:v>
                </c:pt>
                <c:pt idx="330">
                  <c:v>#N/A</c:v>
                </c:pt>
                <c:pt idx="331">
                  <c:v>#N/A</c:v>
                </c:pt>
                <c:pt idx="332">
                  <c:v>135</c:v>
                </c:pt>
                <c:pt idx="333">
                  <c:v>#N/A</c:v>
                </c:pt>
                <c:pt idx="334">
                  <c:v>115</c:v>
                </c:pt>
                <c:pt idx="335">
                  <c:v>#N/A</c:v>
                </c:pt>
                <c:pt idx="336">
                  <c:v>195</c:v>
                </c:pt>
                <c:pt idx="337">
                  <c:v>170</c:v>
                </c:pt>
                <c:pt idx="338">
                  <c:v>#N/A</c:v>
                </c:pt>
                <c:pt idx="339">
                  <c:v>#N/A</c:v>
                </c:pt>
                <c:pt idx="340">
                  <c:v>#N/A</c:v>
                </c:pt>
                <c:pt idx="341">
                  <c:v>#N/A</c:v>
                </c:pt>
                <c:pt idx="342">
                  <c:v>#N/A</c:v>
                </c:pt>
                <c:pt idx="343">
                  <c:v>131</c:v>
                </c:pt>
                <c:pt idx="344">
                  <c:v>#N/A</c:v>
                </c:pt>
                <c:pt idx="345">
                  <c:v>#N/A</c:v>
                </c:pt>
                <c:pt idx="346">
                  <c:v>131</c:v>
                </c:pt>
                <c:pt idx="347">
                  <c:v>#N/A</c:v>
                </c:pt>
                <c:pt idx="348">
                  <c:v>#N/A</c:v>
                </c:pt>
                <c:pt idx="349">
                  <c:v>#N/A</c:v>
                </c:pt>
                <c:pt idx="350">
                  <c:v>#N/A</c:v>
                </c:pt>
                <c:pt idx="351">
                  <c:v>168</c:v>
                </c:pt>
                <c:pt idx="352">
                  <c:v>117</c:v>
                </c:pt>
                <c:pt idx="353">
                  <c:v>#N/A</c:v>
                </c:pt>
                <c:pt idx="354">
                  <c:v>#N/A</c:v>
                </c:pt>
                <c:pt idx="355">
                  <c:v>92</c:v>
                </c:pt>
                <c:pt idx="356">
                  <c:v>#N/A</c:v>
                </c:pt>
                <c:pt idx="357">
                  <c:v>153</c:v>
                </c:pt>
                <c:pt idx="358">
                  <c:v>#N/A</c:v>
                </c:pt>
                <c:pt idx="359">
                  <c:v>148</c:v>
                </c:pt>
                <c:pt idx="360">
                  <c:v>#N/A</c:v>
                </c:pt>
                <c:pt idx="361">
                  <c:v>#N/A</c:v>
                </c:pt>
                <c:pt idx="362">
                  <c:v>159</c:v>
                </c:pt>
                <c:pt idx="363">
                  <c:v>193</c:v>
                </c:pt>
                <c:pt idx="364">
                  <c:v>130</c:v>
                </c:pt>
                <c:pt idx="365">
                  <c:v>115</c:v>
                </c:pt>
                <c:pt idx="366">
                  <c:v>#N/A</c:v>
                </c:pt>
                <c:pt idx="367">
                  <c:v>147</c:v>
                </c:pt>
                <c:pt idx="368">
                  <c:v>178</c:v>
                </c:pt>
                <c:pt idx="369">
                  <c:v>140</c:v>
                </c:pt>
                <c:pt idx="370">
                  <c:v>#N/A</c:v>
                </c:pt>
                <c:pt idx="371">
                  <c:v>#N/A</c:v>
                </c:pt>
                <c:pt idx="372">
                  <c:v>95</c:v>
                </c:pt>
                <c:pt idx="373">
                  <c:v>#N/A</c:v>
                </c:pt>
                <c:pt idx="374">
                  <c:v>106</c:v>
                </c:pt>
                <c:pt idx="375">
                  <c:v>#N/A</c:v>
                </c:pt>
                <c:pt idx="376">
                  <c:v>#N/A</c:v>
                </c:pt>
                <c:pt idx="377">
                  <c:v>64</c:v>
                </c:pt>
                <c:pt idx="378">
                  <c:v>#N/A</c:v>
                </c:pt>
                <c:pt idx="379">
                  <c:v>200</c:v>
                </c:pt>
                <c:pt idx="380">
                  <c:v>#N/A</c:v>
                </c:pt>
                <c:pt idx="381">
                  <c:v>#N/A</c:v>
                </c:pt>
                <c:pt idx="382">
                  <c:v>112</c:v>
                </c:pt>
                <c:pt idx="383">
                  <c:v>222</c:v>
                </c:pt>
                <c:pt idx="384">
                  <c:v>#N/A</c:v>
                </c:pt>
                <c:pt idx="385">
                  <c:v>#N/A</c:v>
                </c:pt>
                <c:pt idx="386">
                  <c:v>#N/A</c:v>
                </c:pt>
                <c:pt idx="387">
                  <c:v>#N/A</c:v>
                </c:pt>
                <c:pt idx="388">
                  <c:v>#N/A</c:v>
                </c:pt>
                <c:pt idx="389">
                  <c:v>#N/A</c:v>
                </c:pt>
                <c:pt idx="390">
                  <c:v>190</c:v>
                </c:pt>
                <c:pt idx="391">
                  <c:v>#N/A</c:v>
                </c:pt>
                <c:pt idx="392">
                  <c:v>83</c:v>
                </c:pt>
                <c:pt idx="393">
                  <c:v>#N/A</c:v>
                </c:pt>
                <c:pt idx="394">
                  <c:v>122</c:v>
                </c:pt>
                <c:pt idx="395">
                  <c:v>173</c:v>
                </c:pt>
                <c:pt idx="396">
                  <c:v>#N/A</c:v>
                </c:pt>
                <c:pt idx="397">
                  <c:v>#N/A</c:v>
                </c:pt>
                <c:pt idx="398">
                  <c:v>#N/A</c:v>
                </c:pt>
                <c:pt idx="399">
                  <c:v>#N/A</c:v>
                </c:pt>
                <c:pt idx="400">
                  <c:v>#N/A</c:v>
                </c:pt>
                <c:pt idx="401">
                  <c:v>#N/A</c:v>
                </c:pt>
                <c:pt idx="402">
                  <c:v>134</c:v>
                </c:pt>
                <c:pt idx="403">
                  <c:v>134</c:v>
                </c:pt>
                <c:pt idx="404">
                  <c:v>180</c:v>
                </c:pt>
                <c:pt idx="405">
                  <c:v>#N/A</c:v>
                </c:pt>
                <c:pt idx="406">
                  <c:v>#N/A</c:v>
                </c:pt>
                <c:pt idx="407">
                  <c:v>155</c:v>
                </c:pt>
                <c:pt idx="408">
                  <c:v>#N/A</c:v>
                </c:pt>
                <c:pt idx="409">
                  <c:v>#N/A</c:v>
                </c:pt>
                <c:pt idx="410">
                  <c:v>#N/A</c:v>
                </c:pt>
                <c:pt idx="411">
                  <c:v>#N/A</c:v>
                </c:pt>
                <c:pt idx="412">
                  <c:v>#N/A</c:v>
                </c:pt>
                <c:pt idx="413">
                  <c:v>#N/A</c:v>
                </c:pt>
                <c:pt idx="414">
                  <c:v>#N/A</c:v>
                </c:pt>
                <c:pt idx="415">
                  <c:v>#N/A</c:v>
                </c:pt>
                <c:pt idx="416">
                  <c:v>157</c:v>
                </c:pt>
                <c:pt idx="417">
                  <c:v>#N/A</c:v>
                </c:pt>
                <c:pt idx="418">
                  <c:v>#N/A</c:v>
                </c:pt>
                <c:pt idx="419">
                  <c:v>#N/A</c:v>
                </c:pt>
                <c:pt idx="420">
                  <c:v>94</c:v>
                </c:pt>
                <c:pt idx="421">
                  <c:v>#N/A</c:v>
                </c:pt>
                <c:pt idx="422">
                  <c:v>139</c:v>
                </c:pt>
                <c:pt idx="423">
                  <c:v>#N/A</c:v>
                </c:pt>
                <c:pt idx="424">
                  <c:v>122</c:v>
                </c:pt>
                <c:pt idx="425">
                  <c:v>151</c:v>
                </c:pt>
                <c:pt idx="426">
                  <c:v>#N/A</c:v>
                </c:pt>
                <c:pt idx="427">
                  <c:v>176</c:v>
                </c:pt>
                <c:pt idx="428">
                  <c:v>159</c:v>
                </c:pt>
                <c:pt idx="429">
                  <c:v>153</c:v>
                </c:pt>
                <c:pt idx="430">
                  <c:v>#N/A</c:v>
                </c:pt>
                <c:pt idx="431">
                  <c:v>90</c:v>
                </c:pt>
                <c:pt idx="432">
                  <c:v>#N/A</c:v>
                </c:pt>
                <c:pt idx="433">
                  <c:v>161</c:v>
                </c:pt>
                <c:pt idx="434">
                  <c:v>#N/A</c:v>
                </c:pt>
                <c:pt idx="435">
                  <c:v>#N/A</c:v>
                </c:pt>
                <c:pt idx="436">
                  <c:v>#N/A</c:v>
                </c:pt>
                <c:pt idx="437">
                  <c:v>116</c:v>
                </c:pt>
                <c:pt idx="438">
                  <c:v>#N/A</c:v>
                </c:pt>
                <c:pt idx="439">
                  <c:v>#N/A</c:v>
                </c:pt>
                <c:pt idx="440">
                  <c:v>151</c:v>
                </c:pt>
                <c:pt idx="441">
                  <c:v>#N/A</c:v>
                </c:pt>
                <c:pt idx="442">
                  <c:v>#N/A</c:v>
                </c:pt>
                <c:pt idx="443">
                  <c:v>179</c:v>
                </c:pt>
                <c:pt idx="444">
                  <c:v>#N/A</c:v>
                </c:pt>
                <c:pt idx="445">
                  <c:v>#N/A</c:v>
                </c:pt>
                <c:pt idx="446">
                  <c:v>#N/A</c:v>
                </c:pt>
                <c:pt idx="447">
                  <c:v>166</c:v>
                </c:pt>
                <c:pt idx="448">
                  <c:v>#N/A</c:v>
                </c:pt>
                <c:pt idx="449">
                  <c:v>164</c:v>
                </c:pt>
                <c:pt idx="450">
                  <c:v>#N/A</c:v>
                </c:pt>
                <c:pt idx="451">
                  <c:v>#N/A</c:v>
                </c:pt>
                <c:pt idx="452">
                  <c:v>#N/A</c:v>
                </c:pt>
                <c:pt idx="453">
                  <c:v>156</c:v>
                </c:pt>
                <c:pt idx="454">
                  <c:v>163</c:v>
                </c:pt>
                <c:pt idx="455">
                  <c:v>#N/A</c:v>
                </c:pt>
                <c:pt idx="456">
                  <c:v>159</c:v>
                </c:pt>
                <c:pt idx="457">
                  <c:v>158</c:v>
                </c:pt>
                <c:pt idx="458">
                  <c:v>#N/A</c:v>
                </c:pt>
                <c:pt idx="459">
                  <c:v>#N/A</c:v>
                </c:pt>
                <c:pt idx="460">
                  <c:v>#N/A</c:v>
                </c:pt>
                <c:pt idx="461">
                  <c:v>#N/A</c:v>
                </c:pt>
                <c:pt idx="462">
                  <c:v>#N/A</c:v>
                </c:pt>
                <c:pt idx="463">
                  <c:v>#N/A</c:v>
                </c:pt>
                <c:pt idx="464">
                  <c:v>#N/A</c:v>
                </c:pt>
                <c:pt idx="465">
                  <c:v>#N/A</c:v>
                </c:pt>
                <c:pt idx="466">
                  <c:v>#N/A</c:v>
                </c:pt>
                <c:pt idx="467">
                  <c:v>183</c:v>
                </c:pt>
                <c:pt idx="468">
                  <c:v>#N/A</c:v>
                </c:pt>
                <c:pt idx="469">
                  <c:v>188</c:v>
                </c:pt>
                <c:pt idx="470">
                  <c:v>151</c:v>
                </c:pt>
                <c:pt idx="471">
                  <c:v>#N/A</c:v>
                </c:pt>
                <c:pt idx="472">
                  <c:v>172</c:v>
                </c:pt>
                <c:pt idx="473">
                  <c:v>147</c:v>
                </c:pt>
                <c:pt idx="474">
                  <c:v>#N/A</c:v>
                </c:pt>
                <c:pt idx="475">
                  <c:v>#N/A</c:v>
                </c:pt>
                <c:pt idx="476">
                  <c:v>#N/A</c:v>
                </c:pt>
                <c:pt idx="477">
                  <c:v>#N/A</c:v>
                </c:pt>
                <c:pt idx="478">
                  <c:v>#N/A</c:v>
                </c:pt>
                <c:pt idx="479">
                  <c:v>#N/A</c:v>
                </c:pt>
                <c:pt idx="480">
                  <c:v>137</c:v>
                </c:pt>
                <c:pt idx="481">
                  <c:v>115</c:v>
                </c:pt>
                <c:pt idx="482">
                  <c:v>#N/A</c:v>
                </c:pt>
                <c:pt idx="483">
                  <c:v>#N/A</c:v>
                </c:pt>
                <c:pt idx="484">
                  <c:v>#N/A</c:v>
                </c:pt>
                <c:pt idx="485">
                  <c:v>175</c:v>
                </c:pt>
                <c:pt idx="486">
                  <c:v>#N/A</c:v>
                </c:pt>
                <c:pt idx="487">
                  <c:v>111</c:v>
                </c:pt>
                <c:pt idx="488">
                  <c:v>#N/A</c:v>
                </c:pt>
                <c:pt idx="489">
                  <c:v>#N/A</c:v>
                </c:pt>
                <c:pt idx="490">
                  <c:v>#N/A</c:v>
                </c:pt>
                <c:pt idx="491">
                  <c:v>#N/A</c:v>
                </c:pt>
                <c:pt idx="492">
                  <c:v>129</c:v>
                </c:pt>
                <c:pt idx="493">
                  <c:v>#N/A</c:v>
                </c:pt>
                <c:pt idx="494">
                  <c:v>181</c:v>
                </c:pt>
                <c:pt idx="495">
                  <c:v>188</c:v>
                </c:pt>
                <c:pt idx="496">
                  <c:v>128</c:v>
                </c:pt>
                <c:pt idx="497">
                  <c:v>#N/A</c:v>
                </c:pt>
                <c:pt idx="498">
                  <c:v>#N/A</c:v>
                </c:pt>
                <c:pt idx="499">
                  <c:v>191</c:v>
                </c:pt>
                <c:pt idx="500">
                  <c:v>#N/A</c:v>
                </c:pt>
                <c:pt idx="501">
                  <c:v>127</c:v>
                </c:pt>
                <c:pt idx="502">
                  <c:v>#N/A</c:v>
                </c:pt>
                <c:pt idx="503">
                  <c:v>154</c:v>
                </c:pt>
                <c:pt idx="504">
                  <c:v>155</c:v>
                </c:pt>
                <c:pt idx="505">
                  <c:v>#N/A</c:v>
                </c:pt>
                <c:pt idx="506">
                  <c:v>#N/A</c:v>
                </c:pt>
                <c:pt idx="507">
                  <c:v>#N/A</c:v>
                </c:pt>
                <c:pt idx="508">
                  <c:v>#N/A</c:v>
                </c:pt>
                <c:pt idx="509">
                  <c:v>#N/A</c:v>
                </c:pt>
                <c:pt idx="510">
                  <c:v>152</c:v>
                </c:pt>
                <c:pt idx="511">
                  <c:v>#N/A</c:v>
                </c:pt>
                <c:pt idx="512">
                  <c:v>129</c:v>
                </c:pt>
                <c:pt idx="513">
                  <c:v>165</c:v>
                </c:pt>
                <c:pt idx="514">
                  <c:v>200</c:v>
                </c:pt>
                <c:pt idx="515">
                  <c:v>163</c:v>
                </c:pt>
                <c:pt idx="516">
                  <c:v>#N/A</c:v>
                </c:pt>
                <c:pt idx="517">
                  <c:v>170</c:v>
                </c:pt>
                <c:pt idx="518">
                  <c:v>160</c:v>
                </c:pt>
                <c:pt idx="519">
                  <c:v>#N/A</c:v>
                </c:pt>
                <c:pt idx="520">
                  <c:v>164</c:v>
                </c:pt>
                <c:pt idx="521">
                  <c:v>140</c:v>
                </c:pt>
                <c:pt idx="522">
                  <c:v>#N/A</c:v>
                </c:pt>
                <c:pt idx="523">
                  <c:v>#N/A</c:v>
                </c:pt>
                <c:pt idx="524">
                  <c:v>133</c:v>
                </c:pt>
                <c:pt idx="525">
                  <c:v>#N/A</c:v>
                </c:pt>
                <c:pt idx="526">
                  <c:v>#N/A</c:v>
                </c:pt>
                <c:pt idx="527">
                  <c:v>164</c:v>
                </c:pt>
                <c:pt idx="528">
                  <c:v>#N/A</c:v>
                </c:pt>
                <c:pt idx="529">
                  <c:v>152</c:v>
                </c:pt>
                <c:pt idx="530">
                  <c:v>#N/A</c:v>
                </c:pt>
                <c:pt idx="531">
                  <c:v>163</c:v>
                </c:pt>
                <c:pt idx="532">
                  <c:v>#N/A</c:v>
                </c:pt>
                <c:pt idx="533">
                  <c:v>132</c:v>
                </c:pt>
                <c:pt idx="534">
                  <c:v>151</c:v>
                </c:pt>
                <c:pt idx="535">
                  <c:v>149</c:v>
                </c:pt>
                <c:pt idx="536">
                  <c:v>#N/A</c:v>
                </c:pt>
                <c:pt idx="537">
                  <c:v>#N/A</c:v>
                </c:pt>
                <c:pt idx="538">
                  <c:v>156</c:v>
                </c:pt>
                <c:pt idx="539">
                  <c:v>192</c:v>
                </c:pt>
                <c:pt idx="540">
                  <c:v>#N/A</c:v>
                </c:pt>
                <c:pt idx="541">
                  <c:v>#N/A</c:v>
                </c:pt>
                <c:pt idx="542">
                  <c:v>#N/A</c:v>
                </c:pt>
                <c:pt idx="543">
                  <c:v>114</c:v>
                </c:pt>
                <c:pt idx="544">
                  <c:v>#N/A</c:v>
                </c:pt>
                <c:pt idx="545">
                  <c:v>107</c:v>
                </c:pt>
                <c:pt idx="546">
                  <c:v>171</c:v>
                </c:pt>
                <c:pt idx="547">
                  <c:v>165</c:v>
                </c:pt>
                <c:pt idx="548">
                  <c:v>#N/A</c:v>
                </c:pt>
                <c:pt idx="549">
                  <c:v>#N/A</c:v>
                </c:pt>
                <c:pt idx="550">
                  <c:v>#N/A</c:v>
                </c:pt>
                <c:pt idx="551">
                  <c:v>138</c:v>
                </c:pt>
                <c:pt idx="552">
                  <c:v>156</c:v>
                </c:pt>
                <c:pt idx="553">
                  <c:v>#N/A</c:v>
                </c:pt>
                <c:pt idx="554">
                  <c:v>#N/A</c:v>
                </c:pt>
                <c:pt idx="555">
                  <c:v>155</c:v>
                </c:pt>
                <c:pt idx="556">
                  <c:v>#N/A</c:v>
                </c:pt>
                <c:pt idx="557">
                  <c:v>#N/A</c:v>
                </c:pt>
                <c:pt idx="558">
                  <c:v>185</c:v>
                </c:pt>
                <c:pt idx="559">
                  <c:v>#N/A</c:v>
                </c:pt>
                <c:pt idx="560">
                  <c:v>#N/A</c:v>
                </c:pt>
                <c:pt idx="561">
                  <c:v>125</c:v>
                </c:pt>
                <c:pt idx="562">
                  <c:v>199</c:v>
                </c:pt>
                <c:pt idx="563">
                  <c:v>149</c:v>
                </c:pt>
                <c:pt idx="564">
                  <c:v>125</c:v>
                </c:pt>
                <c:pt idx="565">
                  <c:v>#N/A</c:v>
                </c:pt>
                <c:pt idx="566">
                  <c:v>#N/A</c:v>
                </c:pt>
                <c:pt idx="567">
                  <c:v>131</c:v>
                </c:pt>
                <c:pt idx="568">
                  <c:v>#N/A</c:v>
                </c:pt>
                <c:pt idx="569">
                  <c:v>#N/A</c:v>
                </c:pt>
                <c:pt idx="570">
                  <c:v>#N/A</c:v>
                </c:pt>
                <c:pt idx="571">
                  <c:v>116</c:v>
                </c:pt>
                <c:pt idx="572">
                  <c:v>144</c:v>
                </c:pt>
                <c:pt idx="573">
                  <c:v>145</c:v>
                </c:pt>
                <c:pt idx="574">
                  <c:v>110</c:v>
                </c:pt>
                <c:pt idx="575">
                  <c:v>#N/A</c:v>
                </c:pt>
                <c:pt idx="576">
                  <c:v>#N/A</c:v>
                </c:pt>
                <c:pt idx="577">
                  <c:v>138</c:v>
                </c:pt>
                <c:pt idx="578">
                  <c:v>#N/A</c:v>
                </c:pt>
                <c:pt idx="579">
                  <c:v>#N/A</c:v>
                </c:pt>
                <c:pt idx="580">
                  <c:v>#N/A</c:v>
                </c:pt>
                <c:pt idx="581">
                  <c:v>#N/A</c:v>
                </c:pt>
                <c:pt idx="582">
                  <c:v>#N/A</c:v>
                </c:pt>
                <c:pt idx="583">
                  <c:v>#N/A</c:v>
                </c:pt>
                <c:pt idx="584">
                  <c:v>#N/A</c:v>
                </c:pt>
                <c:pt idx="585">
                  <c:v>147</c:v>
                </c:pt>
                <c:pt idx="586">
                  <c:v>126</c:v>
                </c:pt>
                <c:pt idx="587">
                  <c:v>#N/A</c:v>
                </c:pt>
                <c:pt idx="588">
                  <c:v>#N/A</c:v>
                </c:pt>
                <c:pt idx="589">
                  <c:v>185</c:v>
                </c:pt>
                <c:pt idx="590">
                  <c:v>#N/A</c:v>
                </c:pt>
                <c:pt idx="591">
                  <c:v>197</c:v>
                </c:pt>
                <c:pt idx="592">
                  <c:v>#N/A</c:v>
                </c:pt>
                <c:pt idx="593">
                  <c:v>#N/A</c:v>
                </c:pt>
                <c:pt idx="594">
                  <c:v>#N/A</c:v>
                </c:pt>
                <c:pt idx="595">
                  <c:v>#N/A</c:v>
                </c:pt>
                <c:pt idx="596">
                  <c:v>128</c:v>
                </c:pt>
                <c:pt idx="597">
                  <c:v>#N/A</c:v>
                </c:pt>
                <c:pt idx="598">
                  <c:v>#N/A</c:v>
                </c:pt>
                <c:pt idx="599">
                  <c:v>#N/A</c:v>
                </c:pt>
                <c:pt idx="600">
                  <c:v>#N/A</c:v>
                </c:pt>
                <c:pt idx="601">
                  <c:v>#N/A</c:v>
                </c:pt>
                <c:pt idx="602">
                  <c:v>95</c:v>
                </c:pt>
                <c:pt idx="603">
                  <c:v>#N/A</c:v>
                </c:pt>
                <c:pt idx="604">
                  <c:v>#N/A</c:v>
                </c:pt>
                <c:pt idx="605">
                  <c:v>#N/A</c:v>
                </c:pt>
                <c:pt idx="606">
                  <c:v>176</c:v>
                </c:pt>
                <c:pt idx="607">
                  <c:v>#N/A</c:v>
                </c:pt>
                <c:pt idx="608">
                  <c:v>#N/A</c:v>
                </c:pt>
                <c:pt idx="609">
                  <c:v>165</c:v>
                </c:pt>
                <c:pt idx="610">
                  <c:v>98</c:v>
                </c:pt>
                <c:pt idx="611">
                  <c:v>#N/A</c:v>
                </c:pt>
                <c:pt idx="612">
                  <c:v>#N/A</c:v>
                </c:pt>
                <c:pt idx="613">
                  <c:v>160</c:v>
                </c:pt>
                <c:pt idx="614">
                  <c:v>#N/A</c:v>
                </c:pt>
                <c:pt idx="615">
                  <c:v>144</c:v>
                </c:pt>
                <c:pt idx="616">
                  <c:v>180</c:v>
                </c:pt>
                <c:pt idx="617">
                  <c:v>168</c:v>
                </c:pt>
                <c:pt idx="618">
                  <c:v>60</c:v>
                </c:pt>
                <c:pt idx="619">
                  <c:v>#N/A</c:v>
                </c:pt>
                <c:pt idx="620">
                  <c:v>#N/A</c:v>
                </c:pt>
                <c:pt idx="621">
                  <c:v>#N/A</c:v>
                </c:pt>
                <c:pt idx="622">
                  <c:v>180</c:v>
                </c:pt>
                <c:pt idx="623">
                  <c:v>#N/A</c:v>
                </c:pt>
                <c:pt idx="624">
                  <c:v>#N/A</c:v>
                </c:pt>
                <c:pt idx="625">
                  <c:v>147</c:v>
                </c:pt>
                <c:pt idx="626">
                  <c:v>#N/A</c:v>
                </c:pt>
                <c:pt idx="627">
                  <c:v>98</c:v>
                </c:pt>
                <c:pt idx="628">
                  <c:v>132</c:v>
                </c:pt>
                <c:pt idx="629">
                  <c:v>#N/A</c:v>
                </c:pt>
                <c:pt idx="630">
                  <c:v>#N/A</c:v>
                </c:pt>
                <c:pt idx="631">
                  <c:v>135</c:v>
                </c:pt>
                <c:pt idx="632">
                  <c:v>#N/A</c:v>
                </c:pt>
                <c:pt idx="633">
                  <c:v>176</c:v>
                </c:pt>
                <c:pt idx="634">
                  <c:v>152</c:v>
                </c:pt>
                <c:pt idx="635">
                  <c:v>143</c:v>
                </c:pt>
                <c:pt idx="636">
                  <c:v>#N/A</c:v>
                </c:pt>
                <c:pt idx="637">
                  <c:v>167</c:v>
                </c:pt>
                <c:pt idx="638">
                  <c:v>143</c:v>
                </c:pt>
                <c:pt idx="639">
                  <c:v>172</c:v>
                </c:pt>
                <c:pt idx="640">
                  <c:v>155</c:v>
                </c:pt>
                <c:pt idx="641">
                  <c:v>#N/A</c:v>
                </c:pt>
                <c:pt idx="642">
                  <c:v>#N/A</c:v>
                </c:pt>
                <c:pt idx="643">
                  <c:v>178</c:v>
                </c:pt>
                <c:pt idx="644">
                  <c:v>#N/A</c:v>
                </c:pt>
                <c:pt idx="645">
                  <c:v>126</c:v>
                </c:pt>
                <c:pt idx="646">
                  <c:v>#N/A</c:v>
                </c:pt>
                <c:pt idx="647">
                  <c:v>#N/A</c:v>
                </c:pt>
                <c:pt idx="648">
                  <c:v>#N/A</c:v>
                </c:pt>
                <c:pt idx="649">
                  <c:v>#N/A</c:v>
                </c:pt>
                <c:pt idx="650">
                  <c:v>143</c:v>
                </c:pt>
                <c:pt idx="651">
                  <c:v>#N/A</c:v>
                </c:pt>
                <c:pt idx="652">
                  <c:v>#N/A</c:v>
                </c:pt>
                <c:pt idx="653">
                  <c:v>194</c:v>
                </c:pt>
                <c:pt idx="654">
                  <c:v>#N/A</c:v>
                </c:pt>
                <c:pt idx="655">
                  <c:v>143</c:v>
                </c:pt>
                <c:pt idx="656">
                  <c:v>#N/A</c:v>
                </c:pt>
                <c:pt idx="657">
                  <c:v>#N/A</c:v>
                </c:pt>
                <c:pt idx="658">
                  <c:v>#N/A</c:v>
                </c:pt>
                <c:pt idx="659">
                  <c:v>#N/A</c:v>
                </c:pt>
                <c:pt idx="660">
                  <c:v>#N/A</c:v>
                </c:pt>
                <c:pt idx="661">
                  <c:v>#N/A</c:v>
                </c:pt>
                <c:pt idx="662">
                  <c:v>186</c:v>
                </c:pt>
                <c:pt idx="663">
                  <c:v>140</c:v>
                </c:pt>
                <c:pt idx="664">
                  <c:v>#N/A</c:v>
                </c:pt>
                <c:pt idx="665">
                  <c:v>193</c:v>
                </c:pt>
                <c:pt idx="666">
                  <c:v>#N/A</c:v>
                </c:pt>
                <c:pt idx="667">
                  <c:v>#N/A</c:v>
                </c:pt>
                <c:pt idx="668">
                  <c:v>#N/A</c:v>
                </c:pt>
                <c:pt idx="669">
                  <c:v>194</c:v>
                </c:pt>
                <c:pt idx="670">
                  <c:v>#N/A</c:v>
                </c:pt>
                <c:pt idx="671">
                  <c:v>#N/A</c:v>
                </c:pt>
                <c:pt idx="672">
                  <c:v>135</c:v>
                </c:pt>
                <c:pt idx="673">
                  <c:v>#N/A</c:v>
                </c:pt>
                <c:pt idx="674">
                  <c:v>96</c:v>
                </c:pt>
                <c:pt idx="675">
                  <c:v>187</c:v>
                </c:pt>
                <c:pt idx="676">
                  <c:v>#N/A</c:v>
                </c:pt>
                <c:pt idx="677">
                  <c:v>#N/A</c:v>
                </c:pt>
                <c:pt idx="678">
                  <c:v>153</c:v>
                </c:pt>
                <c:pt idx="679">
                  <c:v>122</c:v>
                </c:pt>
                <c:pt idx="680">
                  <c:v>#N/A</c:v>
                </c:pt>
                <c:pt idx="681">
                  <c:v>#N/A</c:v>
                </c:pt>
                <c:pt idx="682">
                  <c:v>#N/A</c:v>
                </c:pt>
                <c:pt idx="683">
                  <c:v>173</c:v>
                </c:pt>
                <c:pt idx="684">
                  <c:v>#N/A</c:v>
                </c:pt>
                <c:pt idx="685">
                  <c:v>116</c:v>
                </c:pt>
                <c:pt idx="686">
                  <c:v>138</c:v>
                </c:pt>
                <c:pt idx="687">
                  <c:v>#N/A</c:v>
                </c:pt>
                <c:pt idx="688">
                  <c:v>105</c:v>
                </c:pt>
                <c:pt idx="689">
                  <c:v>97</c:v>
                </c:pt>
                <c:pt idx="690">
                  <c:v>#N/A</c:v>
                </c:pt>
                <c:pt idx="691">
                  <c:v>#N/A</c:v>
                </c:pt>
                <c:pt idx="692">
                  <c:v>186</c:v>
                </c:pt>
                <c:pt idx="693">
                  <c:v>#N/A</c:v>
                </c:pt>
                <c:pt idx="694">
                  <c:v>161</c:v>
                </c:pt>
                <c:pt idx="695">
                  <c:v>124</c:v>
                </c:pt>
                <c:pt idx="696">
                  <c:v>125</c:v>
                </c:pt>
                <c:pt idx="697">
                  <c:v>#N/A</c:v>
                </c:pt>
                <c:pt idx="698">
                  <c:v>124</c:v>
                </c:pt>
                <c:pt idx="699">
                  <c:v>#N/A</c:v>
                </c:pt>
                <c:pt idx="700">
                  <c:v>182</c:v>
                </c:pt>
                <c:pt idx="701">
                  <c:v>#N/A</c:v>
                </c:pt>
                <c:pt idx="702">
                  <c:v>#N/A</c:v>
                </c:pt>
                <c:pt idx="703">
                  <c:v>#N/A</c:v>
                </c:pt>
                <c:pt idx="704">
                  <c:v>157</c:v>
                </c:pt>
                <c:pt idx="705">
                  <c:v>#N/A</c:v>
                </c:pt>
                <c:pt idx="706">
                  <c:v>141</c:v>
                </c:pt>
                <c:pt idx="707">
                  <c:v>#N/A</c:v>
                </c:pt>
                <c:pt idx="708">
                  <c:v>104</c:v>
                </c:pt>
                <c:pt idx="709">
                  <c:v>#N/A</c:v>
                </c:pt>
                <c:pt idx="710">
                  <c:v>194</c:v>
                </c:pt>
                <c:pt idx="711">
                  <c:v>#N/A</c:v>
                </c:pt>
                <c:pt idx="712">
                  <c:v>194</c:v>
                </c:pt>
                <c:pt idx="713">
                  <c:v>#N/A</c:v>
                </c:pt>
                <c:pt idx="714">
                  <c:v>#N/A</c:v>
                </c:pt>
                <c:pt idx="715">
                  <c:v>#N/A</c:v>
                </c:pt>
                <c:pt idx="716">
                  <c:v>#N/A</c:v>
                </c:pt>
                <c:pt idx="717">
                  <c:v>#N/A</c:v>
                </c:pt>
                <c:pt idx="718">
                  <c:v>#N/A</c:v>
                </c:pt>
                <c:pt idx="719">
                  <c:v>85</c:v>
                </c:pt>
                <c:pt idx="720">
                  <c:v>#N/A</c:v>
                </c:pt>
                <c:pt idx="721">
                  <c:v>#N/A</c:v>
                </c:pt>
                <c:pt idx="722">
                  <c:v>#N/A</c:v>
                </c:pt>
                <c:pt idx="723">
                  <c:v>162</c:v>
                </c:pt>
                <c:pt idx="724">
                  <c:v>#N/A</c:v>
                </c:pt>
                <c:pt idx="725">
                  <c:v>#N/A</c:v>
                </c:pt>
                <c:pt idx="726">
                  <c:v>#N/A</c:v>
                </c:pt>
                <c:pt idx="727">
                  <c:v>#N/A</c:v>
                </c:pt>
                <c:pt idx="728">
                  <c:v>#N/A</c:v>
                </c:pt>
                <c:pt idx="729">
                  <c:v>112</c:v>
                </c:pt>
                <c:pt idx="730">
                  <c:v>#N/A</c:v>
                </c:pt>
                <c:pt idx="731">
                  <c:v>#N/A</c:v>
                </c:pt>
                <c:pt idx="732">
                  <c:v>149</c:v>
                </c:pt>
                <c:pt idx="733">
                  <c:v>151</c:v>
                </c:pt>
                <c:pt idx="734">
                  <c:v>136</c:v>
                </c:pt>
                <c:pt idx="735">
                  <c:v>166</c:v>
                </c:pt>
                <c:pt idx="736">
                  <c:v>#N/A</c:v>
                </c:pt>
                <c:pt idx="737">
                  <c:v>#N/A</c:v>
                </c:pt>
                <c:pt idx="738">
                  <c:v>#N/A</c:v>
                </c:pt>
                <c:pt idx="739">
                  <c:v>90</c:v>
                </c:pt>
                <c:pt idx="740">
                  <c:v>160</c:v>
                </c:pt>
                <c:pt idx="741">
                  <c:v>#N/A</c:v>
                </c:pt>
                <c:pt idx="742">
                  <c:v>#N/A</c:v>
                </c:pt>
                <c:pt idx="743">
                  <c:v>147</c:v>
                </c:pt>
                <c:pt idx="744">
                  <c:v>142</c:v>
                </c:pt>
                <c:pt idx="745">
                  <c:v>153</c:v>
                </c:pt>
                <c:pt idx="746">
                  <c:v>#N/A</c:v>
                </c:pt>
                <c:pt idx="747">
                  <c:v>140</c:v>
                </c:pt>
                <c:pt idx="748">
                  <c:v>122</c:v>
                </c:pt>
                <c:pt idx="749">
                  <c:v>#N/A</c:v>
                </c:pt>
                <c:pt idx="750">
                  <c:v>145</c:v>
                </c:pt>
                <c:pt idx="751">
                  <c:v>#N/A</c:v>
                </c:pt>
                <c:pt idx="752">
                  <c:v>170</c:v>
                </c:pt>
                <c:pt idx="753">
                  <c:v>#N/A</c:v>
                </c:pt>
                <c:pt idx="754">
                  <c:v>106</c:v>
                </c:pt>
                <c:pt idx="755">
                  <c:v>#N/A</c:v>
                </c:pt>
                <c:pt idx="756">
                  <c:v>#N/A</c:v>
                </c:pt>
                <c:pt idx="757">
                  <c:v>147</c:v>
                </c:pt>
                <c:pt idx="758">
                  <c:v>161</c:v>
                </c:pt>
                <c:pt idx="759">
                  <c:v>#N/A</c:v>
                </c:pt>
                <c:pt idx="760">
                  <c:v>#N/A</c:v>
                </c:pt>
                <c:pt idx="761">
                  <c:v>#N/A</c:v>
                </c:pt>
                <c:pt idx="762">
                  <c:v>#N/A</c:v>
                </c:pt>
                <c:pt idx="763">
                  <c:v>#N/A</c:v>
                </c:pt>
                <c:pt idx="764">
                  <c:v>#N/A</c:v>
                </c:pt>
                <c:pt idx="765">
                  <c:v>149</c:v>
                </c:pt>
                <c:pt idx="766">
                  <c:v>#N/A</c:v>
                </c:pt>
                <c:pt idx="767">
                  <c:v>#N/A</c:v>
                </c:pt>
                <c:pt idx="768">
                  <c:v>#N/A</c:v>
                </c:pt>
                <c:pt idx="769">
                  <c:v>#N/A</c:v>
                </c:pt>
                <c:pt idx="770">
                  <c:v>145</c:v>
                </c:pt>
                <c:pt idx="771">
                  <c:v>#N/A</c:v>
                </c:pt>
                <c:pt idx="772">
                  <c:v>#N/A</c:v>
                </c:pt>
                <c:pt idx="773">
                  <c:v>#N/A</c:v>
                </c:pt>
                <c:pt idx="774">
                  <c:v>#N/A</c:v>
                </c:pt>
                <c:pt idx="775">
                  <c:v>#N/A</c:v>
                </c:pt>
                <c:pt idx="776">
                  <c:v>#N/A</c:v>
                </c:pt>
                <c:pt idx="777">
                  <c:v>#N/A</c:v>
                </c:pt>
                <c:pt idx="778">
                  <c:v>67</c:v>
                </c:pt>
                <c:pt idx="779">
                  <c:v>#N/A</c:v>
                </c:pt>
                <c:pt idx="780">
                  <c:v>#N/A</c:v>
                </c:pt>
                <c:pt idx="781">
                  <c:v>#N/A</c:v>
                </c:pt>
                <c:pt idx="782">
                  <c:v>#N/A</c:v>
                </c:pt>
                <c:pt idx="783">
                  <c:v>#N/A</c:v>
                </c:pt>
                <c:pt idx="784">
                  <c:v>#N/A</c:v>
                </c:pt>
                <c:pt idx="785">
                  <c:v>#N/A</c:v>
                </c:pt>
                <c:pt idx="786">
                  <c:v>118</c:v>
                </c:pt>
                <c:pt idx="787">
                  <c:v>#N/A</c:v>
                </c:pt>
                <c:pt idx="788">
                  <c:v>#N/A</c:v>
                </c:pt>
                <c:pt idx="789">
                  <c:v>#N/A</c:v>
                </c:pt>
                <c:pt idx="790">
                  <c:v>#N/A</c:v>
                </c:pt>
                <c:pt idx="791">
                  <c:v>#N/A</c:v>
                </c:pt>
                <c:pt idx="792">
                  <c:v>#N/A</c:v>
                </c:pt>
                <c:pt idx="793">
                  <c:v>210</c:v>
                </c:pt>
                <c:pt idx="794">
                  <c:v>127</c:v>
                </c:pt>
                <c:pt idx="795">
                  <c:v>#N/A</c:v>
                </c:pt>
                <c:pt idx="796">
                  <c:v>#N/A</c:v>
                </c:pt>
                <c:pt idx="797">
                  <c:v>#N/A</c:v>
                </c:pt>
                <c:pt idx="798">
                  <c:v>#N/A</c:v>
                </c:pt>
                <c:pt idx="799">
                  <c:v>134</c:v>
                </c:pt>
                <c:pt idx="800">
                  <c:v>#N/A</c:v>
                </c:pt>
                <c:pt idx="801">
                  <c:v>#N/A</c:v>
                </c:pt>
                <c:pt idx="802">
                  <c:v>116</c:v>
                </c:pt>
                <c:pt idx="803">
                  <c:v>#N/A</c:v>
                </c:pt>
                <c:pt idx="804">
                  <c:v>#N/A</c:v>
                </c:pt>
                <c:pt idx="805">
                  <c:v>#N/A</c:v>
                </c:pt>
                <c:pt idx="806">
                  <c:v>#N/A</c:v>
                </c:pt>
                <c:pt idx="807">
                  <c:v>#N/A</c:v>
                </c:pt>
                <c:pt idx="808">
                  <c:v>#N/A</c:v>
                </c:pt>
                <c:pt idx="809">
                  <c:v>135</c:v>
                </c:pt>
                <c:pt idx="810">
                  <c:v>#N/A</c:v>
                </c:pt>
                <c:pt idx="811">
                  <c:v>#N/A</c:v>
                </c:pt>
                <c:pt idx="812">
                  <c:v>210</c:v>
                </c:pt>
                <c:pt idx="813">
                  <c:v>#N/A</c:v>
                </c:pt>
                <c:pt idx="814">
                  <c:v>#N/A</c:v>
                </c:pt>
                <c:pt idx="815">
                  <c:v>191</c:v>
                </c:pt>
                <c:pt idx="816">
                  <c:v>#N/A</c:v>
                </c:pt>
                <c:pt idx="817">
                  <c:v>#N/A</c:v>
                </c:pt>
                <c:pt idx="818">
                  <c:v>120</c:v>
                </c:pt>
                <c:pt idx="819">
                  <c:v>#N/A</c:v>
                </c:pt>
                <c:pt idx="820">
                  <c:v>#N/A</c:v>
                </c:pt>
                <c:pt idx="821">
                  <c:v>138</c:v>
                </c:pt>
                <c:pt idx="822">
                  <c:v>137</c:v>
                </c:pt>
                <c:pt idx="823">
                  <c:v>#N/A</c:v>
                </c:pt>
                <c:pt idx="824">
                  <c:v>#N/A</c:v>
                </c:pt>
                <c:pt idx="825">
                  <c:v>#N/A</c:v>
                </c:pt>
                <c:pt idx="826">
                  <c:v>153</c:v>
                </c:pt>
                <c:pt idx="827">
                  <c:v>160</c:v>
                </c:pt>
                <c:pt idx="828">
                  <c:v>167</c:v>
                </c:pt>
                <c:pt idx="829">
                  <c:v>150</c:v>
                </c:pt>
                <c:pt idx="830">
                  <c:v>#N/A</c:v>
                </c:pt>
                <c:pt idx="831">
                  <c:v>#N/A</c:v>
                </c:pt>
                <c:pt idx="832">
                  <c:v>125</c:v>
                </c:pt>
                <c:pt idx="833">
                  <c:v>#N/A</c:v>
                </c:pt>
                <c:pt idx="834">
                  <c:v>146</c:v>
                </c:pt>
                <c:pt idx="835">
                  <c:v>#N/A</c:v>
                </c:pt>
                <c:pt idx="836">
                  <c:v>#N/A</c:v>
                </c:pt>
                <c:pt idx="837">
                  <c:v>168</c:v>
                </c:pt>
                <c:pt idx="838">
                  <c:v>156</c:v>
                </c:pt>
                <c:pt idx="839">
                  <c:v>141</c:v>
                </c:pt>
                <c:pt idx="840">
                  <c:v>108</c:v>
                </c:pt>
                <c:pt idx="841">
                  <c:v>139</c:v>
                </c:pt>
                <c:pt idx="842">
                  <c:v>#N/A</c:v>
                </c:pt>
                <c:pt idx="843">
                  <c:v>195</c:v>
                </c:pt>
                <c:pt idx="844">
                  <c:v>157</c:v>
                </c:pt>
                <c:pt idx="845">
                  <c:v>181</c:v>
                </c:pt>
                <c:pt idx="846">
                  <c:v>#N/A</c:v>
                </c:pt>
                <c:pt idx="847">
                  <c:v>121</c:v>
                </c:pt>
                <c:pt idx="848">
                  <c:v>#N/A</c:v>
                </c:pt>
                <c:pt idx="849">
                  <c:v>#N/A</c:v>
                </c:pt>
                <c:pt idx="850">
                  <c:v>132</c:v>
                </c:pt>
                <c:pt idx="851">
                  <c:v>#N/A</c:v>
                </c:pt>
                <c:pt idx="852">
                  <c:v>#N/A</c:v>
                </c:pt>
                <c:pt idx="853">
                  <c:v>#N/A</c:v>
                </c:pt>
                <c:pt idx="854">
                  <c:v>92</c:v>
                </c:pt>
                <c:pt idx="855">
                  <c:v>#N/A</c:v>
                </c:pt>
                <c:pt idx="856">
                  <c:v>183</c:v>
                </c:pt>
                <c:pt idx="857">
                  <c:v>128</c:v>
                </c:pt>
                <c:pt idx="858">
                  <c:v>#N/A</c:v>
                </c:pt>
                <c:pt idx="859">
                  <c:v>#N/A</c:v>
                </c:pt>
                <c:pt idx="860">
                  <c:v>#N/A</c:v>
                </c:pt>
                <c:pt idx="861">
                  <c:v>#N/A</c:v>
                </c:pt>
                <c:pt idx="862">
                  <c:v>163</c:v>
                </c:pt>
                <c:pt idx="863">
                  <c:v>120</c:v>
                </c:pt>
                <c:pt idx="864">
                  <c:v>#N/A</c:v>
                </c:pt>
                <c:pt idx="865">
                  <c:v>166</c:v>
                </c:pt>
                <c:pt idx="866">
                  <c:v>#N/A</c:v>
                </c:pt>
                <c:pt idx="867">
                  <c:v>111</c:v>
                </c:pt>
                <c:pt idx="868">
                  <c:v>#N/A</c:v>
                </c:pt>
                <c:pt idx="869">
                  <c:v>#N/A</c:v>
                </c:pt>
                <c:pt idx="870">
                  <c:v>141</c:v>
                </c:pt>
                <c:pt idx="871">
                  <c:v>#N/A</c:v>
                </c:pt>
                <c:pt idx="872">
                  <c:v>201</c:v>
                </c:pt>
                <c:pt idx="873">
                  <c:v>138</c:v>
                </c:pt>
                <c:pt idx="874">
                  <c:v>116</c:v>
                </c:pt>
                <c:pt idx="875">
                  <c:v>#N/A</c:v>
                </c:pt>
                <c:pt idx="876">
                  <c:v>191</c:v>
                </c:pt>
                <c:pt idx="877">
                  <c:v>#N/A</c:v>
                </c:pt>
                <c:pt idx="878">
                  <c:v>#N/A</c:v>
                </c:pt>
                <c:pt idx="879">
                  <c:v>#N/A</c:v>
                </c:pt>
                <c:pt idx="880">
                  <c:v>97</c:v>
                </c:pt>
                <c:pt idx="881">
                  <c:v>#N/A</c:v>
                </c:pt>
                <c:pt idx="882">
                  <c:v>129</c:v>
                </c:pt>
                <c:pt idx="883">
                  <c:v>144</c:v>
                </c:pt>
                <c:pt idx="884">
                  <c:v>#N/A</c:v>
                </c:pt>
                <c:pt idx="885">
                  <c:v>#N/A</c:v>
                </c:pt>
                <c:pt idx="886">
                  <c:v>#N/A</c:v>
                </c:pt>
                <c:pt idx="887">
                  <c:v>#N/A</c:v>
                </c:pt>
                <c:pt idx="888">
                  <c:v>#N/A</c:v>
                </c:pt>
                <c:pt idx="889">
                  <c:v>#N/A</c:v>
                </c:pt>
                <c:pt idx="890">
                  <c:v>#N/A</c:v>
                </c:pt>
                <c:pt idx="891">
                  <c:v>138</c:v>
                </c:pt>
                <c:pt idx="892">
                  <c:v>156</c:v>
                </c:pt>
                <c:pt idx="893">
                  <c:v>#N/A</c:v>
                </c:pt>
                <c:pt idx="894">
                  <c:v>#N/A</c:v>
                </c:pt>
                <c:pt idx="895">
                  <c:v>72</c:v>
                </c:pt>
                <c:pt idx="896">
                  <c:v>172</c:v>
                </c:pt>
                <c:pt idx="897">
                  <c:v>#N/A</c:v>
                </c:pt>
                <c:pt idx="898">
                  <c:v>160</c:v>
                </c:pt>
                <c:pt idx="899">
                  <c:v>#N/A</c:v>
                </c:pt>
                <c:pt idx="900">
                  <c:v>#N/A</c:v>
                </c:pt>
                <c:pt idx="901">
                  <c:v>169</c:v>
                </c:pt>
                <c:pt idx="902">
                  <c:v>107</c:v>
                </c:pt>
                <c:pt idx="903">
                  <c:v>159</c:v>
                </c:pt>
                <c:pt idx="904">
                  <c:v>#N/A</c:v>
                </c:pt>
                <c:pt idx="905">
                  <c:v>#N/A</c:v>
                </c:pt>
                <c:pt idx="906">
                  <c:v>#N/A</c:v>
                </c:pt>
                <c:pt idx="907">
                  <c:v>#N/A</c:v>
                </c:pt>
                <c:pt idx="908">
                  <c:v>#N/A</c:v>
                </c:pt>
                <c:pt idx="909">
                  <c:v>150</c:v>
                </c:pt>
                <c:pt idx="910">
                  <c:v>#N/A</c:v>
                </c:pt>
                <c:pt idx="911">
                  <c:v>#N/A</c:v>
                </c:pt>
                <c:pt idx="912">
                  <c:v>57</c:v>
                </c:pt>
                <c:pt idx="913">
                  <c:v>#N/A</c:v>
                </c:pt>
                <c:pt idx="914">
                  <c:v>#N/A</c:v>
                </c:pt>
                <c:pt idx="915">
                  <c:v>164</c:v>
                </c:pt>
                <c:pt idx="916">
                  <c:v>207</c:v>
                </c:pt>
                <c:pt idx="917">
                  <c:v>#N/A</c:v>
                </c:pt>
                <c:pt idx="918">
                  <c:v>#N/A</c:v>
                </c:pt>
                <c:pt idx="919">
                  <c:v>#N/A</c:v>
                </c:pt>
                <c:pt idx="920">
                  <c:v>#N/A</c:v>
                </c:pt>
                <c:pt idx="921">
                  <c:v>149</c:v>
                </c:pt>
                <c:pt idx="922">
                  <c:v>#N/A</c:v>
                </c:pt>
                <c:pt idx="923">
                  <c:v>#N/A</c:v>
                </c:pt>
                <c:pt idx="924">
                  <c:v>#N/A</c:v>
                </c:pt>
                <c:pt idx="925">
                  <c:v>#N/A</c:v>
                </c:pt>
                <c:pt idx="926">
                  <c:v>#N/A</c:v>
                </c:pt>
                <c:pt idx="927">
                  <c:v>154</c:v>
                </c:pt>
                <c:pt idx="928">
                  <c:v>#N/A</c:v>
                </c:pt>
                <c:pt idx="929">
                  <c:v>#N/A</c:v>
                </c:pt>
                <c:pt idx="930">
                  <c:v>#N/A</c:v>
                </c:pt>
                <c:pt idx="931">
                  <c:v>201</c:v>
                </c:pt>
                <c:pt idx="932">
                  <c:v>#N/A</c:v>
                </c:pt>
                <c:pt idx="933">
                  <c:v>147</c:v>
                </c:pt>
                <c:pt idx="934">
                  <c:v>171</c:v>
                </c:pt>
                <c:pt idx="935">
                  <c:v>126</c:v>
                </c:pt>
                <c:pt idx="936">
                  <c:v>#N/A</c:v>
                </c:pt>
                <c:pt idx="937">
                  <c:v>#N/A</c:v>
                </c:pt>
                <c:pt idx="938">
                  <c:v>#N/A</c:v>
                </c:pt>
                <c:pt idx="939">
                  <c:v>#N/A</c:v>
                </c:pt>
                <c:pt idx="940">
                  <c:v>#N/A</c:v>
                </c:pt>
                <c:pt idx="941">
                  <c:v>#N/A</c:v>
                </c:pt>
                <c:pt idx="942">
                  <c:v>#N/A</c:v>
                </c:pt>
                <c:pt idx="943">
                  <c:v>#N/A</c:v>
                </c:pt>
                <c:pt idx="944">
                  <c:v>158</c:v>
                </c:pt>
                <c:pt idx="945">
                  <c:v>181</c:v>
                </c:pt>
                <c:pt idx="946">
                  <c:v>#N/A</c:v>
                </c:pt>
                <c:pt idx="947">
                  <c:v>151</c:v>
                </c:pt>
                <c:pt idx="948">
                  <c:v>134</c:v>
                </c:pt>
                <c:pt idx="949">
                  <c:v>#N/A</c:v>
                </c:pt>
                <c:pt idx="950">
                  <c:v>#N/A</c:v>
                </c:pt>
                <c:pt idx="951">
                  <c:v>#N/A</c:v>
                </c:pt>
                <c:pt idx="952">
                  <c:v>#N/A</c:v>
                </c:pt>
                <c:pt idx="953">
                  <c:v>184</c:v>
                </c:pt>
                <c:pt idx="954">
                  <c:v>#N/A</c:v>
                </c:pt>
                <c:pt idx="955">
                  <c:v>#N/A</c:v>
                </c:pt>
                <c:pt idx="956">
                  <c:v>#N/A</c:v>
                </c:pt>
                <c:pt idx="957">
                  <c:v>133</c:v>
                </c:pt>
                <c:pt idx="958">
                  <c:v>#N/A</c:v>
                </c:pt>
                <c:pt idx="959">
                  <c:v>#N/A</c:v>
                </c:pt>
                <c:pt idx="960">
                  <c:v>#N/A</c:v>
                </c:pt>
                <c:pt idx="961">
                  <c:v>157</c:v>
                </c:pt>
                <c:pt idx="962">
                  <c:v>#N/A</c:v>
                </c:pt>
                <c:pt idx="963">
                  <c:v>#N/A</c:v>
                </c:pt>
                <c:pt idx="964">
                  <c:v>#N/A</c:v>
                </c:pt>
                <c:pt idx="965">
                  <c:v>#N/A</c:v>
                </c:pt>
                <c:pt idx="966">
                  <c:v>#N/A</c:v>
                </c:pt>
                <c:pt idx="967">
                  <c:v>171</c:v>
                </c:pt>
                <c:pt idx="968">
                  <c:v>105</c:v>
                </c:pt>
                <c:pt idx="969">
                  <c:v>115</c:v>
                </c:pt>
                <c:pt idx="970">
                  <c:v>125</c:v>
                </c:pt>
                <c:pt idx="971">
                  <c:v>#N/A</c:v>
                </c:pt>
                <c:pt idx="972">
                  <c:v>150</c:v>
                </c:pt>
                <c:pt idx="973">
                  <c:v>#N/A</c:v>
                </c:pt>
                <c:pt idx="974">
                  <c:v>#N/A</c:v>
                </c:pt>
                <c:pt idx="975">
                  <c:v>165</c:v>
                </c:pt>
                <c:pt idx="976">
                  <c:v>202</c:v>
                </c:pt>
                <c:pt idx="977">
                  <c:v>#N/A</c:v>
                </c:pt>
                <c:pt idx="978">
                  <c:v>#N/A</c:v>
                </c:pt>
                <c:pt idx="979">
                  <c:v>129</c:v>
                </c:pt>
                <c:pt idx="980">
                  <c:v>#N/A</c:v>
                </c:pt>
                <c:pt idx="981">
                  <c:v>166</c:v>
                </c:pt>
                <c:pt idx="982">
                  <c:v>#N/A</c:v>
                </c:pt>
                <c:pt idx="983">
                  <c:v>167</c:v>
                </c:pt>
                <c:pt idx="984">
                  <c:v>#N/A</c:v>
                </c:pt>
                <c:pt idx="985">
                  <c:v>117</c:v>
                </c:pt>
                <c:pt idx="986">
                  <c:v>#N/A</c:v>
                </c:pt>
                <c:pt idx="987">
                  <c:v>156</c:v>
                </c:pt>
                <c:pt idx="988">
                  <c:v>#N/A</c:v>
                </c:pt>
                <c:pt idx="989">
                  <c:v>#N/A</c:v>
                </c:pt>
                <c:pt idx="990">
                  <c:v>136</c:v>
                </c:pt>
                <c:pt idx="991">
                  <c:v>113</c:v>
                </c:pt>
                <c:pt idx="992">
                  <c:v>#N/A</c:v>
                </c:pt>
                <c:pt idx="993">
                  <c:v>#N/A</c:v>
                </c:pt>
                <c:pt idx="994">
                  <c:v>196</c:v>
                </c:pt>
                <c:pt idx="995">
                  <c:v>#N/A</c:v>
                </c:pt>
                <c:pt idx="996">
                  <c:v>140</c:v>
                </c:pt>
                <c:pt idx="997">
                  <c:v>#N/A</c:v>
                </c:pt>
                <c:pt idx="998">
                  <c:v>#N/A</c:v>
                </c:pt>
                <c:pt idx="999">
                  <c:v>#N/A</c:v>
                </c:pt>
                <c:pt idx="1000">
                  <c:v>#N/A</c:v>
                </c:pt>
                <c:pt idx="1001">
                  <c:v>#N/A</c:v>
                </c:pt>
                <c:pt idx="1002">
                  <c:v>#N/A</c:v>
                </c:pt>
                <c:pt idx="1003">
                  <c:v>64</c:v>
                </c:pt>
                <c:pt idx="1004">
                  <c:v>#N/A</c:v>
                </c:pt>
                <c:pt idx="1005">
                  <c:v>#N/A</c:v>
                </c:pt>
                <c:pt idx="1006">
                  <c:v>#N/A</c:v>
                </c:pt>
                <c:pt idx="1007">
                  <c:v>193</c:v>
                </c:pt>
                <c:pt idx="1008">
                  <c:v>#N/A</c:v>
                </c:pt>
                <c:pt idx="1009">
                  <c:v>#N/A</c:v>
                </c:pt>
                <c:pt idx="1010">
                  <c:v>97</c:v>
                </c:pt>
                <c:pt idx="1011">
                  <c:v>#N/A</c:v>
                </c:pt>
                <c:pt idx="1012">
                  <c:v>140</c:v>
                </c:pt>
                <c:pt idx="1013">
                  <c:v>#N/A</c:v>
                </c:pt>
                <c:pt idx="1014">
                  <c:v>196</c:v>
                </c:pt>
                <c:pt idx="1015">
                  <c:v>123</c:v>
                </c:pt>
                <c:pt idx="1016">
                  <c:v>#N/A</c:v>
                </c:pt>
                <c:pt idx="1017">
                  <c:v>#N/A</c:v>
                </c:pt>
                <c:pt idx="1018">
                  <c:v>124</c:v>
                </c:pt>
                <c:pt idx="1019">
                  <c:v>#N/A</c:v>
                </c:pt>
                <c:pt idx="1020">
                  <c:v>#N/A</c:v>
                </c:pt>
                <c:pt idx="1021">
                  <c:v>#N/A</c:v>
                </c:pt>
                <c:pt idx="1022">
                  <c:v>101</c:v>
                </c:pt>
                <c:pt idx="1023">
                  <c:v>#N/A</c:v>
                </c:pt>
                <c:pt idx="1024">
                  <c:v>#N/A</c:v>
                </c:pt>
                <c:pt idx="1025">
                  <c:v>#N/A</c:v>
                </c:pt>
                <c:pt idx="1026">
                  <c:v>148</c:v>
                </c:pt>
                <c:pt idx="1027">
                  <c:v>#N/A</c:v>
                </c:pt>
                <c:pt idx="1028">
                  <c:v>122</c:v>
                </c:pt>
                <c:pt idx="1029">
                  <c:v>177</c:v>
                </c:pt>
                <c:pt idx="1030">
                  <c:v>146</c:v>
                </c:pt>
                <c:pt idx="1031">
                  <c:v>124</c:v>
                </c:pt>
                <c:pt idx="1032">
                  <c:v>100</c:v>
                </c:pt>
                <c:pt idx="1033">
                  <c:v>#N/A</c:v>
                </c:pt>
                <c:pt idx="1034">
                  <c:v>#N/A</c:v>
                </c:pt>
                <c:pt idx="1035">
                  <c:v>131</c:v>
                </c:pt>
                <c:pt idx="1036">
                  <c:v>149</c:v>
                </c:pt>
                <c:pt idx="1037">
                  <c:v>193</c:v>
                </c:pt>
                <c:pt idx="1038">
                  <c:v>172</c:v>
                </c:pt>
                <c:pt idx="1039">
                  <c:v>#N/A</c:v>
                </c:pt>
                <c:pt idx="1040">
                  <c:v>123</c:v>
                </c:pt>
                <c:pt idx="1041">
                  <c:v>#N/A</c:v>
                </c:pt>
                <c:pt idx="1042">
                  <c:v>#N/A</c:v>
                </c:pt>
                <c:pt idx="1043">
                  <c:v>#N/A</c:v>
                </c:pt>
                <c:pt idx="1044">
                  <c:v>158</c:v>
                </c:pt>
                <c:pt idx="1045">
                  <c:v>#N/A</c:v>
                </c:pt>
                <c:pt idx="1046">
                  <c:v>146</c:v>
                </c:pt>
                <c:pt idx="1047">
                  <c:v>#N/A</c:v>
                </c:pt>
                <c:pt idx="1048">
                  <c:v>154</c:v>
                </c:pt>
                <c:pt idx="1049">
                  <c:v>#N/A</c:v>
                </c:pt>
                <c:pt idx="1050">
                  <c:v>148</c:v>
                </c:pt>
                <c:pt idx="1051">
                  <c:v>#N/A</c:v>
                </c:pt>
                <c:pt idx="1052">
                  <c:v>89</c:v>
                </c:pt>
                <c:pt idx="1053">
                  <c:v>150</c:v>
                </c:pt>
                <c:pt idx="1054">
                  <c:v>#N/A</c:v>
                </c:pt>
                <c:pt idx="1055">
                  <c:v>#N/A</c:v>
                </c:pt>
                <c:pt idx="1056">
                  <c:v>158</c:v>
                </c:pt>
                <c:pt idx="1057">
                  <c:v>109</c:v>
                </c:pt>
                <c:pt idx="1058">
                  <c:v>173</c:v>
                </c:pt>
                <c:pt idx="1059">
                  <c:v>187</c:v>
                </c:pt>
                <c:pt idx="1060">
                  <c:v>#N/A</c:v>
                </c:pt>
                <c:pt idx="1061">
                  <c:v>#N/A</c:v>
                </c:pt>
                <c:pt idx="1062">
                  <c:v>169</c:v>
                </c:pt>
                <c:pt idx="1063">
                  <c:v>184</c:v>
                </c:pt>
                <c:pt idx="1064">
                  <c:v>#N/A</c:v>
                </c:pt>
                <c:pt idx="1065">
                  <c:v>112</c:v>
                </c:pt>
                <c:pt idx="1066">
                  <c:v>#N/A</c:v>
                </c:pt>
                <c:pt idx="1067">
                  <c:v>136</c:v>
                </c:pt>
                <c:pt idx="1068">
                  <c:v>#N/A</c:v>
                </c:pt>
                <c:pt idx="1069">
                  <c:v>184</c:v>
                </c:pt>
                <c:pt idx="1070">
                  <c:v>#N/A</c:v>
                </c:pt>
                <c:pt idx="1071">
                  <c:v>94</c:v>
                </c:pt>
                <c:pt idx="1072">
                  <c:v>#N/A</c:v>
                </c:pt>
                <c:pt idx="1073">
                  <c:v>108</c:v>
                </c:pt>
                <c:pt idx="1074">
                  <c:v>#N/A</c:v>
                </c:pt>
                <c:pt idx="1075">
                  <c:v>121</c:v>
                </c:pt>
                <c:pt idx="1076">
                  <c:v>158</c:v>
                </c:pt>
                <c:pt idx="1077">
                  <c:v>#N/A</c:v>
                </c:pt>
                <c:pt idx="1078">
                  <c:v>#N/A</c:v>
                </c:pt>
                <c:pt idx="1079">
                  <c:v>#N/A</c:v>
                </c:pt>
                <c:pt idx="1080">
                  <c:v>#N/A</c:v>
                </c:pt>
                <c:pt idx="1081">
                  <c:v>#N/A</c:v>
                </c:pt>
                <c:pt idx="1082">
                  <c:v>193</c:v>
                </c:pt>
                <c:pt idx="1083">
                  <c:v>#N/A</c:v>
                </c:pt>
                <c:pt idx="1084">
                  <c:v>#N/A</c:v>
                </c:pt>
                <c:pt idx="1085">
                  <c:v>#N/A</c:v>
                </c:pt>
                <c:pt idx="1086">
                  <c:v>#N/A</c:v>
                </c:pt>
                <c:pt idx="1087">
                  <c:v>109</c:v>
                </c:pt>
                <c:pt idx="1088">
                  <c:v>#N/A</c:v>
                </c:pt>
                <c:pt idx="1089">
                  <c:v>164</c:v>
                </c:pt>
                <c:pt idx="1090">
                  <c:v>#N/A</c:v>
                </c:pt>
                <c:pt idx="1091">
                  <c:v>#N/A</c:v>
                </c:pt>
                <c:pt idx="1092">
                  <c:v>#N/A</c:v>
                </c:pt>
                <c:pt idx="1093">
                  <c:v>#N/A</c:v>
                </c:pt>
                <c:pt idx="1094">
                  <c:v>#N/A</c:v>
                </c:pt>
                <c:pt idx="1095">
                  <c:v>#N/A</c:v>
                </c:pt>
                <c:pt idx="1096">
                  <c:v>#N/A</c:v>
                </c:pt>
                <c:pt idx="1097">
                  <c:v>#N/A</c:v>
                </c:pt>
                <c:pt idx="1098">
                  <c:v>#N/A</c:v>
                </c:pt>
                <c:pt idx="1099">
                  <c:v>131</c:v>
                </c:pt>
                <c:pt idx="1100">
                  <c:v>#N/A</c:v>
                </c:pt>
                <c:pt idx="1101">
                  <c:v>153</c:v>
                </c:pt>
                <c:pt idx="1102">
                  <c:v>#N/A</c:v>
                </c:pt>
                <c:pt idx="1103">
                  <c:v>#N/A</c:v>
                </c:pt>
                <c:pt idx="1104">
                  <c:v>#N/A</c:v>
                </c:pt>
                <c:pt idx="1105">
                  <c:v>164</c:v>
                </c:pt>
                <c:pt idx="1106">
                  <c:v>134</c:v>
                </c:pt>
                <c:pt idx="1107">
                  <c:v>156</c:v>
                </c:pt>
                <c:pt idx="1108">
                  <c:v>144</c:v>
                </c:pt>
                <c:pt idx="1109">
                  <c:v>#N/A</c:v>
                </c:pt>
                <c:pt idx="1110">
                  <c:v>#N/A</c:v>
                </c:pt>
                <c:pt idx="1111">
                  <c:v>#N/A</c:v>
                </c:pt>
                <c:pt idx="1112">
                  <c:v>#N/A</c:v>
                </c:pt>
                <c:pt idx="1113">
                  <c:v>#N/A</c:v>
                </c:pt>
                <c:pt idx="1114">
                  <c:v>152</c:v>
                </c:pt>
                <c:pt idx="1115">
                  <c:v>#N/A</c:v>
                </c:pt>
                <c:pt idx="1116">
                  <c:v>#N/A</c:v>
                </c:pt>
                <c:pt idx="1117">
                  <c:v>#N/A</c:v>
                </c:pt>
                <c:pt idx="1118">
                  <c:v>140</c:v>
                </c:pt>
                <c:pt idx="1119">
                  <c:v>163</c:v>
                </c:pt>
                <c:pt idx="1120">
                  <c:v>#N/A</c:v>
                </c:pt>
                <c:pt idx="1121">
                  <c:v>#N/A</c:v>
                </c:pt>
                <c:pt idx="1122">
                  <c:v>133</c:v>
                </c:pt>
                <c:pt idx="1123">
                  <c:v>122</c:v>
                </c:pt>
                <c:pt idx="1124">
                  <c:v>#N/A</c:v>
                </c:pt>
                <c:pt idx="1125">
                  <c:v>126</c:v>
                </c:pt>
                <c:pt idx="1126">
                  <c:v>171</c:v>
                </c:pt>
                <c:pt idx="1127">
                  <c:v>174</c:v>
                </c:pt>
                <c:pt idx="1128">
                  <c:v>#N/A</c:v>
                </c:pt>
                <c:pt idx="1129">
                  <c:v>#N/A</c:v>
                </c:pt>
                <c:pt idx="1130">
                  <c:v>#N/A</c:v>
                </c:pt>
                <c:pt idx="1131">
                  <c:v>169</c:v>
                </c:pt>
                <c:pt idx="1132">
                  <c:v>#N/A</c:v>
                </c:pt>
                <c:pt idx="1133">
                  <c:v>156</c:v>
                </c:pt>
                <c:pt idx="1134">
                  <c:v>#N/A</c:v>
                </c:pt>
                <c:pt idx="1135">
                  <c:v>#N/A</c:v>
                </c:pt>
                <c:pt idx="1136">
                  <c:v>#N/A</c:v>
                </c:pt>
                <c:pt idx="1137">
                  <c:v>#N/A</c:v>
                </c:pt>
                <c:pt idx="1138">
                  <c:v>#N/A</c:v>
                </c:pt>
                <c:pt idx="1139">
                  <c:v>88</c:v>
                </c:pt>
                <c:pt idx="1140">
                  <c:v>151</c:v>
                </c:pt>
                <c:pt idx="1141">
                  <c:v>165</c:v>
                </c:pt>
                <c:pt idx="1142">
                  <c:v>#N/A</c:v>
                </c:pt>
                <c:pt idx="1143">
                  <c:v>#N/A</c:v>
                </c:pt>
                <c:pt idx="1144">
                  <c:v>#N/A</c:v>
                </c:pt>
                <c:pt idx="1145">
                  <c:v>#N/A</c:v>
                </c:pt>
                <c:pt idx="1146">
                  <c:v>139</c:v>
                </c:pt>
                <c:pt idx="1147">
                  <c:v>164</c:v>
                </c:pt>
                <c:pt idx="1148">
                  <c:v>#N/A</c:v>
                </c:pt>
                <c:pt idx="1149">
                  <c:v>#N/A</c:v>
                </c:pt>
                <c:pt idx="1150">
                  <c:v>#N/A</c:v>
                </c:pt>
                <c:pt idx="1151">
                  <c:v>#N/A</c:v>
                </c:pt>
                <c:pt idx="1152">
                  <c:v>#N/A</c:v>
                </c:pt>
                <c:pt idx="1153">
                  <c:v>#N/A</c:v>
                </c:pt>
                <c:pt idx="1154">
                  <c:v>#N/A</c:v>
                </c:pt>
                <c:pt idx="1155">
                  <c:v>#N/A</c:v>
                </c:pt>
                <c:pt idx="1156">
                  <c:v>#N/A</c:v>
                </c:pt>
                <c:pt idx="1157">
                  <c:v>#N/A</c:v>
                </c:pt>
                <c:pt idx="1158">
                  <c:v>#N/A</c:v>
                </c:pt>
                <c:pt idx="1159">
                  <c:v>124</c:v>
                </c:pt>
                <c:pt idx="1160">
                  <c:v>133</c:v>
                </c:pt>
                <c:pt idx="1161">
                  <c:v>#N/A</c:v>
                </c:pt>
                <c:pt idx="1162">
                  <c:v>#N/A</c:v>
                </c:pt>
                <c:pt idx="1163">
                  <c:v>135</c:v>
                </c:pt>
                <c:pt idx="1164">
                  <c:v>#N/A</c:v>
                </c:pt>
                <c:pt idx="1165">
                  <c:v>#N/A</c:v>
                </c:pt>
                <c:pt idx="1166">
                  <c:v>119</c:v>
                </c:pt>
                <c:pt idx="1167">
                  <c:v>#N/A</c:v>
                </c:pt>
                <c:pt idx="1168">
                  <c:v>120</c:v>
                </c:pt>
                <c:pt idx="1169">
                  <c:v>153</c:v>
                </c:pt>
                <c:pt idx="1170">
                  <c:v>151</c:v>
                </c:pt>
                <c:pt idx="1171">
                  <c:v>#N/A</c:v>
                </c:pt>
                <c:pt idx="1172">
                  <c:v>142</c:v>
                </c:pt>
                <c:pt idx="1173">
                  <c:v>#N/A</c:v>
                </c:pt>
                <c:pt idx="1174">
                  <c:v>141</c:v>
                </c:pt>
                <c:pt idx="1175">
                  <c:v>174</c:v>
                </c:pt>
                <c:pt idx="1176">
                  <c:v>#N/A</c:v>
                </c:pt>
                <c:pt idx="1177">
                  <c:v>#N/A</c:v>
                </c:pt>
                <c:pt idx="1178">
                  <c:v>#N/A</c:v>
                </c:pt>
                <c:pt idx="1179">
                  <c:v>#N/A</c:v>
                </c:pt>
                <c:pt idx="1180">
                  <c:v>181</c:v>
                </c:pt>
                <c:pt idx="1181">
                  <c:v>145</c:v>
                </c:pt>
                <c:pt idx="1182">
                  <c:v>163</c:v>
                </c:pt>
                <c:pt idx="1183">
                  <c:v>128</c:v>
                </c:pt>
                <c:pt idx="1184">
                  <c:v>#N/A</c:v>
                </c:pt>
                <c:pt idx="1185">
                  <c:v>#N/A</c:v>
                </c:pt>
                <c:pt idx="1186">
                  <c:v>#N/A</c:v>
                </c:pt>
                <c:pt idx="1187">
                  <c:v>#N/A</c:v>
                </c:pt>
                <c:pt idx="1188">
                  <c:v>#N/A</c:v>
                </c:pt>
                <c:pt idx="1189">
                  <c:v>#N/A</c:v>
                </c:pt>
                <c:pt idx="1190">
                  <c:v>113</c:v>
                </c:pt>
                <c:pt idx="1191">
                  <c:v>#N/A</c:v>
                </c:pt>
                <c:pt idx="1192">
                  <c:v>#N/A</c:v>
                </c:pt>
                <c:pt idx="1193">
                  <c:v>#N/A</c:v>
                </c:pt>
                <c:pt idx="1194">
                  <c:v>#N/A</c:v>
                </c:pt>
                <c:pt idx="1195">
                  <c:v>135</c:v>
                </c:pt>
                <c:pt idx="1196">
                  <c:v>#N/A</c:v>
                </c:pt>
                <c:pt idx="1197">
                  <c:v>#N/A</c:v>
                </c:pt>
                <c:pt idx="1198">
                  <c:v>115</c:v>
                </c:pt>
                <c:pt idx="1199">
                  <c:v>#N/A</c:v>
                </c:pt>
                <c:pt idx="1200">
                  <c:v>#N/A</c:v>
                </c:pt>
              </c:strCache>
            </c:strRef>
          </c:xVal>
          <c:yVal>
            <c:numRef>
              <c:f>riyadh_realestate_dataset!$R:$R</c:f>
              <c:numCache>
                <c:formatCode>General</c:formatCode>
                <c:ptCount val="1048576"/>
                <c:pt idx="0">
                  <c:v>0</c:v>
                </c:pt>
                <c:pt idx="1">
                  <c:v>647000</c:v>
                </c:pt>
                <c:pt idx="2">
                  <c:v>439000</c:v>
                </c:pt>
                <c:pt idx="3">
                  <c:v>#N/A</c:v>
                </c:pt>
                <c:pt idx="4">
                  <c:v>330000</c:v>
                </c:pt>
                <c:pt idx="5">
                  <c:v>#N/A</c:v>
                </c:pt>
                <c:pt idx="6">
                  <c:v>551000</c:v>
                </c:pt>
                <c:pt idx="7">
                  <c:v>358000</c:v>
                </c:pt>
                <c:pt idx="8">
                  <c:v>478000</c:v>
                </c:pt>
                <c:pt idx="9">
                  <c:v>#N/A</c:v>
                </c:pt>
                <c:pt idx="10">
                  <c:v>#N/A</c:v>
                </c:pt>
                <c:pt idx="11">
                  <c:v>#N/A</c:v>
                </c:pt>
                <c:pt idx="12">
                  <c:v>#N/A</c:v>
                </c:pt>
                <c:pt idx="13">
                  <c:v>#N/A</c:v>
                </c:pt>
                <c:pt idx="14">
                  <c:v>586000</c:v>
                </c:pt>
                <c:pt idx="15">
                  <c:v>#N/A</c:v>
                </c:pt>
                <c:pt idx="16">
                  <c:v>#N/A</c:v>
                </c:pt>
                <c:pt idx="17">
                  <c:v>601000</c:v>
                </c:pt>
                <c:pt idx="18">
                  <c:v>668000</c:v>
                </c:pt>
                <c:pt idx="19">
                  <c:v>506000</c:v>
                </c:pt>
                <c:pt idx="20">
                  <c:v>296000</c:v>
                </c:pt>
                <c:pt idx="21">
                  <c:v>651000</c:v>
                </c:pt>
                <c:pt idx="22">
                  <c:v>477000</c:v>
                </c:pt>
                <c:pt idx="23">
                  <c:v>419000</c:v>
                </c:pt>
                <c:pt idx="24">
                  <c:v>356000</c:v>
                </c:pt>
                <c:pt idx="25">
                  <c:v>#N/A</c:v>
                </c:pt>
                <c:pt idx="26">
                  <c:v>#N/A</c:v>
                </c:pt>
                <c:pt idx="27">
                  <c:v>343000</c:v>
                </c:pt>
                <c:pt idx="28">
                  <c:v>386000</c:v>
                </c:pt>
                <c:pt idx="29">
                  <c:v>#N/A</c:v>
                </c:pt>
                <c:pt idx="30">
                  <c:v>513000</c:v>
                </c:pt>
                <c:pt idx="31">
                  <c:v>#N/A</c:v>
                </c:pt>
                <c:pt idx="32">
                  <c:v>#N/A</c:v>
                </c:pt>
                <c:pt idx="33">
                  <c:v>360000</c:v>
                </c:pt>
                <c:pt idx="34">
                  <c:v>546000</c:v>
                </c:pt>
                <c:pt idx="35">
                  <c:v>452000</c:v>
                </c:pt>
                <c:pt idx="36">
                  <c:v>#N/A</c:v>
                </c:pt>
                <c:pt idx="37">
                  <c:v>386000</c:v>
                </c:pt>
                <c:pt idx="38">
                  <c:v>#N/A</c:v>
                </c:pt>
                <c:pt idx="39">
                  <c:v>#N/A</c:v>
                </c:pt>
                <c:pt idx="40">
                  <c:v>#N/A</c:v>
                </c:pt>
                <c:pt idx="41">
                  <c:v>#N/A</c:v>
                </c:pt>
                <c:pt idx="42">
                  <c:v>#N/A</c:v>
                </c:pt>
                <c:pt idx="43">
                  <c:v>#N/A</c:v>
                </c:pt>
                <c:pt idx="44">
                  <c:v>#N/A</c:v>
                </c:pt>
                <c:pt idx="45">
                  <c:v>633000</c:v>
                </c:pt>
                <c:pt idx="46">
                  <c:v>759000</c:v>
                </c:pt>
                <c:pt idx="47">
                  <c:v>#N/A</c:v>
                </c:pt>
                <c:pt idx="48">
                  <c:v>#N/A</c:v>
                </c:pt>
                <c:pt idx="49">
                  <c:v>452000</c:v>
                </c:pt>
                <c:pt idx="50">
                  <c:v>#N/A</c:v>
                </c:pt>
                <c:pt idx="51">
                  <c:v>567000</c:v>
                </c:pt>
                <c:pt idx="52">
                  <c:v>#N/A</c:v>
                </c:pt>
                <c:pt idx="53">
                  <c:v>592000</c:v>
                </c:pt>
                <c:pt idx="54">
                  <c:v>460000</c:v>
                </c:pt>
                <c:pt idx="55">
                  <c:v>#N/A</c:v>
                </c:pt>
                <c:pt idx="56">
                  <c:v>611000</c:v>
                </c:pt>
                <c:pt idx="57">
                  <c:v>350000</c:v>
                </c:pt>
                <c:pt idx="58">
                  <c:v>#N/A</c:v>
                </c:pt>
                <c:pt idx="59">
                  <c:v>#N/A</c:v>
                </c:pt>
                <c:pt idx="60">
                  <c:v>417000</c:v>
                </c:pt>
                <c:pt idx="61">
                  <c:v>#N/A</c:v>
                </c:pt>
                <c:pt idx="62">
                  <c:v>#N/A</c:v>
                </c:pt>
                <c:pt idx="63">
                  <c:v>#N/A</c:v>
                </c:pt>
                <c:pt idx="64">
                  <c:v>#N/A</c:v>
                </c:pt>
                <c:pt idx="65">
                  <c:v>#N/A</c:v>
                </c:pt>
                <c:pt idx="66">
                  <c:v>582000</c:v>
                </c:pt>
                <c:pt idx="67">
                  <c:v>#N/A</c:v>
                </c:pt>
                <c:pt idx="68">
                  <c:v>443000</c:v>
                </c:pt>
                <c:pt idx="69">
                  <c:v>#N/A</c:v>
                </c:pt>
                <c:pt idx="70">
                  <c:v>#N/A</c:v>
                </c:pt>
                <c:pt idx="71">
                  <c:v>#N/A</c:v>
                </c:pt>
                <c:pt idx="72">
                  <c:v>#N/A</c:v>
                </c:pt>
                <c:pt idx="73">
                  <c:v>#N/A</c:v>
                </c:pt>
                <c:pt idx="74">
                  <c:v>534000</c:v>
                </c:pt>
                <c:pt idx="75">
                  <c:v>609000</c:v>
                </c:pt>
                <c:pt idx="76">
                  <c:v>#N/A</c:v>
                </c:pt>
                <c:pt idx="77">
                  <c:v>#N/A</c:v>
                </c:pt>
                <c:pt idx="78">
                  <c:v>#N/A</c:v>
                </c:pt>
                <c:pt idx="79">
                  <c:v>#N/A</c:v>
                </c:pt>
                <c:pt idx="80">
                  <c:v>#N/A</c:v>
                </c:pt>
                <c:pt idx="81">
                  <c:v>360000</c:v>
                </c:pt>
                <c:pt idx="82">
                  <c:v>#N/A</c:v>
                </c:pt>
                <c:pt idx="83">
                  <c:v>#N/A</c:v>
                </c:pt>
                <c:pt idx="84">
                  <c:v>#N/A</c:v>
                </c:pt>
                <c:pt idx="85">
                  <c:v>#N/A</c:v>
                </c:pt>
                <c:pt idx="86">
                  <c:v>#N/A</c:v>
                </c:pt>
                <c:pt idx="87">
                  <c:v>309000</c:v>
                </c:pt>
                <c:pt idx="88">
                  <c:v>#N/A</c:v>
                </c:pt>
                <c:pt idx="89">
                  <c:v>#N/A</c:v>
                </c:pt>
                <c:pt idx="90">
                  <c:v>559000</c:v>
                </c:pt>
                <c:pt idx="91">
                  <c:v>#N/A</c:v>
                </c:pt>
                <c:pt idx="92">
                  <c:v>#N/A</c:v>
                </c:pt>
                <c:pt idx="93">
                  <c:v>#N/A</c:v>
                </c:pt>
                <c:pt idx="94">
                  <c:v>#N/A</c:v>
                </c:pt>
                <c:pt idx="95">
                  <c:v>510000</c:v>
                </c:pt>
                <c:pt idx="96">
                  <c:v>#N/A</c:v>
                </c:pt>
                <c:pt idx="97">
                  <c:v>#N/A</c:v>
                </c:pt>
                <c:pt idx="98">
                  <c:v>#N/A</c:v>
                </c:pt>
                <c:pt idx="99">
                  <c:v>282000</c:v>
                </c:pt>
                <c:pt idx="100">
                  <c:v>#N/A</c:v>
                </c:pt>
                <c:pt idx="101">
                  <c:v>#N/A</c:v>
                </c:pt>
                <c:pt idx="102">
                  <c:v>588000</c:v>
                </c:pt>
                <c:pt idx="103">
                  <c:v>490000</c:v>
                </c:pt>
                <c:pt idx="104">
                  <c:v>#N/A</c:v>
                </c:pt>
                <c:pt idx="105">
                  <c:v>592000</c:v>
                </c:pt>
                <c:pt idx="106">
                  <c:v>#N/A</c:v>
                </c:pt>
                <c:pt idx="107">
                  <c:v>#N/A</c:v>
                </c:pt>
                <c:pt idx="108">
                  <c:v>544000</c:v>
                </c:pt>
                <c:pt idx="109">
                  <c:v>431000</c:v>
                </c:pt>
                <c:pt idx="110">
                  <c:v>415000</c:v>
                </c:pt>
                <c:pt idx="111">
                  <c:v>343000</c:v>
                </c:pt>
                <c:pt idx="112">
                  <c:v>784000</c:v>
                </c:pt>
                <c:pt idx="113">
                  <c:v>418000</c:v>
                </c:pt>
                <c:pt idx="114">
                  <c:v>#N/A</c:v>
                </c:pt>
                <c:pt idx="115">
                  <c:v>#N/A</c:v>
                </c:pt>
                <c:pt idx="116">
                  <c:v>#N/A</c:v>
                </c:pt>
                <c:pt idx="117">
                  <c:v>#N/A</c:v>
                </c:pt>
                <c:pt idx="118">
                  <c:v>370000</c:v>
                </c:pt>
                <c:pt idx="119">
                  <c:v>#N/A</c:v>
                </c:pt>
                <c:pt idx="120">
                  <c:v>258000</c:v>
                </c:pt>
                <c:pt idx="121">
                  <c:v>#N/A</c:v>
                </c:pt>
                <c:pt idx="122">
                  <c:v>504000</c:v>
                </c:pt>
                <c:pt idx="123">
                  <c:v>581000</c:v>
                </c:pt>
                <c:pt idx="124">
                  <c:v>335000</c:v>
                </c:pt>
                <c:pt idx="125">
                  <c:v>#N/A</c:v>
                </c:pt>
                <c:pt idx="126">
                  <c:v>787000</c:v>
                </c:pt>
                <c:pt idx="127">
                  <c:v>556000</c:v>
                </c:pt>
                <c:pt idx="128">
                  <c:v>#N/A</c:v>
                </c:pt>
                <c:pt idx="129">
                  <c:v>523000</c:v>
                </c:pt>
                <c:pt idx="130">
                  <c:v>#N/A</c:v>
                </c:pt>
                <c:pt idx="131">
                  <c:v>#N/A</c:v>
                </c:pt>
                <c:pt idx="132">
                  <c:v>578000</c:v>
                </c:pt>
                <c:pt idx="133">
                  <c:v>#N/A</c:v>
                </c:pt>
                <c:pt idx="134">
                  <c:v>#N/A</c:v>
                </c:pt>
                <c:pt idx="135">
                  <c:v>#N/A</c:v>
                </c:pt>
                <c:pt idx="136">
                  <c:v>248000</c:v>
                </c:pt>
                <c:pt idx="137">
                  <c:v>#N/A</c:v>
                </c:pt>
                <c:pt idx="138">
                  <c:v>#N/A</c:v>
                </c:pt>
                <c:pt idx="139">
                  <c:v>531000</c:v>
                </c:pt>
                <c:pt idx="140">
                  <c:v>#N/A</c:v>
                </c:pt>
                <c:pt idx="141">
                  <c:v>#N/A</c:v>
                </c:pt>
                <c:pt idx="142">
                  <c:v>#N/A</c:v>
                </c:pt>
                <c:pt idx="143">
                  <c:v>#N/A</c:v>
                </c:pt>
                <c:pt idx="144">
                  <c:v>400000</c:v>
                </c:pt>
                <c:pt idx="145">
                  <c:v>349000</c:v>
                </c:pt>
                <c:pt idx="146">
                  <c:v>#N/A</c:v>
                </c:pt>
                <c:pt idx="147">
                  <c:v>395000</c:v>
                </c:pt>
                <c:pt idx="148">
                  <c:v>507000</c:v>
                </c:pt>
                <c:pt idx="149">
                  <c:v>#N/A</c:v>
                </c:pt>
                <c:pt idx="150">
                  <c:v>#N/A</c:v>
                </c:pt>
                <c:pt idx="151">
                  <c:v>#N/A</c:v>
                </c:pt>
                <c:pt idx="152">
                  <c:v>442000</c:v>
                </c:pt>
                <c:pt idx="153">
                  <c:v>#N/A</c:v>
                </c:pt>
                <c:pt idx="154">
                  <c:v>#N/A</c:v>
                </c:pt>
                <c:pt idx="155">
                  <c:v>#N/A</c:v>
                </c:pt>
                <c:pt idx="156">
                  <c:v>#N/A</c:v>
                </c:pt>
                <c:pt idx="157">
                  <c:v>#N/A</c:v>
                </c:pt>
                <c:pt idx="158">
                  <c:v>419000</c:v>
                </c:pt>
                <c:pt idx="159">
                  <c:v>#N/A</c:v>
                </c:pt>
                <c:pt idx="160">
                  <c:v>466000</c:v>
                </c:pt>
                <c:pt idx="161">
                  <c:v>#N/A</c:v>
                </c:pt>
                <c:pt idx="162">
                  <c:v>#N/A</c:v>
                </c:pt>
                <c:pt idx="163">
                  <c:v>#N/A</c:v>
                </c:pt>
                <c:pt idx="164">
                  <c:v>#N/A</c:v>
                </c:pt>
                <c:pt idx="165">
                  <c:v>473000</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422000</c:v>
                </c:pt>
                <c:pt idx="183">
                  <c:v>#N/A</c:v>
                </c:pt>
                <c:pt idx="184">
                  <c:v>#N/A</c:v>
                </c:pt>
                <c:pt idx="185">
                  <c:v>#N/A</c:v>
                </c:pt>
                <c:pt idx="186">
                  <c:v>#N/A</c:v>
                </c:pt>
                <c:pt idx="187">
                  <c:v>751000</c:v>
                </c:pt>
                <c:pt idx="188">
                  <c:v>#N/A</c:v>
                </c:pt>
                <c:pt idx="189">
                  <c:v>824000</c:v>
                </c:pt>
                <c:pt idx="190">
                  <c:v>461000</c:v>
                </c:pt>
                <c:pt idx="191">
                  <c:v>#N/A</c:v>
                </c:pt>
                <c:pt idx="192">
                  <c:v>#N/A</c:v>
                </c:pt>
                <c:pt idx="193">
                  <c:v>535000</c:v>
                </c:pt>
                <c:pt idx="194">
                  <c:v>479000</c:v>
                </c:pt>
                <c:pt idx="195">
                  <c:v>#N/A</c:v>
                </c:pt>
                <c:pt idx="196">
                  <c:v>397000</c:v>
                </c:pt>
                <c:pt idx="197">
                  <c:v>#N/A</c:v>
                </c:pt>
                <c:pt idx="198">
                  <c:v>#N/A</c:v>
                </c:pt>
                <c:pt idx="199">
                  <c:v>425000</c:v>
                </c:pt>
                <c:pt idx="200">
                  <c:v>#N/A</c:v>
                </c:pt>
                <c:pt idx="201">
                  <c:v>#N/A</c:v>
                </c:pt>
                <c:pt idx="202">
                  <c:v>#N/A</c:v>
                </c:pt>
                <c:pt idx="203">
                  <c:v>#N/A</c:v>
                </c:pt>
                <c:pt idx="204">
                  <c:v>#N/A</c:v>
                </c:pt>
                <c:pt idx="205">
                  <c:v>469000</c:v>
                </c:pt>
                <c:pt idx="206">
                  <c:v>#N/A</c:v>
                </c:pt>
                <c:pt idx="207">
                  <c:v>#N/A</c:v>
                </c:pt>
                <c:pt idx="208">
                  <c:v>#N/A</c:v>
                </c:pt>
                <c:pt idx="209">
                  <c:v>#N/A</c:v>
                </c:pt>
                <c:pt idx="210">
                  <c:v>437000</c:v>
                </c:pt>
                <c:pt idx="211">
                  <c:v>#N/A</c:v>
                </c:pt>
                <c:pt idx="212">
                  <c:v>#N/A</c:v>
                </c:pt>
                <c:pt idx="213">
                  <c:v>#N/A</c:v>
                </c:pt>
                <c:pt idx="214">
                  <c:v>#N/A</c:v>
                </c:pt>
                <c:pt idx="215">
                  <c:v>369000</c:v>
                </c:pt>
                <c:pt idx="216">
                  <c:v>#N/A</c:v>
                </c:pt>
                <c:pt idx="217">
                  <c:v>473000</c:v>
                </c:pt>
                <c:pt idx="218">
                  <c:v>595000</c:v>
                </c:pt>
                <c:pt idx="219">
                  <c:v>#N/A</c:v>
                </c:pt>
                <c:pt idx="220">
                  <c:v>#N/A</c:v>
                </c:pt>
                <c:pt idx="221">
                  <c:v>#N/A</c:v>
                </c:pt>
                <c:pt idx="222">
                  <c:v>320000</c:v>
                </c:pt>
                <c:pt idx="223">
                  <c:v>896000</c:v>
                </c:pt>
                <c:pt idx="224">
                  <c:v>#N/A</c:v>
                </c:pt>
                <c:pt idx="225">
                  <c:v>#N/A</c:v>
                </c:pt>
                <c:pt idx="226">
                  <c:v>#N/A</c:v>
                </c:pt>
                <c:pt idx="227">
                  <c:v>#N/A</c:v>
                </c:pt>
                <c:pt idx="228">
                  <c:v>795000</c:v>
                </c:pt>
                <c:pt idx="229">
                  <c:v>#N/A</c:v>
                </c:pt>
                <c:pt idx="230">
                  <c:v>665000</c:v>
                </c:pt>
                <c:pt idx="231">
                  <c:v>#N/A</c:v>
                </c:pt>
                <c:pt idx="232">
                  <c:v>#N/A</c:v>
                </c:pt>
                <c:pt idx="233">
                  <c:v>#N/A</c:v>
                </c:pt>
                <c:pt idx="234">
                  <c:v>#N/A</c:v>
                </c:pt>
                <c:pt idx="235">
                  <c:v>#N/A</c:v>
                </c:pt>
                <c:pt idx="236">
                  <c:v>916000</c:v>
                </c:pt>
                <c:pt idx="237">
                  <c:v>#N/A</c:v>
                </c:pt>
                <c:pt idx="238">
                  <c:v>#N/A</c:v>
                </c:pt>
                <c:pt idx="239">
                  <c:v>447000</c:v>
                </c:pt>
                <c:pt idx="240">
                  <c:v>#N/A</c:v>
                </c:pt>
                <c:pt idx="241">
                  <c:v>#N/A</c:v>
                </c:pt>
                <c:pt idx="242">
                  <c:v>#N/A</c:v>
                </c:pt>
                <c:pt idx="243">
                  <c:v>#N/A</c:v>
                </c:pt>
                <c:pt idx="244">
                  <c:v>#N/A</c:v>
                </c:pt>
                <c:pt idx="245">
                  <c:v>284000</c:v>
                </c:pt>
                <c:pt idx="246">
                  <c:v>#N/A</c:v>
                </c:pt>
                <c:pt idx="247">
                  <c:v>832000</c:v>
                </c:pt>
                <c:pt idx="248">
                  <c:v>583000</c:v>
                </c:pt>
                <c:pt idx="249">
                  <c:v>#N/A</c:v>
                </c:pt>
                <c:pt idx="250">
                  <c:v>760000</c:v>
                </c:pt>
                <c:pt idx="251">
                  <c:v>#N/A</c:v>
                </c:pt>
                <c:pt idx="252">
                  <c:v>591000</c:v>
                </c:pt>
                <c:pt idx="253">
                  <c:v>#N/A</c:v>
                </c:pt>
                <c:pt idx="254">
                  <c:v>#N/A</c:v>
                </c:pt>
                <c:pt idx="255">
                  <c:v>#N/A</c:v>
                </c:pt>
                <c:pt idx="256">
                  <c:v>#N/A</c:v>
                </c:pt>
                <c:pt idx="257">
                  <c:v>#N/A</c:v>
                </c:pt>
                <c:pt idx="258">
                  <c:v>#N/A</c:v>
                </c:pt>
                <c:pt idx="259">
                  <c:v>#N/A</c:v>
                </c:pt>
                <c:pt idx="260">
                  <c:v>616000</c:v>
                </c:pt>
                <c:pt idx="261">
                  <c:v>221000</c:v>
                </c:pt>
                <c:pt idx="262">
                  <c:v>481000</c:v>
                </c:pt>
                <c:pt idx="263">
                  <c:v>343000</c:v>
                </c:pt>
                <c:pt idx="264">
                  <c:v>389000</c:v>
                </c:pt>
                <c:pt idx="265">
                  <c:v>#N/A</c:v>
                </c:pt>
                <c:pt idx="266">
                  <c:v>#N/A</c:v>
                </c:pt>
                <c:pt idx="267">
                  <c:v>#N/A</c:v>
                </c:pt>
                <c:pt idx="268">
                  <c:v>#N/A</c:v>
                </c:pt>
                <c:pt idx="269">
                  <c:v>#N/A</c:v>
                </c:pt>
                <c:pt idx="270">
                  <c:v>401000</c:v>
                </c:pt>
                <c:pt idx="271">
                  <c:v>#N/A</c:v>
                </c:pt>
                <c:pt idx="272">
                  <c:v>#N/A</c:v>
                </c:pt>
                <c:pt idx="273">
                  <c:v>401000</c:v>
                </c:pt>
                <c:pt idx="274">
                  <c:v>434000</c:v>
                </c:pt>
                <c:pt idx="275">
                  <c:v>465000</c:v>
                </c:pt>
                <c:pt idx="276">
                  <c:v>#N/A</c:v>
                </c:pt>
                <c:pt idx="277">
                  <c:v>#N/A</c:v>
                </c:pt>
                <c:pt idx="278">
                  <c:v>#N/A</c:v>
                </c:pt>
                <c:pt idx="279">
                  <c:v>342000</c:v>
                </c:pt>
                <c:pt idx="280">
                  <c:v>665000</c:v>
                </c:pt>
                <c:pt idx="281">
                  <c:v>#N/A</c:v>
                </c:pt>
                <c:pt idx="282">
                  <c:v>475000</c:v>
                </c:pt>
                <c:pt idx="283">
                  <c:v>386000</c:v>
                </c:pt>
                <c:pt idx="284">
                  <c:v>303000</c:v>
                </c:pt>
                <c:pt idx="285">
                  <c:v>#N/A</c:v>
                </c:pt>
                <c:pt idx="286">
                  <c:v>230000</c:v>
                </c:pt>
                <c:pt idx="287">
                  <c:v>298000</c:v>
                </c:pt>
                <c:pt idx="288">
                  <c:v>#N/A</c:v>
                </c:pt>
                <c:pt idx="289">
                  <c:v>#N/A</c:v>
                </c:pt>
                <c:pt idx="290">
                  <c:v>534000</c:v>
                </c:pt>
                <c:pt idx="291">
                  <c:v>#N/A</c:v>
                </c:pt>
                <c:pt idx="292">
                  <c:v>356000</c:v>
                </c:pt>
                <c:pt idx="293">
                  <c:v>287000</c:v>
                </c:pt>
                <c:pt idx="294">
                  <c:v>#N/A</c:v>
                </c:pt>
                <c:pt idx="295">
                  <c:v>565000</c:v>
                </c:pt>
                <c:pt idx="296">
                  <c:v>849000</c:v>
                </c:pt>
                <c:pt idx="297">
                  <c:v>#N/A</c:v>
                </c:pt>
                <c:pt idx="298">
                  <c:v>#N/A</c:v>
                </c:pt>
                <c:pt idx="299">
                  <c:v>513000</c:v>
                </c:pt>
                <c:pt idx="300">
                  <c:v>#N/A</c:v>
                </c:pt>
                <c:pt idx="301">
                  <c:v>#N/A</c:v>
                </c:pt>
                <c:pt idx="302">
                  <c:v>445000</c:v>
                </c:pt>
                <c:pt idx="303">
                  <c:v>453000</c:v>
                </c:pt>
                <c:pt idx="304">
                  <c:v>390000</c:v>
                </c:pt>
                <c:pt idx="305">
                  <c:v>#N/A</c:v>
                </c:pt>
                <c:pt idx="306">
                  <c:v>#N/A</c:v>
                </c:pt>
                <c:pt idx="307">
                  <c:v>#N/A</c:v>
                </c:pt>
                <c:pt idx="308">
                  <c:v>431000</c:v>
                </c:pt>
                <c:pt idx="309">
                  <c:v>#N/A</c:v>
                </c:pt>
                <c:pt idx="310">
                  <c:v>#N/A</c:v>
                </c:pt>
                <c:pt idx="311">
                  <c:v>#N/A</c:v>
                </c:pt>
                <c:pt idx="312">
                  <c:v>#N/A</c:v>
                </c:pt>
                <c:pt idx="313">
                  <c:v>#N/A</c:v>
                </c:pt>
                <c:pt idx="314">
                  <c:v>#N/A</c:v>
                </c:pt>
                <c:pt idx="315">
                  <c:v>300000</c:v>
                </c:pt>
                <c:pt idx="316">
                  <c:v>#N/A</c:v>
                </c:pt>
                <c:pt idx="317">
                  <c:v>#N/A</c:v>
                </c:pt>
                <c:pt idx="318">
                  <c:v>#N/A</c:v>
                </c:pt>
                <c:pt idx="319">
                  <c:v>511000</c:v>
                </c:pt>
                <c:pt idx="320">
                  <c:v>786000</c:v>
                </c:pt>
                <c:pt idx="321">
                  <c:v>#N/A</c:v>
                </c:pt>
                <c:pt idx="322">
                  <c:v>#N/A</c:v>
                </c:pt>
                <c:pt idx="323">
                  <c:v>732000</c:v>
                </c:pt>
                <c:pt idx="324">
                  <c:v>#N/A</c:v>
                </c:pt>
                <c:pt idx="325">
                  <c:v>#N/A</c:v>
                </c:pt>
                <c:pt idx="326">
                  <c:v>#N/A</c:v>
                </c:pt>
                <c:pt idx="327">
                  <c:v>#N/A</c:v>
                </c:pt>
                <c:pt idx="328">
                  <c:v>475000</c:v>
                </c:pt>
                <c:pt idx="329">
                  <c:v>#N/A</c:v>
                </c:pt>
                <c:pt idx="330">
                  <c:v>#N/A</c:v>
                </c:pt>
                <c:pt idx="331">
                  <c:v>#N/A</c:v>
                </c:pt>
                <c:pt idx="332">
                  <c:v>320000</c:v>
                </c:pt>
                <c:pt idx="333">
                  <c:v>#N/A</c:v>
                </c:pt>
                <c:pt idx="334">
                  <c:v>368000</c:v>
                </c:pt>
                <c:pt idx="335">
                  <c:v>#N/A</c:v>
                </c:pt>
                <c:pt idx="336">
                  <c:v>559000</c:v>
                </c:pt>
                <c:pt idx="337">
                  <c:v>612000</c:v>
                </c:pt>
                <c:pt idx="338">
                  <c:v>#N/A</c:v>
                </c:pt>
                <c:pt idx="339">
                  <c:v>#N/A</c:v>
                </c:pt>
                <c:pt idx="340">
                  <c:v>#N/A</c:v>
                </c:pt>
                <c:pt idx="341">
                  <c:v>#N/A</c:v>
                </c:pt>
                <c:pt idx="342">
                  <c:v>#N/A</c:v>
                </c:pt>
                <c:pt idx="343">
                  <c:v>361000</c:v>
                </c:pt>
                <c:pt idx="344">
                  <c:v>#N/A</c:v>
                </c:pt>
                <c:pt idx="345">
                  <c:v>#N/A</c:v>
                </c:pt>
                <c:pt idx="346">
                  <c:v>603000</c:v>
                </c:pt>
                <c:pt idx="347">
                  <c:v>#N/A</c:v>
                </c:pt>
                <c:pt idx="348">
                  <c:v>#N/A</c:v>
                </c:pt>
                <c:pt idx="349">
                  <c:v>#N/A</c:v>
                </c:pt>
                <c:pt idx="350">
                  <c:v>#N/A</c:v>
                </c:pt>
                <c:pt idx="351">
                  <c:v>501000</c:v>
                </c:pt>
                <c:pt idx="352">
                  <c:v>393000</c:v>
                </c:pt>
                <c:pt idx="353">
                  <c:v>#N/A</c:v>
                </c:pt>
                <c:pt idx="354">
                  <c:v>#N/A</c:v>
                </c:pt>
                <c:pt idx="355">
                  <c:v>420000</c:v>
                </c:pt>
                <c:pt idx="356">
                  <c:v>#N/A</c:v>
                </c:pt>
                <c:pt idx="357">
                  <c:v>386000</c:v>
                </c:pt>
                <c:pt idx="358">
                  <c:v>#N/A</c:v>
                </c:pt>
                <c:pt idx="359">
                  <c:v>564000</c:v>
                </c:pt>
                <c:pt idx="360">
                  <c:v>#N/A</c:v>
                </c:pt>
                <c:pt idx="361">
                  <c:v>#N/A</c:v>
                </c:pt>
                <c:pt idx="362">
                  <c:v>365000</c:v>
                </c:pt>
                <c:pt idx="363">
                  <c:v>550000</c:v>
                </c:pt>
                <c:pt idx="364">
                  <c:v>574000</c:v>
                </c:pt>
                <c:pt idx="365">
                  <c:v>496000</c:v>
                </c:pt>
                <c:pt idx="366">
                  <c:v>#N/A</c:v>
                </c:pt>
                <c:pt idx="367">
                  <c:v>406000</c:v>
                </c:pt>
                <c:pt idx="368">
                  <c:v>475000</c:v>
                </c:pt>
                <c:pt idx="369">
                  <c:v>686000</c:v>
                </c:pt>
                <c:pt idx="370">
                  <c:v>#N/A</c:v>
                </c:pt>
                <c:pt idx="371">
                  <c:v>#N/A</c:v>
                </c:pt>
                <c:pt idx="372">
                  <c:v>387000</c:v>
                </c:pt>
                <c:pt idx="373">
                  <c:v>#N/A</c:v>
                </c:pt>
                <c:pt idx="374">
                  <c:v>463000</c:v>
                </c:pt>
                <c:pt idx="375">
                  <c:v>#N/A</c:v>
                </c:pt>
                <c:pt idx="376">
                  <c:v>#N/A</c:v>
                </c:pt>
                <c:pt idx="377">
                  <c:v>167000</c:v>
                </c:pt>
                <c:pt idx="378">
                  <c:v>#N/A</c:v>
                </c:pt>
                <c:pt idx="379">
                  <c:v>737000</c:v>
                </c:pt>
                <c:pt idx="380">
                  <c:v>#N/A</c:v>
                </c:pt>
                <c:pt idx="381">
                  <c:v>#N/A</c:v>
                </c:pt>
                <c:pt idx="382">
                  <c:v>499000</c:v>
                </c:pt>
                <c:pt idx="383">
                  <c:v>743000</c:v>
                </c:pt>
                <c:pt idx="384">
                  <c:v>#N/A</c:v>
                </c:pt>
                <c:pt idx="385">
                  <c:v>#N/A</c:v>
                </c:pt>
                <c:pt idx="386">
                  <c:v>#N/A</c:v>
                </c:pt>
                <c:pt idx="387">
                  <c:v>#N/A</c:v>
                </c:pt>
                <c:pt idx="388">
                  <c:v>#N/A</c:v>
                </c:pt>
                <c:pt idx="389">
                  <c:v>#N/A</c:v>
                </c:pt>
                <c:pt idx="390">
                  <c:v>589000</c:v>
                </c:pt>
                <c:pt idx="391">
                  <c:v>#N/A</c:v>
                </c:pt>
                <c:pt idx="392">
                  <c:v>178000</c:v>
                </c:pt>
                <c:pt idx="393">
                  <c:v>#N/A</c:v>
                </c:pt>
                <c:pt idx="394">
                  <c:v>406000</c:v>
                </c:pt>
                <c:pt idx="395">
                  <c:v>440000</c:v>
                </c:pt>
                <c:pt idx="396">
                  <c:v>#N/A</c:v>
                </c:pt>
                <c:pt idx="397">
                  <c:v>#N/A</c:v>
                </c:pt>
                <c:pt idx="398">
                  <c:v>#N/A</c:v>
                </c:pt>
                <c:pt idx="399">
                  <c:v>#N/A</c:v>
                </c:pt>
                <c:pt idx="400">
                  <c:v>#N/A</c:v>
                </c:pt>
                <c:pt idx="401">
                  <c:v>#N/A</c:v>
                </c:pt>
                <c:pt idx="402">
                  <c:v>408000</c:v>
                </c:pt>
                <c:pt idx="403">
                  <c:v>419000</c:v>
                </c:pt>
                <c:pt idx="404">
                  <c:v>536000</c:v>
                </c:pt>
                <c:pt idx="405">
                  <c:v>#N/A</c:v>
                </c:pt>
                <c:pt idx="406">
                  <c:v>#N/A</c:v>
                </c:pt>
                <c:pt idx="407">
                  <c:v>445000</c:v>
                </c:pt>
                <c:pt idx="408">
                  <c:v>#N/A</c:v>
                </c:pt>
                <c:pt idx="409">
                  <c:v>#N/A</c:v>
                </c:pt>
                <c:pt idx="410">
                  <c:v>#N/A</c:v>
                </c:pt>
                <c:pt idx="411">
                  <c:v>#N/A</c:v>
                </c:pt>
                <c:pt idx="412">
                  <c:v>#N/A</c:v>
                </c:pt>
                <c:pt idx="413">
                  <c:v>#N/A</c:v>
                </c:pt>
                <c:pt idx="414">
                  <c:v>#N/A</c:v>
                </c:pt>
                <c:pt idx="415">
                  <c:v>#N/A</c:v>
                </c:pt>
                <c:pt idx="416">
                  <c:v>451000</c:v>
                </c:pt>
                <c:pt idx="417">
                  <c:v>#N/A</c:v>
                </c:pt>
                <c:pt idx="418">
                  <c:v>#N/A</c:v>
                </c:pt>
                <c:pt idx="419">
                  <c:v>#N/A</c:v>
                </c:pt>
                <c:pt idx="420">
                  <c:v>331000</c:v>
                </c:pt>
                <c:pt idx="421">
                  <c:v>#N/A</c:v>
                </c:pt>
                <c:pt idx="422">
                  <c:v>476000</c:v>
                </c:pt>
                <c:pt idx="423">
                  <c:v>#N/A</c:v>
                </c:pt>
                <c:pt idx="424">
                  <c:v>485000</c:v>
                </c:pt>
                <c:pt idx="425">
                  <c:v>413000</c:v>
                </c:pt>
                <c:pt idx="426">
                  <c:v>#N/A</c:v>
                </c:pt>
                <c:pt idx="427">
                  <c:v>724000</c:v>
                </c:pt>
                <c:pt idx="428">
                  <c:v>331000</c:v>
                </c:pt>
                <c:pt idx="429">
                  <c:v>477000</c:v>
                </c:pt>
                <c:pt idx="430">
                  <c:v>#N/A</c:v>
                </c:pt>
                <c:pt idx="431">
                  <c:v>367000</c:v>
                </c:pt>
                <c:pt idx="432">
                  <c:v>#N/A</c:v>
                </c:pt>
                <c:pt idx="433">
                  <c:v>339000</c:v>
                </c:pt>
                <c:pt idx="434">
                  <c:v>#N/A</c:v>
                </c:pt>
                <c:pt idx="435">
                  <c:v>#N/A</c:v>
                </c:pt>
                <c:pt idx="436">
                  <c:v>#N/A</c:v>
                </c:pt>
                <c:pt idx="437">
                  <c:v>348000</c:v>
                </c:pt>
                <c:pt idx="438">
                  <c:v>#N/A</c:v>
                </c:pt>
                <c:pt idx="439">
                  <c:v>#N/A</c:v>
                </c:pt>
                <c:pt idx="440">
                  <c:v>352000</c:v>
                </c:pt>
                <c:pt idx="441">
                  <c:v>#N/A</c:v>
                </c:pt>
                <c:pt idx="442">
                  <c:v>#N/A</c:v>
                </c:pt>
                <c:pt idx="443">
                  <c:v>580000</c:v>
                </c:pt>
                <c:pt idx="444">
                  <c:v>#N/A</c:v>
                </c:pt>
                <c:pt idx="445">
                  <c:v>#N/A</c:v>
                </c:pt>
                <c:pt idx="446">
                  <c:v>#N/A</c:v>
                </c:pt>
                <c:pt idx="447">
                  <c:v>548000</c:v>
                </c:pt>
                <c:pt idx="448">
                  <c:v>#N/A</c:v>
                </c:pt>
                <c:pt idx="449">
                  <c:v>680000</c:v>
                </c:pt>
                <c:pt idx="450">
                  <c:v>#N/A</c:v>
                </c:pt>
                <c:pt idx="451">
                  <c:v>#N/A</c:v>
                </c:pt>
                <c:pt idx="452">
                  <c:v>#N/A</c:v>
                </c:pt>
                <c:pt idx="453">
                  <c:v>687000</c:v>
                </c:pt>
                <c:pt idx="454">
                  <c:v>821000</c:v>
                </c:pt>
                <c:pt idx="455">
                  <c:v>#N/A</c:v>
                </c:pt>
                <c:pt idx="456">
                  <c:v>730000</c:v>
                </c:pt>
                <c:pt idx="457">
                  <c:v>556000</c:v>
                </c:pt>
                <c:pt idx="458">
                  <c:v>#N/A</c:v>
                </c:pt>
                <c:pt idx="459">
                  <c:v>#N/A</c:v>
                </c:pt>
                <c:pt idx="460">
                  <c:v>#N/A</c:v>
                </c:pt>
                <c:pt idx="461">
                  <c:v>#N/A</c:v>
                </c:pt>
                <c:pt idx="462">
                  <c:v>#N/A</c:v>
                </c:pt>
                <c:pt idx="463">
                  <c:v>#N/A</c:v>
                </c:pt>
                <c:pt idx="464">
                  <c:v>#N/A</c:v>
                </c:pt>
                <c:pt idx="465">
                  <c:v>#N/A</c:v>
                </c:pt>
                <c:pt idx="466">
                  <c:v>#N/A</c:v>
                </c:pt>
                <c:pt idx="467">
                  <c:v>419000</c:v>
                </c:pt>
                <c:pt idx="468">
                  <c:v>#N/A</c:v>
                </c:pt>
                <c:pt idx="469">
                  <c:v>557000</c:v>
                </c:pt>
                <c:pt idx="470">
                  <c:v>480000</c:v>
                </c:pt>
                <c:pt idx="471">
                  <c:v>#N/A</c:v>
                </c:pt>
                <c:pt idx="472">
                  <c:v>562000</c:v>
                </c:pt>
                <c:pt idx="473">
                  <c:v>560000</c:v>
                </c:pt>
                <c:pt idx="474">
                  <c:v>#N/A</c:v>
                </c:pt>
                <c:pt idx="475">
                  <c:v>#N/A</c:v>
                </c:pt>
                <c:pt idx="476">
                  <c:v>#N/A</c:v>
                </c:pt>
                <c:pt idx="477">
                  <c:v>#N/A</c:v>
                </c:pt>
                <c:pt idx="478">
                  <c:v>#N/A</c:v>
                </c:pt>
                <c:pt idx="479">
                  <c:v>#N/A</c:v>
                </c:pt>
                <c:pt idx="480">
                  <c:v>323000</c:v>
                </c:pt>
                <c:pt idx="481">
                  <c:v>355000</c:v>
                </c:pt>
                <c:pt idx="482">
                  <c:v>#N/A</c:v>
                </c:pt>
                <c:pt idx="483">
                  <c:v>#N/A</c:v>
                </c:pt>
                <c:pt idx="484">
                  <c:v>#N/A</c:v>
                </c:pt>
                <c:pt idx="485">
                  <c:v>540000</c:v>
                </c:pt>
                <c:pt idx="486">
                  <c:v>#N/A</c:v>
                </c:pt>
                <c:pt idx="487">
                  <c:v>414000</c:v>
                </c:pt>
                <c:pt idx="488">
                  <c:v>#N/A</c:v>
                </c:pt>
                <c:pt idx="489">
                  <c:v>#N/A</c:v>
                </c:pt>
                <c:pt idx="490">
                  <c:v>#N/A</c:v>
                </c:pt>
                <c:pt idx="491">
                  <c:v>#N/A</c:v>
                </c:pt>
                <c:pt idx="492">
                  <c:v>448000</c:v>
                </c:pt>
                <c:pt idx="493">
                  <c:v>#N/A</c:v>
                </c:pt>
                <c:pt idx="494">
                  <c:v>648000</c:v>
                </c:pt>
                <c:pt idx="495">
                  <c:v>592000</c:v>
                </c:pt>
                <c:pt idx="496">
                  <c:v>492000</c:v>
                </c:pt>
                <c:pt idx="497">
                  <c:v>#N/A</c:v>
                </c:pt>
                <c:pt idx="498">
                  <c:v>#N/A</c:v>
                </c:pt>
                <c:pt idx="499">
                  <c:v>436000</c:v>
                </c:pt>
                <c:pt idx="500">
                  <c:v>#N/A</c:v>
                </c:pt>
                <c:pt idx="501">
                  <c:v>446000</c:v>
                </c:pt>
                <c:pt idx="502">
                  <c:v>#N/A</c:v>
                </c:pt>
                <c:pt idx="503">
                  <c:v>465000</c:v>
                </c:pt>
                <c:pt idx="504">
                  <c:v>430000</c:v>
                </c:pt>
                <c:pt idx="505">
                  <c:v>#N/A</c:v>
                </c:pt>
                <c:pt idx="506">
                  <c:v>#N/A</c:v>
                </c:pt>
                <c:pt idx="507">
                  <c:v>#N/A</c:v>
                </c:pt>
                <c:pt idx="508">
                  <c:v>#N/A</c:v>
                </c:pt>
                <c:pt idx="509">
                  <c:v>#N/A</c:v>
                </c:pt>
                <c:pt idx="510">
                  <c:v>607000</c:v>
                </c:pt>
                <c:pt idx="511">
                  <c:v>#N/A</c:v>
                </c:pt>
                <c:pt idx="512">
                  <c:v>589000</c:v>
                </c:pt>
                <c:pt idx="513">
                  <c:v>368000</c:v>
                </c:pt>
                <c:pt idx="514">
                  <c:v>776000</c:v>
                </c:pt>
                <c:pt idx="515">
                  <c:v>495000</c:v>
                </c:pt>
                <c:pt idx="516">
                  <c:v>#N/A</c:v>
                </c:pt>
                <c:pt idx="517">
                  <c:v>535000</c:v>
                </c:pt>
                <c:pt idx="518">
                  <c:v>503000</c:v>
                </c:pt>
                <c:pt idx="519">
                  <c:v>#N/A</c:v>
                </c:pt>
                <c:pt idx="520">
                  <c:v>435000</c:v>
                </c:pt>
                <c:pt idx="521">
                  <c:v>545000</c:v>
                </c:pt>
                <c:pt idx="522">
                  <c:v>#N/A</c:v>
                </c:pt>
                <c:pt idx="523">
                  <c:v>#N/A</c:v>
                </c:pt>
                <c:pt idx="524">
                  <c:v>336000</c:v>
                </c:pt>
                <c:pt idx="525">
                  <c:v>#N/A</c:v>
                </c:pt>
                <c:pt idx="526">
                  <c:v>#N/A</c:v>
                </c:pt>
                <c:pt idx="527">
                  <c:v>645000</c:v>
                </c:pt>
                <c:pt idx="528">
                  <c:v>#N/A</c:v>
                </c:pt>
                <c:pt idx="529">
                  <c:v>498000</c:v>
                </c:pt>
                <c:pt idx="530">
                  <c:v>#N/A</c:v>
                </c:pt>
                <c:pt idx="531">
                  <c:v>713000</c:v>
                </c:pt>
                <c:pt idx="532">
                  <c:v>#N/A</c:v>
                </c:pt>
                <c:pt idx="533">
                  <c:v>528000</c:v>
                </c:pt>
                <c:pt idx="534">
                  <c:v>381000</c:v>
                </c:pt>
                <c:pt idx="535">
                  <c:v>523000</c:v>
                </c:pt>
                <c:pt idx="536">
                  <c:v>#N/A</c:v>
                </c:pt>
                <c:pt idx="537">
                  <c:v>#N/A</c:v>
                </c:pt>
                <c:pt idx="538">
                  <c:v>543000</c:v>
                </c:pt>
                <c:pt idx="539">
                  <c:v>703000</c:v>
                </c:pt>
                <c:pt idx="540">
                  <c:v>#N/A</c:v>
                </c:pt>
                <c:pt idx="541">
                  <c:v>#N/A</c:v>
                </c:pt>
                <c:pt idx="542">
                  <c:v>#N/A</c:v>
                </c:pt>
                <c:pt idx="543">
                  <c:v>283000</c:v>
                </c:pt>
                <c:pt idx="544">
                  <c:v>#N/A</c:v>
                </c:pt>
                <c:pt idx="545">
                  <c:v>377000</c:v>
                </c:pt>
                <c:pt idx="546">
                  <c:v>539000</c:v>
                </c:pt>
                <c:pt idx="547">
                  <c:v>714000</c:v>
                </c:pt>
                <c:pt idx="548">
                  <c:v>#N/A</c:v>
                </c:pt>
                <c:pt idx="549">
                  <c:v>#N/A</c:v>
                </c:pt>
                <c:pt idx="550">
                  <c:v>#N/A</c:v>
                </c:pt>
                <c:pt idx="551">
                  <c:v>496000</c:v>
                </c:pt>
                <c:pt idx="552">
                  <c:v>492000</c:v>
                </c:pt>
                <c:pt idx="553">
                  <c:v>#N/A</c:v>
                </c:pt>
                <c:pt idx="554">
                  <c:v>#N/A</c:v>
                </c:pt>
                <c:pt idx="555">
                  <c:v>422000</c:v>
                </c:pt>
                <c:pt idx="556">
                  <c:v>#N/A</c:v>
                </c:pt>
                <c:pt idx="557">
                  <c:v>#N/A</c:v>
                </c:pt>
                <c:pt idx="558">
                  <c:v>725000</c:v>
                </c:pt>
                <c:pt idx="559">
                  <c:v>#N/A</c:v>
                </c:pt>
                <c:pt idx="560">
                  <c:v>#N/A</c:v>
                </c:pt>
                <c:pt idx="561">
                  <c:v>323000</c:v>
                </c:pt>
                <c:pt idx="562">
                  <c:v>727000</c:v>
                </c:pt>
                <c:pt idx="563">
                  <c:v>382000</c:v>
                </c:pt>
                <c:pt idx="564">
                  <c:v>341000</c:v>
                </c:pt>
                <c:pt idx="565">
                  <c:v>#N/A</c:v>
                </c:pt>
                <c:pt idx="566">
                  <c:v>#N/A</c:v>
                </c:pt>
                <c:pt idx="567">
                  <c:v>550000</c:v>
                </c:pt>
                <c:pt idx="568">
                  <c:v>#N/A</c:v>
                </c:pt>
                <c:pt idx="569">
                  <c:v>#N/A</c:v>
                </c:pt>
                <c:pt idx="570">
                  <c:v>#N/A</c:v>
                </c:pt>
                <c:pt idx="571">
                  <c:v>445000</c:v>
                </c:pt>
                <c:pt idx="572">
                  <c:v>518000</c:v>
                </c:pt>
                <c:pt idx="573">
                  <c:v>494000</c:v>
                </c:pt>
                <c:pt idx="574">
                  <c:v>498000</c:v>
                </c:pt>
                <c:pt idx="575">
                  <c:v>#N/A</c:v>
                </c:pt>
                <c:pt idx="576">
                  <c:v>#N/A</c:v>
                </c:pt>
                <c:pt idx="577">
                  <c:v>449000</c:v>
                </c:pt>
                <c:pt idx="578">
                  <c:v>#N/A</c:v>
                </c:pt>
                <c:pt idx="579">
                  <c:v>#N/A</c:v>
                </c:pt>
                <c:pt idx="580">
                  <c:v>#N/A</c:v>
                </c:pt>
                <c:pt idx="581">
                  <c:v>#N/A</c:v>
                </c:pt>
                <c:pt idx="582">
                  <c:v>#N/A</c:v>
                </c:pt>
                <c:pt idx="583">
                  <c:v>#N/A</c:v>
                </c:pt>
                <c:pt idx="584">
                  <c:v>#N/A</c:v>
                </c:pt>
                <c:pt idx="585">
                  <c:v>380000</c:v>
                </c:pt>
                <c:pt idx="586">
                  <c:v>329000</c:v>
                </c:pt>
                <c:pt idx="587">
                  <c:v>#N/A</c:v>
                </c:pt>
                <c:pt idx="588">
                  <c:v>#N/A</c:v>
                </c:pt>
                <c:pt idx="589">
                  <c:v>607000</c:v>
                </c:pt>
                <c:pt idx="590">
                  <c:v>#N/A</c:v>
                </c:pt>
                <c:pt idx="591">
                  <c:v>633000</c:v>
                </c:pt>
                <c:pt idx="592">
                  <c:v>#N/A</c:v>
                </c:pt>
                <c:pt idx="593">
                  <c:v>#N/A</c:v>
                </c:pt>
                <c:pt idx="594">
                  <c:v>#N/A</c:v>
                </c:pt>
                <c:pt idx="595">
                  <c:v>#N/A</c:v>
                </c:pt>
                <c:pt idx="596">
                  <c:v>425000</c:v>
                </c:pt>
                <c:pt idx="597">
                  <c:v>#N/A</c:v>
                </c:pt>
                <c:pt idx="598">
                  <c:v>#N/A</c:v>
                </c:pt>
                <c:pt idx="599">
                  <c:v>#N/A</c:v>
                </c:pt>
                <c:pt idx="600">
                  <c:v>#N/A</c:v>
                </c:pt>
                <c:pt idx="601">
                  <c:v>#N/A</c:v>
                </c:pt>
                <c:pt idx="602">
                  <c:v>400000</c:v>
                </c:pt>
                <c:pt idx="603">
                  <c:v>#N/A</c:v>
                </c:pt>
                <c:pt idx="604">
                  <c:v>#N/A</c:v>
                </c:pt>
                <c:pt idx="605">
                  <c:v>#N/A</c:v>
                </c:pt>
                <c:pt idx="606">
                  <c:v>449000</c:v>
                </c:pt>
                <c:pt idx="607">
                  <c:v>#N/A</c:v>
                </c:pt>
                <c:pt idx="608">
                  <c:v>#N/A</c:v>
                </c:pt>
                <c:pt idx="609">
                  <c:v>561000</c:v>
                </c:pt>
                <c:pt idx="610">
                  <c:v>310000</c:v>
                </c:pt>
                <c:pt idx="611">
                  <c:v>#N/A</c:v>
                </c:pt>
                <c:pt idx="612">
                  <c:v>#N/A</c:v>
                </c:pt>
                <c:pt idx="613">
                  <c:v>474000</c:v>
                </c:pt>
                <c:pt idx="614">
                  <c:v>#N/A</c:v>
                </c:pt>
                <c:pt idx="615">
                  <c:v>571000</c:v>
                </c:pt>
                <c:pt idx="616">
                  <c:v>601000</c:v>
                </c:pt>
                <c:pt idx="617">
                  <c:v>555000</c:v>
                </c:pt>
                <c:pt idx="618">
                  <c:v>173000</c:v>
                </c:pt>
                <c:pt idx="619">
                  <c:v>#N/A</c:v>
                </c:pt>
                <c:pt idx="620">
                  <c:v>#N/A</c:v>
                </c:pt>
                <c:pt idx="621">
                  <c:v>#N/A</c:v>
                </c:pt>
                <c:pt idx="622">
                  <c:v>578000</c:v>
                </c:pt>
                <c:pt idx="623">
                  <c:v>#N/A</c:v>
                </c:pt>
                <c:pt idx="624">
                  <c:v>#N/A</c:v>
                </c:pt>
                <c:pt idx="625">
                  <c:v>555000</c:v>
                </c:pt>
                <c:pt idx="626">
                  <c:v>#N/A</c:v>
                </c:pt>
                <c:pt idx="627">
                  <c:v>330000</c:v>
                </c:pt>
                <c:pt idx="628">
                  <c:v>466000</c:v>
                </c:pt>
                <c:pt idx="629">
                  <c:v>#N/A</c:v>
                </c:pt>
                <c:pt idx="630">
                  <c:v>#N/A</c:v>
                </c:pt>
                <c:pt idx="631">
                  <c:v>446000</c:v>
                </c:pt>
                <c:pt idx="632">
                  <c:v>#N/A</c:v>
                </c:pt>
                <c:pt idx="633">
                  <c:v>476000</c:v>
                </c:pt>
                <c:pt idx="634">
                  <c:v>628000</c:v>
                </c:pt>
                <c:pt idx="635">
                  <c:v>427000</c:v>
                </c:pt>
                <c:pt idx="636">
                  <c:v>#N/A</c:v>
                </c:pt>
                <c:pt idx="637">
                  <c:v>844000</c:v>
                </c:pt>
                <c:pt idx="638">
                  <c:v>332000</c:v>
                </c:pt>
                <c:pt idx="639">
                  <c:v>675000</c:v>
                </c:pt>
                <c:pt idx="640">
                  <c:v>681000</c:v>
                </c:pt>
                <c:pt idx="641">
                  <c:v>#N/A</c:v>
                </c:pt>
                <c:pt idx="642">
                  <c:v>#N/A</c:v>
                </c:pt>
                <c:pt idx="643">
                  <c:v>504000</c:v>
                </c:pt>
                <c:pt idx="644">
                  <c:v>#N/A</c:v>
                </c:pt>
                <c:pt idx="645">
                  <c:v>384000</c:v>
                </c:pt>
                <c:pt idx="646">
                  <c:v>#N/A</c:v>
                </c:pt>
                <c:pt idx="647">
                  <c:v>#N/A</c:v>
                </c:pt>
                <c:pt idx="648">
                  <c:v>#N/A</c:v>
                </c:pt>
                <c:pt idx="649">
                  <c:v>#N/A</c:v>
                </c:pt>
                <c:pt idx="650">
                  <c:v>478000</c:v>
                </c:pt>
                <c:pt idx="651">
                  <c:v>#N/A</c:v>
                </c:pt>
                <c:pt idx="652">
                  <c:v>#N/A</c:v>
                </c:pt>
                <c:pt idx="653">
                  <c:v>685000</c:v>
                </c:pt>
                <c:pt idx="654">
                  <c:v>#N/A</c:v>
                </c:pt>
                <c:pt idx="655">
                  <c:v>657000</c:v>
                </c:pt>
                <c:pt idx="656">
                  <c:v>#N/A</c:v>
                </c:pt>
                <c:pt idx="657">
                  <c:v>#N/A</c:v>
                </c:pt>
                <c:pt idx="658">
                  <c:v>#N/A</c:v>
                </c:pt>
                <c:pt idx="659">
                  <c:v>#N/A</c:v>
                </c:pt>
                <c:pt idx="660">
                  <c:v>#N/A</c:v>
                </c:pt>
                <c:pt idx="661">
                  <c:v>#N/A</c:v>
                </c:pt>
                <c:pt idx="662">
                  <c:v>910000</c:v>
                </c:pt>
                <c:pt idx="663">
                  <c:v>499000</c:v>
                </c:pt>
                <c:pt idx="664">
                  <c:v>#N/A</c:v>
                </c:pt>
                <c:pt idx="665">
                  <c:v>538000</c:v>
                </c:pt>
                <c:pt idx="666">
                  <c:v>#N/A</c:v>
                </c:pt>
                <c:pt idx="667">
                  <c:v>#N/A</c:v>
                </c:pt>
                <c:pt idx="668">
                  <c:v>#N/A</c:v>
                </c:pt>
                <c:pt idx="669">
                  <c:v>536000</c:v>
                </c:pt>
                <c:pt idx="670">
                  <c:v>#N/A</c:v>
                </c:pt>
                <c:pt idx="671">
                  <c:v>#N/A</c:v>
                </c:pt>
                <c:pt idx="672">
                  <c:v>538000</c:v>
                </c:pt>
                <c:pt idx="673">
                  <c:v>#N/A</c:v>
                </c:pt>
                <c:pt idx="674">
                  <c:v>332000</c:v>
                </c:pt>
                <c:pt idx="675">
                  <c:v>483000</c:v>
                </c:pt>
                <c:pt idx="676">
                  <c:v>#N/A</c:v>
                </c:pt>
                <c:pt idx="677">
                  <c:v>#N/A</c:v>
                </c:pt>
                <c:pt idx="678">
                  <c:v>470000</c:v>
                </c:pt>
                <c:pt idx="679">
                  <c:v>380000</c:v>
                </c:pt>
                <c:pt idx="680">
                  <c:v>#N/A</c:v>
                </c:pt>
                <c:pt idx="681">
                  <c:v>#N/A</c:v>
                </c:pt>
                <c:pt idx="682">
                  <c:v>#N/A</c:v>
                </c:pt>
                <c:pt idx="683">
                  <c:v>451000</c:v>
                </c:pt>
                <c:pt idx="684">
                  <c:v>#N/A</c:v>
                </c:pt>
                <c:pt idx="685">
                  <c:v>277000</c:v>
                </c:pt>
                <c:pt idx="686">
                  <c:v>551000</c:v>
                </c:pt>
                <c:pt idx="687">
                  <c:v>#N/A</c:v>
                </c:pt>
                <c:pt idx="688">
                  <c:v>376000</c:v>
                </c:pt>
                <c:pt idx="689">
                  <c:v>412000</c:v>
                </c:pt>
                <c:pt idx="690">
                  <c:v>#N/A</c:v>
                </c:pt>
                <c:pt idx="691">
                  <c:v>#N/A</c:v>
                </c:pt>
                <c:pt idx="692">
                  <c:v>464000</c:v>
                </c:pt>
                <c:pt idx="693">
                  <c:v>#N/A</c:v>
                </c:pt>
                <c:pt idx="694">
                  <c:v>460000</c:v>
                </c:pt>
                <c:pt idx="695">
                  <c:v>385000</c:v>
                </c:pt>
                <c:pt idx="696">
                  <c:v>465000</c:v>
                </c:pt>
                <c:pt idx="697">
                  <c:v>#N/A</c:v>
                </c:pt>
                <c:pt idx="698">
                  <c:v>374000</c:v>
                </c:pt>
                <c:pt idx="699">
                  <c:v>#N/A</c:v>
                </c:pt>
                <c:pt idx="700">
                  <c:v>599000</c:v>
                </c:pt>
                <c:pt idx="701">
                  <c:v>#N/A</c:v>
                </c:pt>
                <c:pt idx="702">
                  <c:v>#N/A</c:v>
                </c:pt>
                <c:pt idx="703">
                  <c:v>#N/A</c:v>
                </c:pt>
                <c:pt idx="704">
                  <c:v>396000</c:v>
                </c:pt>
                <c:pt idx="705">
                  <c:v>#N/A</c:v>
                </c:pt>
                <c:pt idx="706">
                  <c:v>469000</c:v>
                </c:pt>
                <c:pt idx="707">
                  <c:v>#N/A</c:v>
                </c:pt>
                <c:pt idx="708">
                  <c:v>345000</c:v>
                </c:pt>
                <c:pt idx="709">
                  <c:v>#N/A</c:v>
                </c:pt>
                <c:pt idx="710">
                  <c:v>851000</c:v>
                </c:pt>
                <c:pt idx="711">
                  <c:v>#N/A</c:v>
                </c:pt>
                <c:pt idx="712">
                  <c:v>526000</c:v>
                </c:pt>
                <c:pt idx="713">
                  <c:v>#N/A</c:v>
                </c:pt>
                <c:pt idx="714">
                  <c:v>#N/A</c:v>
                </c:pt>
                <c:pt idx="715">
                  <c:v>#N/A</c:v>
                </c:pt>
                <c:pt idx="716">
                  <c:v>#N/A</c:v>
                </c:pt>
                <c:pt idx="717">
                  <c:v>#N/A</c:v>
                </c:pt>
                <c:pt idx="718">
                  <c:v>#N/A</c:v>
                </c:pt>
                <c:pt idx="719">
                  <c:v>380000</c:v>
                </c:pt>
                <c:pt idx="720">
                  <c:v>#N/A</c:v>
                </c:pt>
                <c:pt idx="721">
                  <c:v>#N/A</c:v>
                </c:pt>
                <c:pt idx="722">
                  <c:v>#N/A</c:v>
                </c:pt>
                <c:pt idx="723">
                  <c:v>697000</c:v>
                </c:pt>
                <c:pt idx="724">
                  <c:v>#N/A</c:v>
                </c:pt>
                <c:pt idx="725">
                  <c:v>#N/A</c:v>
                </c:pt>
                <c:pt idx="726">
                  <c:v>#N/A</c:v>
                </c:pt>
                <c:pt idx="727">
                  <c:v>#N/A</c:v>
                </c:pt>
                <c:pt idx="728">
                  <c:v>#N/A</c:v>
                </c:pt>
                <c:pt idx="729">
                  <c:v>378000</c:v>
                </c:pt>
                <c:pt idx="730">
                  <c:v>#N/A</c:v>
                </c:pt>
                <c:pt idx="731">
                  <c:v>#N/A</c:v>
                </c:pt>
                <c:pt idx="732">
                  <c:v>573000</c:v>
                </c:pt>
                <c:pt idx="733">
                  <c:v>740000</c:v>
                </c:pt>
                <c:pt idx="734">
                  <c:v>470000</c:v>
                </c:pt>
                <c:pt idx="735">
                  <c:v>410000</c:v>
                </c:pt>
                <c:pt idx="736">
                  <c:v>#N/A</c:v>
                </c:pt>
                <c:pt idx="737">
                  <c:v>#N/A</c:v>
                </c:pt>
                <c:pt idx="738">
                  <c:v>#N/A</c:v>
                </c:pt>
                <c:pt idx="739">
                  <c:v>231000</c:v>
                </c:pt>
                <c:pt idx="740">
                  <c:v>524000</c:v>
                </c:pt>
                <c:pt idx="741">
                  <c:v>#N/A</c:v>
                </c:pt>
                <c:pt idx="742">
                  <c:v>#N/A</c:v>
                </c:pt>
                <c:pt idx="743">
                  <c:v>415000</c:v>
                </c:pt>
                <c:pt idx="744">
                  <c:v>587000</c:v>
                </c:pt>
                <c:pt idx="745">
                  <c:v>473000</c:v>
                </c:pt>
                <c:pt idx="746">
                  <c:v>#N/A</c:v>
                </c:pt>
                <c:pt idx="747">
                  <c:v>405000</c:v>
                </c:pt>
                <c:pt idx="748">
                  <c:v>655000</c:v>
                </c:pt>
                <c:pt idx="749">
                  <c:v>#N/A</c:v>
                </c:pt>
                <c:pt idx="750">
                  <c:v>630000</c:v>
                </c:pt>
                <c:pt idx="751">
                  <c:v>#N/A</c:v>
                </c:pt>
                <c:pt idx="752">
                  <c:v>624000</c:v>
                </c:pt>
                <c:pt idx="753">
                  <c:v>#N/A</c:v>
                </c:pt>
                <c:pt idx="754">
                  <c:v>491000</c:v>
                </c:pt>
                <c:pt idx="755">
                  <c:v>#N/A</c:v>
                </c:pt>
                <c:pt idx="756">
                  <c:v>#N/A</c:v>
                </c:pt>
                <c:pt idx="757">
                  <c:v>519000</c:v>
                </c:pt>
                <c:pt idx="758">
                  <c:v>448000</c:v>
                </c:pt>
                <c:pt idx="759">
                  <c:v>#N/A</c:v>
                </c:pt>
                <c:pt idx="760">
                  <c:v>#N/A</c:v>
                </c:pt>
                <c:pt idx="761">
                  <c:v>#N/A</c:v>
                </c:pt>
                <c:pt idx="762">
                  <c:v>#N/A</c:v>
                </c:pt>
                <c:pt idx="763">
                  <c:v>#N/A</c:v>
                </c:pt>
                <c:pt idx="764">
                  <c:v>#N/A</c:v>
                </c:pt>
                <c:pt idx="765">
                  <c:v>674000</c:v>
                </c:pt>
                <c:pt idx="766">
                  <c:v>#N/A</c:v>
                </c:pt>
                <c:pt idx="767">
                  <c:v>#N/A</c:v>
                </c:pt>
                <c:pt idx="768">
                  <c:v>#N/A</c:v>
                </c:pt>
                <c:pt idx="769">
                  <c:v>#N/A</c:v>
                </c:pt>
                <c:pt idx="770">
                  <c:v>360000</c:v>
                </c:pt>
                <c:pt idx="771">
                  <c:v>#N/A</c:v>
                </c:pt>
                <c:pt idx="772">
                  <c:v>#N/A</c:v>
                </c:pt>
                <c:pt idx="773">
                  <c:v>#N/A</c:v>
                </c:pt>
                <c:pt idx="774">
                  <c:v>#N/A</c:v>
                </c:pt>
                <c:pt idx="775">
                  <c:v>#N/A</c:v>
                </c:pt>
                <c:pt idx="776">
                  <c:v>#N/A</c:v>
                </c:pt>
                <c:pt idx="777">
                  <c:v>#N/A</c:v>
                </c:pt>
                <c:pt idx="778">
                  <c:v>213000</c:v>
                </c:pt>
                <c:pt idx="779">
                  <c:v>#N/A</c:v>
                </c:pt>
                <c:pt idx="780">
                  <c:v>#N/A</c:v>
                </c:pt>
                <c:pt idx="781">
                  <c:v>#N/A</c:v>
                </c:pt>
                <c:pt idx="782">
                  <c:v>#N/A</c:v>
                </c:pt>
                <c:pt idx="783">
                  <c:v>#N/A</c:v>
                </c:pt>
                <c:pt idx="784">
                  <c:v>#N/A</c:v>
                </c:pt>
                <c:pt idx="785">
                  <c:v>#N/A</c:v>
                </c:pt>
                <c:pt idx="786">
                  <c:v>320000</c:v>
                </c:pt>
                <c:pt idx="787">
                  <c:v>#N/A</c:v>
                </c:pt>
                <c:pt idx="788">
                  <c:v>#N/A</c:v>
                </c:pt>
                <c:pt idx="789">
                  <c:v>#N/A</c:v>
                </c:pt>
                <c:pt idx="790">
                  <c:v>#N/A</c:v>
                </c:pt>
                <c:pt idx="791">
                  <c:v>#N/A</c:v>
                </c:pt>
                <c:pt idx="792">
                  <c:v>#N/A</c:v>
                </c:pt>
                <c:pt idx="793">
                  <c:v>795000</c:v>
                </c:pt>
                <c:pt idx="794">
                  <c:v>583000</c:v>
                </c:pt>
                <c:pt idx="795">
                  <c:v>#N/A</c:v>
                </c:pt>
                <c:pt idx="796">
                  <c:v>#N/A</c:v>
                </c:pt>
                <c:pt idx="797">
                  <c:v>#N/A</c:v>
                </c:pt>
                <c:pt idx="798">
                  <c:v>#N/A</c:v>
                </c:pt>
                <c:pt idx="799">
                  <c:v>383000</c:v>
                </c:pt>
                <c:pt idx="800">
                  <c:v>#N/A</c:v>
                </c:pt>
                <c:pt idx="801">
                  <c:v>#N/A</c:v>
                </c:pt>
                <c:pt idx="802">
                  <c:v>352000</c:v>
                </c:pt>
                <c:pt idx="803">
                  <c:v>#N/A</c:v>
                </c:pt>
                <c:pt idx="804">
                  <c:v>#N/A</c:v>
                </c:pt>
                <c:pt idx="805">
                  <c:v>#N/A</c:v>
                </c:pt>
                <c:pt idx="806">
                  <c:v>#N/A</c:v>
                </c:pt>
                <c:pt idx="807">
                  <c:v>#N/A</c:v>
                </c:pt>
                <c:pt idx="808">
                  <c:v>#N/A</c:v>
                </c:pt>
                <c:pt idx="809">
                  <c:v>508000</c:v>
                </c:pt>
                <c:pt idx="810">
                  <c:v>#N/A</c:v>
                </c:pt>
                <c:pt idx="811">
                  <c:v>#N/A</c:v>
                </c:pt>
                <c:pt idx="812">
                  <c:v>777000</c:v>
                </c:pt>
                <c:pt idx="813">
                  <c:v>#N/A</c:v>
                </c:pt>
                <c:pt idx="814">
                  <c:v>#N/A</c:v>
                </c:pt>
                <c:pt idx="815">
                  <c:v>910000</c:v>
                </c:pt>
                <c:pt idx="816">
                  <c:v>#N/A</c:v>
                </c:pt>
                <c:pt idx="817">
                  <c:v>#N/A</c:v>
                </c:pt>
                <c:pt idx="818">
                  <c:v>408000</c:v>
                </c:pt>
                <c:pt idx="819">
                  <c:v>#N/A</c:v>
                </c:pt>
                <c:pt idx="820">
                  <c:v>#N/A</c:v>
                </c:pt>
                <c:pt idx="821">
                  <c:v>507000</c:v>
                </c:pt>
                <c:pt idx="822">
                  <c:v>342000</c:v>
                </c:pt>
                <c:pt idx="823">
                  <c:v>#N/A</c:v>
                </c:pt>
                <c:pt idx="824">
                  <c:v>#N/A</c:v>
                </c:pt>
                <c:pt idx="825">
                  <c:v>#N/A</c:v>
                </c:pt>
                <c:pt idx="826">
                  <c:v>449000</c:v>
                </c:pt>
                <c:pt idx="827">
                  <c:v>408000</c:v>
                </c:pt>
                <c:pt idx="828">
                  <c:v>708000</c:v>
                </c:pt>
                <c:pt idx="829">
                  <c:v>394000</c:v>
                </c:pt>
                <c:pt idx="830">
                  <c:v>#N/A</c:v>
                </c:pt>
                <c:pt idx="831">
                  <c:v>#N/A</c:v>
                </c:pt>
                <c:pt idx="832">
                  <c:v>586000</c:v>
                </c:pt>
                <c:pt idx="833">
                  <c:v>#N/A</c:v>
                </c:pt>
                <c:pt idx="834">
                  <c:v>341000</c:v>
                </c:pt>
                <c:pt idx="835">
                  <c:v>#N/A</c:v>
                </c:pt>
                <c:pt idx="836">
                  <c:v>#N/A</c:v>
                </c:pt>
                <c:pt idx="837">
                  <c:v>388000</c:v>
                </c:pt>
                <c:pt idx="838">
                  <c:v>467000</c:v>
                </c:pt>
                <c:pt idx="839">
                  <c:v>378000</c:v>
                </c:pt>
                <c:pt idx="840">
                  <c:v>409000</c:v>
                </c:pt>
                <c:pt idx="841">
                  <c:v>443000</c:v>
                </c:pt>
                <c:pt idx="842">
                  <c:v>#N/A</c:v>
                </c:pt>
                <c:pt idx="843">
                  <c:v>621000</c:v>
                </c:pt>
                <c:pt idx="844">
                  <c:v>589000</c:v>
                </c:pt>
                <c:pt idx="845">
                  <c:v>557000</c:v>
                </c:pt>
                <c:pt idx="846">
                  <c:v>#N/A</c:v>
                </c:pt>
                <c:pt idx="847">
                  <c:v>343000</c:v>
                </c:pt>
                <c:pt idx="848">
                  <c:v>#N/A</c:v>
                </c:pt>
                <c:pt idx="849">
                  <c:v>#N/A</c:v>
                </c:pt>
                <c:pt idx="850">
                  <c:v>593000</c:v>
                </c:pt>
                <c:pt idx="851">
                  <c:v>#N/A</c:v>
                </c:pt>
                <c:pt idx="852">
                  <c:v>#N/A</c:v>
                </c:pt>
                <c:pt idx="853">
                  <c:v>#N/A</c:v>
                </c:pt>
                <c:pt idx="854">
                  <c:v>366000</c:v>
                </c:pt>
                <c:pt idx="855">
                  <c:v>#N/A</c:v>
                </c:pt>
                <c:pt idx="856">
                  <c:v>739000</c:v>
                </c:pt>
                <c:pt idx="857">
                  <c:v>594000</c:v>
                </c:pt>
                <c:pt idx="858">
                  <c:v>#N/A</c:v>
                </c:pt>
                <c:pt idx="859">
                  <c:v>#N/A</c:v>
                </c:pt>
                <c:pt idx="860">
                  <c:v>#N/A</c:v>
                </c:pt>
                <c:pt idx="861">
                  <c:v>#N/A</c:v>
                </c:pt>
                <c:pt idx="862">
                  <c:v>510000</c:v>
                </c:pt>
                <c:pt idx="863">
                  <c:v>317000</c:v>
                </c:pt>
                <c:pt idx="864">
                  <c:v>#N/A</c:v>
                </c:pt>
                <c:pt idx="865">
                  <c:v>532000</c:v>
                </c:pt>
                <c:pt idx="866">
                  <c:v>#N/A</c:v>
                </c:pt>
                <c:pt idx="867">
                  <c:v>291000</c:v>
                </c:pt>
                <c:pt idx="868">
                  <c:v>#N/A</c:v>
                </c:pt>
                <c:pt idx="869">
                  <c:v>#N/A</c:v>
                </c:pt>
                <c:pt idx="870">
                  <c:v>645000</c:v>
                </c:pt>
                <c:pt idx="871">
                  <c:v>#N/A</c:v>
                </c:pt>
                <c:pt idx="872">
                  <c:v>717000</c:v>
                </c:pt>
                <c:pt idx="873">
                  <c:v>419000</c:v>
                </c:pt>
                <c:pt idx="874">
                  <c:v>532000</c:v>
                </c:pt>
                <c:pt idx="875">
                  <c:v>#N/A</c:v>
                </c:pt>
                <c:pt idx="876">
                  <c:v>806000</c:v>
                </c:pt>
                <c:pt idx="877">
                  <c:v>#N/A</c:v>
                </c:pt>
                <c:pt idx="878">
                  <c:v>#N/A</c:v>
                </c:pt>
                <c:pt idx="879">
                  <c:v>#N/A</c:v>
                </c:pt>
                <c:pt idx="880">
                  <c:v>409000</c:v>
                </c:pt>
                <c:pt idx="881">
                  <c:v>#N/A</c:v>
                </c:pt>
                <c:pt idx="882">
                  <c:v>632000</c:v>
                </c:pt>
                <c:pt idx="883">
                  <c:v>388000</c:v>
                </c:pt>
                <c:pt idx="884">
                  <c:v>#N/A</c:v>
                </c:pt>
                <c:pt idx="885">
                  <c:v>#N/A</c:v>
                </c:pt>
                <c:pt idx="886">
                  <c:v>#N/A</c:v>
                </c:pt>
                <c:pt idx="887">
                  <c:v>#N/A</c:v>
                </c:pt>
                <c:pt idx="888">
                  <c:v>#N/A</c:v>
                </c:pt>
                <c:pt idx="889">
                  <c:v>#N/A</c:v>
                </c:pt>
                <c:pt idx="890">
                  <c:v>#N/A</c:v>
                </c:pt>
                <c:pt idx="891">
                  <c:v>308000</c:v>
                </c:pt>
                <c:pt idx="892">
                  <c:v>518000</c:v>
                </c:pt>
                <c:pt idx="893">
                  <c:v>#N/A</c:v>
                </c:pt>
                <c:pt idx="894">
                  <c:v>#N/A</c:v>
                </c:pt>
                <c:pt idx="895">
                  <c:v>329000</c:v>
                </c:pt>
                <c:pt idx="896">
                  <c:v>608000</c:v>
                </c:pt>
                <c:pt idx="897">
                  <c:v>#N/A</c:v>
                </c:pt>
                <c:pt idx="898">
                  <c:v>651000</c:v>
                </c:pt>
                <c:pt idx="899">
                  <c:v>#N/A</c:v>
                </c:pt>
                <c:pt idx="900">
                  <c:v>#N/A</c:v>
                </c:pt>
                <c:pt idx="901">
                  <c:v>373000</c:v>
                </c:pt>
                <c:pt idx="902">
                  <c:v>401000</c:v>
                </c:pt>
                <c:pt idx="903">
                  <c:v>493000</c:v>
                </c:pt>
                <c:pt idx="904">
                  <c:v>#N/A</c:v>
                </c:pt>
                <c:pt idx="905">
                  <c:v>#N/A</c:v>
                </c:pt>
                <c:pt idx="906">
                  <c:v>#N/A</c:v>
                </c:pt>
                <c:pt idx="907">
                  <c:v>#N/A</c:v>
                </c:pt>
                <c:pt idx="908">
                  <c:v>#N/A</c:v>
                </c:pt>
                <c:pt idx="909">
                  <c:v>532000</c:v>
                </c:pt>
                <c:pt idx="910">
                  <c:v>#N/A</c:v>
                </c:pt>
                <c:pt idx="911">
                  <c:v>#N/A</c:v>
                </c:pt>
                <c:pt idx="912">
                  <c:v>178000</c:v>
                </c:pt>
                <c:pt idx="913">
                  <c:v>#N/A</c:v>
                </c:pt>
                <c:pt idx="914">
                  <c:v>#N/A</c:v>
                </c:pt>
                <c:pt idx="915">
                  <c:v>411000</c:v>
                </c:pt>
                <c:pt idx="916">
                  <c:v>858000</c:v>
                </c:pt>
                <c:pt idx="917">
                  <c:v>#N/A</c:v>
                </c:pt>
                <c:pt idx="918">
                  <c:v>#N/A</c:v>
                </c:pt>
                <c:pt idx="919">
                  <c:v>#N/A</c:v>
                </c:pt>
                <c:pt idx="920">
                  <c:v>#N/A</c:v>
                </c:pt>
                <c:pt idx="921">
                  <c:v>419000</c:v>
                </c:pt>
                <c:pt idx="922">
                  <c:v>#N/A</c:v>
                </c:pt>
                <c:pt idx="923">
                  <c:v>#N/A</c:v>
                </c:pt>
                <c:pt idx="924">
                  <c:v>#N/A</c:v>
                </c:pt>
                <c:pt idx="925">
                  <c:v>#N/A</c:v>
                </c:pt>
                <c:pt idx="926">
                  <c:v>#N/A</c:v>
                </c:pt>
                <c:pt idx="927">
                  <c:v>494000</c:v>
                </c:pt>
                <c:pt idx="928">
                  <c:v>#N/A</c:v>
                </c:pt>
                <c:pt idx="929">
                  <c:v>#N/A</c:v>
                </c:pt>
                <c:pt idx="930">
                  <c:v>#N/A</c:v>
                </c:pt>
                <c:pt idx="931">
                  <c:v>749000</c:v>
                </c:pt>
                <c:pt idx="932">
                  <c:v>#N/A</c:v>
                </c:pt>
                <c:pt idx="933">
                  <c:v>423000</c:v>
                </c:pt>
                <c:pt idx="934">
                  <c:v>729000</c:v>
                </c:pt>
                <c:pt idx="935">
                  <c:v>460000</c:v>
                </c:pt>
                <c:pt idx="936">
                  <c:v>#N/A</c:v>
                </c:pt>
                <c:pt idx="937">
                  <c:v>#N/A</c:v>
                </c:pt>
                <c:pt idx="938">
                  <c:v>#N/A</c:v>
                </c:pt>
                <c:pt idx="939">
                  <c:v>#N/A</c:v>
                </c:pt>
                <c:pt idx="940">
                  <c:v>#N/A</c:v>
                </c:pt>
                <c:pt idx="941">
                  <c:v>#N/A</c:v>
                </c:pt>
                <c:pt idx="942">
                  <c:v>#N/A</c:v>
                </c:pt>
                <c:pt idx="943">
                  <c:v>#N/A</c:v>
                </c:pt>
                <c:pt idx="944">
                  <c:v>645000</c:v>
                </c:pt>
                <c:pt idx="945">
                  <c:v>645000</c:v>
                </c:pt>
                <c:pt idx="946">
                  <c:v>#N/A</c:v>
                </c:pt>
                <c:pt idx="947">
                  <c:v>452000</c:v>
                </c:pt>
                <c:pt idx="948">
                  <c:v>488000</c:v>
                </c:pt>
                <c:pt idx="949">
                  <c:v>#N/A</c:v>
                </c:pt>
                <c:pt idx="950">
                  <c:v>#N/A</c:v>
                </c:pt>
                <c:pt idx="951">
                  <c:v>#N/A</c:v>
                </c:pt>
                <c:pt idx="952">
                  <c:v>#N/A</c:v>
                </c:pt>
                <c:pt idx="953">
                  <c:v>708000</c:v>
                </c:pt>
                <c:pt idx="954">
                  <c:v>#N/A</c:v>
                </c:pt>
                <c:pt idx="955">
                  <c:v>#N/A</c:v>
                </c:pt>
                <c:pt idx="956">
                  <c:v>#N/A</c:v>
                </c:pt>
                <c:pt idx="957">
                  <c:v>475000</c:v>
                </c:pt>
                <c:pt idx="958">
                  <c:v>#N/A</c:v>
                </c:pt>
                <c:pt idx="959">
                  <c:v>#N/A</c:v>
                </c:pt>
                <c:pt idx="960">
                  <c:v>#N/A</c:v>
                </c:pt>
                <c:pt idx="961">
                  <c:v>455000</c:v>
                </c:pt>
                <c:pt idx="962">
                  <c:v>#N/A</c:v>
                </c:pt>
                <c:pt idx="963">
                  <c:v>#N/A</c:v>
                </c:pt>
                <c:pt idx="964">
                  <c:v>#N/A</c:v>
                </c:pt>
                <c:pt idx="965">
                  <c:v>#N/A</c:v>
                </c:pt>
                <c:pt idx="966">
                  <c:v>#N/A</c:v>
                </c:pt>
                <c:pt idx="967">
                  <c:v>508000</c:v>
                </c:pt>
                <c:pt idx="968">
                  <c:v>329000</c:v>
                </c:pt>
                <c:pt idx="969">
                  <c:v>426000</c:v>
                </c:pt>
                <c:pt idx="970">
                  <c:v>403000</c:v>
                </c:pt>
                <c:pt idx="971">
                  <c:v>#N/A</c:v>
                </c:pt>
                <c:pt idx="972">
                  <c:v>503000</c:v>
                </c:pt>
                <c:pt idx="973">
                  <c:v>#N/A</c:v>
                </c:pt>
                <c:pt idx="974">
                  <c:v>#N/A</c:v>
                </c:pt>
                <c:pt idx="975">
                  <c:v>472000</c:v>
                </c:pt>
                <c:pt idx="976">
                  <c:v>984000</c:v>
                </c:pt>
                <c:pt idx="977">
                  <c:v>#N/A</c:v>
                </c:pt>
                <c:pt idx="978">
                  <c:v>#N/A</c:v>
                </c:pt>
                <c:pt idx="979">
                  <c:v>396000</c:v>
                </c:pt>
                <c:pt idx="980">
                  <c:v>#N/A</c:v>
                </c:pt>
                <c:pt idx="981">
                  <c:v>555000</c:v>
                </c:pt>
                <c:pt idx="982">
                  <c:v>#N/A</c:v>
                </c:pt>
                <c:pt idx="983">
                  <c:v>699000</c:v>
                </c:pt>
                <c:pt idx="984">
                  <c:v>#N/A</c:v>
                </c:pt>
                <c:pt idx="985">
                  <c:v>308000</c:v>
                </c:pt>
                <c:pt idx="986">
                  <c:v>#N/A</c:v>
                </c:pt>
                <c:pt idx="987">
                  <c:v>630000</c:v>
                </c:pt>
                <c:pt idx="988">
                  <c:v>#N/A</c:v>
                </c:pt>
                <c:pt idx="989">
                  <c:v>#N/A</c:v>
                </c:pt>
                <c:pt idx="990">
                  <c:v>685000</c:v>
                </c:pt>
                <c:pt idx="991">
                  <c:v>390000</c:v>
                </c:pt>
                <c:pt idx="992">
                  <c:v>#N/A</c:v>
                </c:pt>
                <c:pt idx="993">
                  <c:v>#N/A</c:v>
                </c:pt>
                <c:pt idx="994">
                  <c:v>923000</c:v>
                </c:pt>
                <c:pt idx="995">
                  <c:v>#N/A</c:v>
                </c:pt>
                <c:pt idx="996">
                  <c:v>483000</c:v>
                </c:pt>
                <c:pt idx="997">
                  <c:v>#N/A</c:v>
                </c:pt>
                <c:pt idx="998">
                  <c:v>#N/A</c:v>
                </c:pt>
                <c:pt idx="999">
                  <c:v>#N/A</c:v>
                </c:pt>
                <c:pt idx="1000">
                  <c:v>#N/A</c:v>
                </c:pt>
                <c:pt idx="1001">
                  <c:v>#N/A</c:v>
                </c:pt>
                <c:pt idx="1002">
                  <c:v>#N/A</c:v>
                </c:pt>
                <c:pt idx="1003">
                  <c:v>232000</c:v>
                </c:pt>
                <c:pt idx="1004">
                  <c:v>#N/A</c:v>
                </c:pt>
                <c:pt idx="1005">
                  <c:v>#N/A</c:v>
                </c:pt>
                <c:pt idx="1006">
                  <c:v>#N/A</c:v>
                </c:pt>
                <c:pt idx="1007">
                  <c:v>916000</c:v>
                </c:pt>
                <c:pt idx="1008">
                  <c:v>#N/A</c:v>
                </c:pt>
                <c:pt idx="1009">
                  <c:v>#N/A</c:v>
                </c:pt>
                <c:pt idx="1010">
                  <c:v>234000</c:v>
                </c:pt>
                <c:pt idx="1011">
                  <c:v>#N/A</c:v>
                </c:pt>
                <c:pt idx="1012">
                  <c:v>654000</c:v>
                </c:pt>
                <c:pt idx="1013">
                  <c:v>#N/A</c:v>
                </c:pt>
                <c:pt idx="1014">
                  <c:v>788000</c:v>
                </c:pt>
                <c:pt idx="1015">
                  <c:v>382000</c:v>
                </c:pt>
                <c:pt idx="1016">
                  <c:v>#N/A</c:v>
                </c:pt>
                <c:pt idx="1017">
                  <c:v>#N/A</c:v>
                </c:pt>
                <c:pt idx="1018">
                  <c:v>445000</c:v>
                </c:pt>
                <c:pt idx="1019">
                  <c:v>#N/A</c:v>
                </c:pt>
                <c:pt idx="1020">
                  <c:v>#N/A</c:v>
                </c:pt>
                <c:pt idx="1021">
                  <c:v>#N/A</c:v>
                </c:pt>
                <c:pt idx="1022">
                  <c:v>296000</c:v>
                </c:pt>
                <c:pt idx="1023">
                  <c:v>#N/A</c:v>
                </c:pt>
                <c:pt idx="1024">
                  <c:v>#N/A</c:v>
                </c:pt>
                <c:pt idx="1025">
                  <c:v>#N/A</c:v>
                </c:pt>
                <c:pt idx="1026">
                  <c:v>660000</c:v>
                </c:pt>
                <c:pt idx="1027">
                  <c:v>#N/A</c:v>
                </c:pt>
                <c:pt idx="1028">
                  <c:v>406000</c:v>
                </c:pt>
                <c:pt idx="1029">
                  <c:v>730000</c:v>
                </c:pt>
                <c:pt idx="1030">
                  <c:v>368000</c:v>
                </c:pt>
                <c:pt idx="1031">
                  <c:v>461000</c:v>
                </c:pt>
                <c:pt idx="1032">
                  <c:v>395000</c:v>
                </c:pt>
                <c:pt idx="1033">
                  <c:v>#N/A</c:v>
                </c:pt>
                <c:pt idx="1034">
                  <c:v>#N/A</c:v>
                </c:pt>
                <c:pt idx="1035">
                  <c:v>405000</c:v>
                </c:pt>
                <c:pt idx="1036">
                  <c:v>433000</c:v>
                </c:pt>
                <c:pt idx="1037">
                  <c:v>603000</c:v>
                </c:pt>
                <c:pt idx="1038">
                  <c:v>561000</c:v>
                </c:pt>
                <c:pt idx="1039">
                  <c:v>#N/A</c:v>
                </c:pt>
                <c:pt idx="1040">
                  <c:v>372000</c:v>
                </c:pt>
                <c:pt idx="1041">
                  <c:v>#N/A</c:v>
                </c:pt>
                <c:pt idx="1042">
                  <c:v>#N/A</c:v>
                </c:pt>
                <c:pt idx="1043">
                  <c:v>#N/A</c:v>
                </c:pt>
                <c:pt idx="1044">
                  <c:v>508000</c:v>
                </c:pt>
                <c:pt idx="1045">
                  <c:v>#N/A</c:v>
                </c:pt>
                <c:pt idx="1046">
                  <c:v>501000</c:v>
                </c:pt>
                <c:pt idx="1047">
                  <c:v>#N/A</c:v>
                </c:pt>
                <c:pt idx="1048">
                  <c:v>753000</c:v>
                </c:pt>
                <c:pt idx="1049">
                  <c:v>#N/A</c:v>
                </c:pt>
                <c:pt idx="1050">
                  <c:v>425000</c:v>
                </c:pt>
                <c:pt idx="1051">
                  <c:v>#N/A</c:v>
                </c:pt>
                <c:pt idx="1052">
                  <c:v>273000</c:v>
                </c:pt>
                <c:pt idx="1053">
                  <c:v>631000</c:v>
                </c:pt>
                <c:pt idx="1054">
                  <c:v>#N/A</c:v>
                </c:pt>
                <c:pt idx="1055">
                  <c:v>#N/A</c:v>
                </c:pt>
                <c:pt idx="1056">
                  <c:v>381000</c:v>
                </c:pt>
                <c:pt idx="1057">
                  <c:v>337000</c:v>
                </c:pt>
                <c:pt idx="1058">
                  <c:v>618000</c:v>
                </c:pt>
                <c:pt idx="1059">
                  <c:v>672000</c:v>
                </c:pt>
                <c:pt idx="1060">
                  <c:v>#N/A</c:v>
                </c:pt>
                <c:pt idx="1061">
                  <c:v>#N/A</c:v>
                </c:pt>
                <c:pt idx="1062">
                  <c:v>708000</c:v>
                </c:pt>
                <c:pt idx="1063">
                  <c:v>580000</c:v>
                </c:pt>
                <c:pt idx="1064">
                  <c:v>#N/A</c:v>
                </c:pt>
                <c:pt idx="1065">
                  <c:v>398000</c:v>
                </c:pt>
                <c:pt idx="1066">
                  <c:v>#N/A</c:v>
                </c:pt>
                <c:pt idx="1067">
                  <c:v>428000</c:v>
                </c:pt>
                <c:pt idx="1068">
                  <c:v>#N/A</c:v>
                </c:pt>
                <c:pt idx="1069">
                  <c:v>631000</c:v>
                </c:pt>
                <c:pt idx="1070">
                  <c:v>#N/A</c:v>
                </c:pt>
                <c:pt idx="1071">
                  <c:v>263000</c:v>
                </c:pt>
                <c:pt idx="1072">
                  <c:v>#N/A</c:v>
                </c:pt>
                <c:pt idx="1073">
                  <c:v>474000</c:v>
                </c:pt>
                <c:pt idx="1074">
                  <c:v>#N/A</c:v>
                </c:pt>
                <c:pt idx="1075">
                  <c:v>327000</c:v>
                </c:pt>
                <c:pt idx="1076">
                  <c:v>360000</c:v>
                </c:pt>
                <c:pt idx="1077">
                  <c:v>#N/A</c:v>
                </c:pt>
                <c:pt idx="1078">
                  <c:v>#N/A</c:v>
                </c:pt>
                <c:pt idx="1079">
                  <c:v>#N/A</c:v>
                </c:pt>
                <c:pt idx="1080">
                  <c:v>#N/A</c:v>
                </c:pt>
                <c:pt idx="1081">
                  <c:v>#N/A</c:v>
                </c:pt>
                <c:pt idx="1082">
                  <c:v>731000</c:v>
                </c:pt>
                <c:pt idx="1083">
                  <c:v>#N/A</c:v>
                </c:pt>
                <c:pt idx="1084">
                  <c:v>#N/A</c:v>
                </c:pt>
                <c:pt idx="1085">
                  <c:v>#N/A</c:v>
                </c:pt>
                <c:pt idx="1086">
                  <c:v>#N/A</c:v>
                </c:pt>
                <c:pt idx="1087">
                  <c:v>410000</c:v>
                </c:pt>
                <c:pt idx="1088">
                  <c:v>#N/A</c:v>
                </c:pt>
                <c:pt idx="1089">
                  <c:v>672000</c:v>
                </c:pt>
                <c:pt idx="1090">
                  <c:v>#N/A</c:v>
                </c:pt>
                <c:pt idx="1091">
                  <c:v>#N/A</c:v>
                </c:pt>
                <c:pt idx="1092">
                  <c:v>#N/A</c:v>
                </c:pt>
                <c:pt idx="1093">
                  <c:v>#N/A</c:v>
                </c:pt>
                <c:pt idx="1094">
                  <c:v>#N/A</c:v>
                </c:pt>
                <c:pt idx="1095">
                  <c:v>#N/A</c:v>
                </c:pt>
                <c:pt idx="1096">
                  <c:v>#N/A</c:v>
                </c:pt>
                <c:pt idx="1097">
                  <c:v>#N/A</c:v>
                </c:pt>
                <c:pt idx="1098">
                  <c:v>#N/A</c:v>
                </c:pt>
                <c:pt idx="1099">
                  <c:v>375000</c:v>
                </c:pt>
                <c:pt idx="1100">
                  <c:v>#N/A</c:v>
                </c:pt>
                <c:pt idx="1101">
                  <c:v>457000</c:v>
                </c:pt>
                <c:pt idx="1102">
                  <c:v>#N/A</c:v>
                </c:pt>
                <c:pt idx="1103">
                  <c:v>#N/A</c:v>
                </c:pt>
                <c:pt idx="1104">
                  <c:v>#N/A</c:v>
                </c:pt>
                <c:pt idx="1105">
                  <c:v>694000</c:v>
                </c:pt>
                <c:pt idx="1106">
                  <c:v>407000</c:v>
                </c:pt>
                <c:pt idx="1107">
                  <c:v>520000</c:v>
                </c:pt>
                <c:pt idx="1108">
                  <c:v>558000</c:v>
                </c:pt>
                <c:pt idx="1109">
                  <c:v>#N/A</c:v>
                </c:pt>
                <c:pt idx="1110">
                  <c:v>#N/A</c:v>
                </c:pt>
                <c:pt idx="1111">
                  <c:v>#N/A</c:v>
                </c:pt>
                <c:pt idx="1112">
                  <c:v>#N/A</c:v>
                </c:pt>
                <c:pt idx="1113">
                  <c:v>#N/A</c:v>
                </c:pt>
                <c:pt idx="1114">
                  <c:v>431000</c:v>
                </c:pt>
                <c:pt idx="1115">
                  <c:v>#N/A</c:v>
                </c:pt>
                <c:pt idx="1116">
                  <c:v>#N/A</c:v>
                </c:pt>
                <c:pt idx="1117">
                  <c:v>#N/A</c:v>
                </c:pt>
                <c:pt idx="1118">
                  <c:v>409000</c:v>
                </c:pt>
                <c:pt idx="1119">
                  <c:v>866000</c:v>
                </c:pt>
                <c:pt idx="1120">
                  <c:v>#N/A</c:v>
                </c:pt>
                <c:pt idx="1121">
                  <c:v>#N/A</c:v>
                </c:pt>
                <c:pt idx="1122">
                  <c:v>465000</c:v>
                </c:pt>
                <c:pt idx="1123">
                  <c:v>445000</c:v>
                </c:pt>
                <c:pt idx="1124">
                  <c:v>#N/A</c:v>
                </c:pt>
                <c:pt idx="1125">
                  <c:v>365000</c:v>
                </c:pt>
                <c:pt idx="1126">
                  <c:v>715000</c:v>
                </c:pt>
                <c:pt idx="1127">
                  <c:v>741000</c:v>
                </c:pt>
                <c:pt idx="1128">
                  <c:v>#N/A</c:v>
                </c:pt>
                <c:pt idx="1129">
                  <c:v>#N/A</c:v>
                </c:pt>
                <c:pt idx="1130">
                  <c:v>#N/A</c:v>
                </c:pt>
                <c:pt idx="1131">
                  <c:v>461000</c:v>
                </c:pt>
                <c:pt idx="1132">
                  <c:v>#N/A</c:v>
                </c:pt>
                <c:pt idx="1133">
                  <c:v>359000</c:v>
                </c:pt>
                <c:pt idx="1134">
                  <c:v>#N/A</c:v>
                </c:pt>
                <c:pt idx="1135">
                  <c:v>#N/A</c:v>
                </c:pt>
                <c:pt idx="1136">
                  <c:v>#N/A</c:v>
                </c:pt>
                <c:pt idx="1137">
                  <c:v>#N/A</c:v>
                </c:pt>
                <c:pt idx="1138">
                  <c:v>#N/A</c:v>
                </c:pt>
                <c:pt idx="1139">
                  <c:v>356000</c:v>
                </c:pt>
                <c:pt idx="1140">
                  <c:v>486000</c:v>
                </c:pt>
                <c:pt idx="1141">
                  <c:v>613000</c:v>
                </c:pt>
                <c:pt idx="1142">
                  <c:v>#N/A</c:v>
                </c:pt>
                <c:pt idx="1143">
                  <c:v>#N/A</c:v>
                </c:pt>
                <c:pt idx="1144">
                  <c:v>#N/A</c:v>
                </c:pt>
                <c:pt idx="1145">
                  <c:v>#N/A</c:v>
                </c:pt>
                <c:pt idx="1146">
                  <c:v>442000</c:v>
                </c:pt>
                <c:pt idx="1147">
                  <c:v>514000</c:v>
                </c:pt>
                <c:pt idx="1148">
                  <c:v>#N/A</c:v>
                </c:pt>
                <c:pt idx="1149">
                  <c:v>#N/A</c:v>
                </c:pt>
                <c:pt idx="1150">
                  <c:v>#N/A</c:v>
                </c:pt>
                <c:pt idx="1151">
                  <c:v>#N/A</c:v>
                </c:pt>
                <c:pt idx="1152">
                  <c:v>#N/A</c:v>
                </c:pt>
                <c:pt idx="1153">
                  <c:v>#N/A</c:v>
                </c:pt>
                <c:pt idx="1154">
                  <c:v>#N/A</c:v>
                </c:pt>
                <c:pt idx="1155">
                  <c:v>#N/A</c:v>
                </c:pt>
                <c:pt idx="1156">
                  <c:v>#N/A</c:v>
                </c:pt>
                <c:pt idx="1157">
                  <c:v>#N/A</c:v>
                </c:pt>
                <c:pt idx="1158">
                  <c:v>#N/A</c:v>
                </c:pt>
                <c:pt idx="1159">
                  <c:v>423000</c:v>
                </c:pt>
                <c:pt idx="1160">
                  <c:v>335000</c:v>
                </c:pt>
                <c:pt idx="1161">
                  <c:v>#N/A</c:v>
                </c:pt>
                <c:pt idx="1162">
                  <c:v>#N/A</c:v>
                </c:pt>
                <c:pt idx="1163">
                  <c:v>579000</c:v>
                </c:pt>
                <c:pt idx="1164">
                  <c:v>#N/A</c:v>
                </c:pt>
                <c:pt idx="1165">
                  <c:v>#N/A</c:v>
                </c:pt>
                <c:pt idx="1166">
                  <c:v>425000</c:v>
                </c:pt>
                <c:pt idx="1167">
                  <c:v>#N/A</c:v>
                </c:pt>
                <c:pt idx="1168">
                  <c:v>460000</c:v>
                </c:pt>
                <c:pt idx="1169">
                  <c:v>351000</c:v>
                </c:pt>
                <c:pt idx="1170">
                  <c:v>549000</c:v>
                </c:pt>
                <c:pt idx="1171">
                  <c:v>#N/A</c:v>
                </c:pt>
                <c:pt idx="1172">
                  <c:v>457000</c:v>
                </c:pt>
                <c:pt idx="1173">
                  <c:v>#N/A</c:v>
                </c:pt>
                <c:pt idx="1174">
                  <c:v>498000</c:v>
                </c:pt>
                <c:pt idx="1175">
                  <c:v>811000</c:v>
                </c:pt>
                <c:pt idx="1176">
                  <c:v>#N/A</c:v>
                </c:pt>
                <c:pt idx="1177">
                  <c:v>#N/A</c:v>
                </c:pt>
                <c:pt idx="1178">
                  <c:v>#N/A</c:v>
                </c:pt>
                <c:pt idx="1179">
                  <c:v>#N/A</c:v>
                </c:pt>
                <c:pt idx="1180">
                  <c:v>623000</c:v>
                </c:pt>
                <c:pt idx="1181">
                  <c:v>541000</c:v>
                </c:pt>
                <c:pt idx="1182">
                  <c:v>454000</c:v>
                </c:pt>
                <c:pt idx="1183">
                  <c:v>361000</c:v>
                </c:pt>
                <c:pt idx="1184">
                  <c:v>#N/A</c:v>
                </c:pt>
                <c:pt idx="1185">
                  <c:v>#N/A</c:v>
                </c:pt>
                <c:pt idx="1186">
                  <c:v>#N/A</c:v>
                </c:pt>
                <c:pt idx="1187">
                  <c:v>#N/A</c:v>
                </c:pt>
                <c:pt idx="1188">
                  <c:v>#N/A</c:v>
                </c:pt>
                <c:pt idx="1189">
                  <c:v>#N/A</c:v>
                </c:pt>
                <c:pt idx="1190">
                  <c:v>344000</c:v>
                </c:pt>
                <c:pt idx="1191">
                  <c:v>#N/A</c:v>
                </c:pt>
                <c:pt idx="1192">
                  <c:v>#N/A</c:v>
                </c:pt>
                <c:pt idx="1193">
                  <c:v>#N/A</c:v>
                </c:pt>
                <c:pt idx="1194">
                  <c:v>#N/A</c:v>
                </c:pt>
                <c:pt idx="1195">
                  <c:v>437000</c:v>
                </c:pt>
                <c:pt idx="1196">
                  <c:v>#N/A</c:v>
                </c:pt>
                <c:pt idx="1197">
                  <c:v>#N/A</c:v>
                </c:pt>
                <c:pt idx="1198">
                  <c:v>405000</c:v>
                </c:pt>
                <c:pt idx="1199">
                  <c:v>#N/A</c:v>
                </c:pt>
                <c:pt idx="1200">
                  <c:v>#N/A</c:v>
                </c:pt>
              </c:numCache>
            </c:numRef>
          </c:yVal>
          <c:smooth val="0"/>
          <c:extLst>
            <c:ext xmlns:c16="http://schemas.microsoft.com/office/drawing/2014/chart" uri="{C3380CC4-5D6E-409C-BE32-E72D297353CC}">
              <c16:uniqueId val="{00000001-E68E-A849-803B-7832E31AC732}"/>
            </c:ext>
          </c:extLst>
        </c:ser>
        <c:ser>
          <c:idx val="2"/>
          <c:order val="2"/>
          <c:tx>
            <c:v>Duplex</c:v>
          </c:tx>
          <c:spPr>
            <a:ln w="25400" cap="rnd">
              <a:noFill/>
              <a:round/>
            </a:ln>
            <a:effectLst/>
          </c:spPr>
          <c:marker>
            <c:symbol val="circle"/>
            <c:size val="5"/>
            <c:spPr>
              <a:solidFill>
                <a:schemeClr val="accent3"/>
              </a:solidFill>
              <a:ln w="9525">
                <a:solidFill>
                  <a:schemeClr val="accent3"/>
                </a:solidFill>
              </a:ln>
              <a:effectLst/>
            </c:spPr>
          </c:marker>
          <c:xVal>
            <c:strRef>
              <c:f>riyadh_realestate_dataset!$U:$U</c:f>
              <c:strCache>
                <c:ptCount val="1201"/>
                <c:pt idx="0">
                  <c:v>duplex_area</c:v>
                </c:pt>
                <c:pt idx="1">
                  <c:v>#N/A</c:v>
                </c:pt>
                <c:pt idx="2">
                  <c:v>#N/A</c:v>
                </c:pt>
                <c:pt idx="3">
                  <c:v>268</c:v>
                </c:pt>
                <c:pt idx="4">
                  <c:v>#N/A</c:v>
                </c:pt>
                <c:pt idx="5">
                  <c:v>#N/A</c:v>
                </c:pt>
                <c:pt idx="6">
                  <c:v>#N/A</c:v>
                </c:pt>
                <c:pt idx="7">
                  <c:v>#N/A</c:v>
                </c:pt>
                <c:pt idx="8">
                  <c:v>#N/A</c:v>
                </c:pt>
                <c:pt idx="9">
                  <c:v>#N/A</c:v>
                </c:pt>
                <c:pt idx="10">
                  <c:v>184</c:v>
                </c:pt>
                <c:pt idx="11">
                  <c:v>229</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256</c:v>
                </c:pt>
                <c:pt idx="40">
                  <c:v>271</c:v>
                </c:pt>
                <c:pt idx="41">
                  <c:v>#N/A</c:v>
                </c:pt>
                <c:pt idx="42">
                  <c:v>348</c:v>
                </c:pt>
                <c:pt idx="43">
                  <c:v>#N/A</c:v>
                </c:pt>
                <c:pt idx="44">
                  <c:v>#N/A</c:v>
                </c:pt>
                <c:pt idx="45">
                  <c:v>#N/A</c:v>
                </c:pt>
                <c:pt idx="46">
                  <c:v>#N/A</c:v>
                </c:pt>
                <c:pt idx="47">
                  <c:v>#N/A</c:v>
                </c:pt>
                <c:pt idx="48">
                  <c:v>265</c:v>
                </c:pt>
                <c:pt idx="49">
                  <c:v>#N/A</c:v>
                </c:pt>
                <c:pt idx="50">
                  <c:v>#N/A</c:v>
                </c:pt>
                <c:pt idx="51">
                  <c:v>#N/A</c:v>
                </c:pt>
                <c:pt idx="52">
                  <c:v>255</c:v>
                </c:pt>
                <c:pt idx="53">
                  <c:v>#N/A</c:v>
                </c:pt>
                <c:pt idx="54">
                  <c:v>#N/A</c:v>
                </c:pt>
                <c:pt idx="55">
                  <c:v>285</c:v>
                </c:pt>
                <c:pt idx="56">
                  <c:v>#N/A</c:v>
                </c:pt>
                <c:pt idx="57">
                  <c:v>#N/A</c:v>
                </c:pt>
                <c:pt idx="58">
                  <c:v>#N/A</c:v>
                </c:pt>
                <c:pt idx="59">
                  <c:v>#N/A</c:v>
                </c:pt>
                <c:pt idx="60">
                  <c:v>#N/A</c:v>
                </c:pt>
                <c:pt idx="61">
                  <c:v>#N/A</c:v>
                </c:pt>
                <c:pt idx="62">
                  <c:v>#N/A</c:v>
                </c:pt>
                <c:pt idx="63">
                  <c:v>#N/A</c:v>
                </c:pt>
                <c:pt idx="64">
                  <c:v>#N/A</c:v>
                </c:pt>
                <c:pt idx="65">
                  <c:v>#N/A</c:v>
                </c:pt>
                <c:pt idx="66">
                  <c:v>#N/A</c:v>
                </c:pt>
                <c:pt idx="67">
                  <c:v>184</c:v>
                </c:pt>
                <c:pt idx="68">
                  <c:v>#N/A</c:v>
                </c:pt>
                <c:pt idx="69">
                  <c:v>#N/A</c:v>
                </c:pt>
                <c:pt idx="70">
                  <c:v>#N/A</c:v>
                </c:pt>
                <c:pt idx="71">
                  <c:v>#N/A</c:v>
                </c:pt>
                <c:pt idx="72">
                  <c:v>295</c:v>
                </c:pt>
                <c:pt idx="73">
                  <c:v>#N/A</c:v>
                </c:pt>
                <c:pt idx="74">
                  <c:v>#N/A</c:v>
                </c:pt>
                <c:pt idx="75">
                  <c:v>#N/A</c:v>
                </c:pt>
                <c:pt idx="76">
                  <c:v>#N/A</c:v>
                </c:pt>
                <c:pt idx="77">
                  <c:v>230</c:v>
                </c:pt>
                <c:pt idx="78">
                  <c:v>#N/A</c:v>
                </c:pt>
                <c:pt idx="79">
                  <c:v>#N/A</c:v>
                </c:pt>
                <c:pt idx="80">
                  <c:v>#N/A</c:v>
                </c:pt>
                <c:pt idx="81">
                  <c:v>#N/A</c:v>
                </c:pt>
                <c:pt idx="82">
                  <c:v>#N/A</c:v>
                </c:pt>
                <c:pt idx="83">
                  <c:v>#N/A</c:v>
                </c:pt>
                <c:pt idx="84">
                  <c:v>#N/A</c:v>
                </c:pt>
                <c:pt idx="85">
                  <c:v>#N/A</c:v>
                </c:pt>
                <c:pt idx="86">
                  <c:v>218</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319</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238</c:v>
                </c:pt>
                <c:pt idx="118">
                  <c:v>#N/A</c:v>
                </c:pt>
                <c:pt idx="119">
                  <c:v>291</c:v>
                </c:pt>
                <c:pt idx="120">
                  <c:v>#N/A</c:v>
                </c:pt>
                <c:pt idx="121">
                  <c:v>#N/A</c:v>
                </c:pt>
                <c:pt idx="122">
                  <c:v>#N/A</c:v>
                </c:pt>
                <c:pt idx="123">
                  <c:v>#N/A</c:v>
                </c:pt>
                <c:pt idx="124">
                  <c:v>#N/A</c:v>
                </c:pt>
                <c:pt idx="125">
                  <c:v>334</c:v>
                </c:pt>
                <c:pt idx="126">
                  <c:v>#N/A</c:v>
                </c:pt>
                <c:pt idx="127">
                  <c:v>#N/A</c:v>
                </c:pt>
                <c:pt idx="128">
                  <c:v>306</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282</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302</c:v>
                </c:pt>
                <c:pt idx="158">
                  <c:v>#N/A</c:v>
                </c:pt>
                <c:pt idx="159">
                  <c:v>118</c:v>
                </c:pt>
                <c:pt idx="160">
                  <c:v>#N/A</c:v>
                </c:pt>
                <c:pt idx="161">
                  <c:v>#N/A</c:v>
                </c:pt>
                <c:pt idx="162">
                  <c:v>#N/A</c:v>
                </c:pt>
                <c:pt idx="163">
                  <c:v>352</c:v>
                </c:pt>
                <c:pt idx="164">
                  <c:v>#N/A</c:v>
                </c:pt>
                <c:pt idx="165">
                  <c:v>#N/A</c:v>
                </c:pt>
                <c:pt idx="166">
                  <c:v>#N/A</c:v>
                </c:pt>
                <c:pt idx="167">
                  <c:v>#N/A</c:v>
                </c:pt>
                <c:pt idx="168">
                  <c:v>#N/A</c:v>
                </c:pt>
                <c:pt idx="169">
                  <c:v>#N/A</c:v>
                </c:pt>
                <c:pt idx="170">
                  <c:v>#N/A</c:v>
                </c:pt>
                <c:pt idx="171">
                  <c:v>#N/A</c:v>
                </c:pt>
                <c:pt idx="172">
                  <c:v>309</c:v>
                </c:pt>
                <c:pt idx="173">
                  <c:v>#N/A</c:v>
                </c:pt>
                <c:pt idx="174">
                  <c:v>249</c:v>
                </c:pt>
                <c:pt idx="175">
                  <c:v>251</c:v>
                </c:pt>
                <c:pt idx="176">
                  <c:v>#N/A</c:v>
                </c:pt>
                <c:pt idx="177">
                  <c:v>325</c:v>
                </c:pt>
                <c:pt idx="178">
                  <c:v>#N/A</c:v>
                </c:pt>
                <c:pt idx="179">
                  <c:v>#N/A</c:v>
                </c:pt>
                <c:pt idx="180">
                  <c:v>252</c:v>
                </c:pt>
                <c:pt idx="181">
                  <c:v>#N/A</c:v>
                </c:pt>
                <c:pt idx="182">
                  <c:v>#N/A</c:v>
                </c:pt>
                <c:pt idx="183">
                  <c:v>307</c:v>
                </c:pt>
                <c:pt idx="184">
                  <c:v>270</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273</c:v>
                </c:pt>
                <c:pt idx="199">
                  <c:v>#N/A</c:v>
                </c:pt>
                <c:pt idx="200">
                  <c:v>#N/A</c:v>
                </c:pt>
                <c:pt idx="201">
                  <c:v>#N/A</c:v>
                </c:pt>
                <c:pt idx="202">
                  <c:v>255</c:v>
                </c:pt>
                <c:pt idx="203">
                  <c:v>#N/A</c:v>
                </c:pt>
                <c:pt idx="204">
                  <c:v>#N/A</c:v>
                </c:pt>
                <c:pt idx="205">
                  <c:v>#N/A</c:v>
                </c:pt>
                <c:pt idx="206">
                  <c:v>210</c:v>
                </c:pt>
                <c:pt idx="207">
                  <c:v>#N/A</c:v>
                </c:pt>
                <c:pt idx="208">
                  <c:v>269</c:v>
                </c:pt>
                <c:pt idx="209">
                  <c:v>#N/A</c:v>
                </c:pt>
                <c:pt idx="210">
                  <c:v>#N/A</c:v>
                </c:pt>
                <c:pt idx="211">
                  <c:v>#N/A</c:v>
                </c:pt>
                <c:pt idx="212">
                  <c:v>#N/A</c:v>
                </c:pt>
                <c:pt idx="213">
                  <c:v>#N/A</c:v>
                </c:pt>
                <c:pt idx="214">
                  <c:v>239</c:v>
                </c:pt>
                <c:pt idx="215">
                  <c:v>#N/A</c:v>
                </c:pt>
                <c:pt idx="216">
                  <c:v>#N/A</c:v>
                </c:pt>
                <c:pt idx="217">
                  <c:v>#N/A</c:v>
                </c:pt>
                <c:pt idx="218">
                  <c:v>#N/A</c:v>
                </c:pt>
                <c:pt idx="219">
                  <c:v>#N/A</c:v>
                </c:pt>
                <c:pt idx="220">
                  <c:v>#N/A</c:v>
                </c:pt>
                <c:pt idx="221">
                  <c:v>388</c:v>
                </c:pt>
                <c:pt idx="222">
                  <c:v>#N/A</c:v>
                </c:pt>
                <c:pt idx="223">
                  <c:v>#N/A</c:v>
                </c:pt>
                <c:pt idx="224">
                  <c:v>#N/A</c:v>
                </c:pt>
                <c:pt idx="225">
                  <c:v>#N/A</c:v>
                </c:pt>
                <c:pt idx="226">
                  <c:v>254</c:v>
                </c:pt>
                <c:pt idx="227">
                  <c:v>#N/A</c:v>
                </c:pt>
                <c:pt idx="228">
                  <c:v>#N/A</c:v>
                </c:pt>
                <c:pt idx="229">
                  <c:v>#N/A</c:v>
                </c:pt>
                <c:pt idx="230">
                  <c:v>#N/A</c:v>
                </c:pt>
                <c:pt idx="231">
                  <c:v>214</c:v>
                </c:pt>
                <c:pt idx="232">
                  <c:v>#N/A</c:v>
                </c:pt>
                <c:pt idx="233">
                  <c:v>#N/A</c:v>
                </c:pt>
                <c:pt idx="234">
                  <c:v>#N/A</c:v>
                </c:pt>
                <c:pt idx="235">
                  <c:v>#N/A</c:v>
                </c:pt>
                <c:pt idx="236">
                  <c:v>#N/A</c:v>
                </c:pt>
                <c:pt idx="237">
                  <c:v>274</c:v>
                </c:pt>
                <c:pt idx="238">
                  <c:v>#N/A</c:v>
                </c:pt>
                <c:pt idx="239">
                  <c:v>#N/A</c:v>
                </c:pt>
                <c:pt idx="240">
                  <c:v>#N/A</c:v>
                </c:pt>
                <c:pt idx="241">
                  <c:v>#N/A</c:v>
                </c:pt>
                <c:pt idx="242">
                  <c:v>#N/A</c:v>
                </c:pt>
                <c:pt idx="243">
                  <c:v>#N/A</c:v>
                </c:pt>
                <c:pt idx="244">
                  <c:v>#N/A</c:v>
                </c:pt>
                <c:pt idx="245">
                  <c:v>#N/A</c:v>
                </c:pt>
                <c:pt idx="246">
                  <c:v>344</c:v>
                </c:pt>
                <c:pt idx="247">
                  <c:v>#N/A</c:v>
                </c:pt>
                <c:pt idx="248">
                  <c:v>#N/A</c:v>
                </c:pt>
                <c:pt idx="249">
                  <c:v>383</c:v>
                </c:pt>
                <c:pt idx="250">
                  <c:v>#N/A</c:v>
                </c:pt>
                <c:pt idx="251">
                  <c:v>#N/A</c:v>
                </c:pt>
                <c:pt idx="252">
                  <c:v>#N/A</c:v>
                </c:pt>
                <c:pt idx="253">
                  <c:v>#N/A</c:v>
                </c:pt>
                <c:pt idx="254">
                  <c:v>#N/A</c:v>
                </c:pt>
                <c:pt idx="255">
                  <c:v>#N/A</c:v>
                </c:pt>
                <c:pt idx="256">
                  <c:v>#N/A</c:v>
                </c:pt>
                <c:pt idx="257">
                  <c:v>#N/A</c:v>
                </c:pt>
                <c:pt idx="258">
                  <c:v>#N/A</c:v>
                </c:pt>
                <c:pt idx="259">
                  <c:v>195</c:v>
                </c:pt>
                <c:pt idx="260">
                  <c:v>#N/A</c:v>
                </c:pt>
                <c:pt idx="261">
                  <c:v>#N/A</c:v>
                </c:pt>
                <c:pt idx="262">
                  <c:v>#N/A</c:v>
                </c:pt>
                <c:pt idx="263">
                  <c:v>#N/A</c:v>
                </c:pt>
                <c:pt idx="264">
                  <c:v>#N/A</c:v>
                </c:pt>
                <c:pt idx="265">
                  <c:v>#N/A</c:v>
                </c:pt>
                <c:pt idx="266">
                  <c:v>#N/A</c:v>
                </c:pt>
                <c:pt idx="267">
                  <c:v>253</c:v>
                </c:pt>
                <c:pt idx="268">
                  <c:v>#N/A</c:v>
                </c:pt>
                <c:pt idx="269">
                  <c:v>275</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242</c:v>
                </c:pt>
                <c:pt idx="286">
                  <c:v>#N/A</c:v>
                </c:pt>
                <c:pt idx="287">
                  <c:v>#N/A</c:v>
                </c:pt>
                <c:pt idx="288">
                  <c:v>226</c:v>
                </c:pt>
                <c:pt idx="289">
                  <c:v>#N/A</c:v>
                </c:pt>
                <c:pt idx="290">
                  <c:v>#N/A</c:v>
                </c:pt>
                <c:pt idx="291">
                  <c:v>#N/A</c:v>
                </c:pt>
                <c:pt idx="292">
                  <c:v>#N/A</c:v>
                </c:pt>
                <c:pt idx="293">
                  <c:v>#N/A</c:v>
                </c:pt>
                <c:pt idx="294">
                  <c:v>#N/A</c:v>
                </c:pt>
                <c:pt idx="295">
                  <c:v>#N/A</c:v>
                </c:pt>
                <c:pt idx="296">
                  <c:v>#N/A</c:v>
                </c:pt>
                <c:pt idx="297">
                  <c:v>#N/A</c:v>
                </c:pt>
                <c:pt idx="298">
                  <c:v>308</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199</c:v>
                </c:pt>
                <c:pt idx="312">
                  <c:v>#N/A</c:v>
                </c:pt>
                <c:pt idx="313">
                  <c:v>#N/A</c:v>
                </c:pt>
                <c:pt idx="314">
                  <c:v>197</c:v>
                </c:pt>
                <c:pt idx="315">
                  <c:v>#N/A</c:v>
                </c:pt>
                <c:pt idx="316">
                  <c:v>282</c:v>
                </c:pt>
                <c:pt idx="317">
                  <c:v>#N/A</c:v>
                </c:pt>
                <c:pt idx="318">
                  <c:v>#N/A</c:v>
                </c:pt>
                <c:pt idx="319">
                  <c:v>#N/A</c:v>
                </c:pt>
                <c:pt idx="320">
                  <c:v>#N/A</c:v>
                </c:pt>
                <c:pt idx="321">
                  <c:v>#N/A</c:v>
                </c:pt>
                <c:pt idx="322">
                  <c:v>#N/A</c:v>
                </c:pt>
                <c:pt idx="323">
                  <c:v>#N/A</c:v>
                </c:pt>
                <c:pt idx="324">
                  <c:v>#N/A</c:v>
                </c:pt>
                <c:pt idx="325">
                  <c:v>284</c:v>
                </c:pt>
                <c:pt idx="326">
                  <c:v>272</c:v>
                </c:pt>
                <c:pt idx="327">
                  <c:v>#N/A</c:v>
                </c:pt>
                <c:pt idx="328">
                  <c:v>#N/A</c:v>
                </c:pt>
                <c:pt idx="329">
                  <c:v>300</c:v>
                </c:pt>
                <c:pt idx="330">
                  <c:v>#N/A</c:v>
                </c:pt>
                <c:pt idx="331">
                  <c:v>#N/A</c:v>
                </c:pt>
                <c:pt idx="332">
                  <c:v>#N/A</c:v>
                </c:pt>
                <c:pt idx="333">
                  <c:v>178</c:v>
                </c:pt>
                <c:pt idx="334">
                  <c:v>#N/A</c:v>
                </c:pt>
                <c:pt idx="335">
                  <c:v>281</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267</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274</c:v>
                </c:pt>
                <c:pt idx="367">
                  <c:v>#N/A</c:v>
                </c:pt>
                <c:pt idx="368">
                  <c:v>#N/A</c:v>
                </c:pt>
                <c:pt idx="369">
                  <c:v>#N/A</c:v>
                </c:pt>
                <c:pt idx="370">
                  <c:v>#N/A</c:v>
                </c:pt>
                <c:pt idx="371">
                  <c:v>#N/A</c:v>
                </c:pt>
                <c:pt idx="372">
                  <c:v>#N/A</c:v>
                </c:pt>
                <c:pt idx="373">
                  <c:v>216</c:v>
                </c:pt>
                <c:pt idx="374">
                  <c:v>#N/A</c:v>
                </c:pt>
                <c:pt idx="375">
                  <c:v>#N/A</c:v>
                </c:pt>
                <c:pt idx="376">
                  <c:v>#N/A</c:v>
                </c:pt>
                <c:pt idx="377">
                  <c:v>#N/A</c:v>
                </c:pt>
                <c:pt idx="378">
                  <c:v>#N/A</c:v>
                </c:pt>
                <c:pt idx="379">
                  <c:v>#N/A</c:v>
                </c:pt>
                <c:pt idx="380">
                  <c:v>#N/A</c:v>
                </c:pt>
                <c:pt idx="381">
                  <c:v>#N/A</c:v>
                </c:pt>
                <c:pt idx="382">
                  <c:v>#N/A</c:v>
                </c:pt>
                <c:pt idx="383">
                  <c:v>#N/A</c:v>
                </c:pt>
                <c:pt idx="384">
                  <c:v>283</c:v>
                </c:pt>
                <c:pt idx="385">
                  <c:v>#N/A</c:v>
                </c:pt>
                <c:pt idx="386">
                  <c:v>273</c:v>
                </c:pt>
                <c:pt idx="387">
                  <c:v>#N/A</c:v>
                </c:pt>
                <c:pt idx="388">
                  <c:v>#N/A</c:v>
                </c:pt>
                <c:pt idx="389">
                  <c:v>#N/A</c:v>
                </c:pt>
                <c:pt idx="390">
                  <c:v>#N/A</c:v>
                </c:pt>
                <c:pt idx="391">
                  <c:v>#N/A</c:v>
                </c:pt>
                <c:pt idx="392">
                  <c:v>#N/A</c:v>
                </c:pt>
                <c:pt idx="393">
                  <c:v>#N/A</c:v>
                </c:pt>
                <c:pt idx="394">
                  <c:v>#N/A</c:v>
                </c:pt>
                <c:pt idx="395">
                  <c:v>#N/A</c:v>
                </c:pt>
                <c:pt idx="396">
                  <c:v>344</c:v>
                </c:pt>
                <c:pt idx="397">
                  <c:v>#N/A</c:v>
                </c:pt>
                <c:pt idx="398">
                  <c:v>#N/A</c:v>
                </c:pt>
                <c:pt idx="399">
                  <c:v>#N/A</c:v>
                </c:pt>
                <c:pt idx="400">
                  <c:v>304</c:v>
                </c:pt>
                <c:pt idx="401">
                  <c:v>#N/A</c:v>
                </c:pt>
                <c:pt idx="402">
                  <c:v>#N/A</c:v>
                </c:pt>
                <c:pt idx="403">
                  <c:v>#N/A</c:v>
                </c:pt>
                <c:pt idx="404">
                  <c:v>#N/A</c:v>
                </c:pt>
                <c:pt idx="405">
                  <c:v>#N/A</c:v>
                </c:pt>
                <c:pt idx="406">
                  <c:v>#N/A</c:v>
                </c:pt>
                <c:pt idx="407">
                  <c:v>#N/A</c:v>
                </c:pt>
                <c:pt idx="408">
                  <c:v>#N/A</c:v>
                </c:pt>
                <c:pt idx="409">
                  <c:v>#N/A</c:v>
                </c:pt>
                <c:pt idx="410">
                  <c:v>#N/A</c:v>
                </c:pt>
                <c:pt idx="411">
                  <c:v>202</c:v>
                </c:pt>
                <c:pt idx="412">
                  <c:v>310</c:v>
                </c:pt>
                <c:pt idx="413">
                  <c:v>176</c:v>
                </c:pt>
                <c:pt idx="414">
                  <c:v>#N/A</c:v>
                </c:pt>
                <c:pt idx="415">
                  <c:v>#N/A</c:v>
                </c:pt>
                <c:pt idx="416">
                  <c:v>#N/A</c:v>
                </c:pt>
                <c:pt idx="417">
                  <c:v>#N/A</c:v>
                </c:pt>
                <c:pt idx="418">
                  <c:v>288</c:v>
                </c:pt>
                <c:pt idx="419">
                  <c:v>#N/A</c:v>
                </c:pt>
                <c:pt idx="420">
                  <c:v>#N/A</c:v>
                </c:pt>
                <c:pt idx="421">
                  <c:v>289</c:v>
                </c:pt>
                <c:pt idx="422">
                  <c:v>#N/A</c:v>
                </c:pt>
                <c:pt idx="423">
                  <c:v>#N/A</c:v>
                </c:pt>
                <c:pt idx="424">
                  <c:v>#N/A</c:v>
                </c:pt>
                <c:pt idx="425">
                  <c:v>#N/A</c:v>
                </c:pt>
                <c:pt idx="426">
                  <c:v>#N/A</c:v>
                </c:pt>
                <c:pt idx="427">
                  <c:v>#N/A</c:v>
                </c:pt>
                <c:pt idx="428">
                  <c:v>#N/A</c:v>
                </c:pt>
                <c:pt idx="429">
                  <c:v>#N/A</c:v>
                </c:pt>
                <c:pt idx="430">
                  <c:v>329</c:v>
                </c:pt>
                <c:pt idx="431">
                  <c:v>#N/A</c:v>
                </c:pt>
                <c:pt idx="432">
                  <c:v>#N/A</c:v>
                </c:pt>
                <c:pt idx="433">
                  <c:v>#N/A</c:v>
                </c:pt>
                <c:pt idx="434">
                  <c:v>#N/A</c:v>
                </c:pt>
                <c:pt idx="435">
                  <c:v>249</c:v>
                </c:pt>
                <c:pt idx="436">
                  <c:v>#N/A</c:v>
                </c:pt>
                <c:pt idx="437">
                  <c:v>#N/A</c:v>
                </c:pt>
                <c:pt idx="438">
                  <c:v>#N/A</c:v>
                </c:pt>
                <c:pt idx="439">
                  <c:v>305</c:v>
                </c:pt>
                <c:pt idx="440">
                  <c:v>#N/A</c:v>
                </c:pt>
                <c:pt idx="441">
                  <c:v>#N/A</c:v>
                </c:pt>
                <c:pt idx="442">
                  <c:v>#N/A</c:v>
                </c:pt>
                <c:pt idx="443">
                  <c:v>#N/A</c:v>
                </c:pt>
                <c:pt idx="444">
                  <c:v>#N/A</c:v>
                </c:pt>
                <c:pt idx="445">
                  <c:v>#N/A</c:v>
                </c:pt>
                <c:pt idx="446">
                  <c:v>#N/A</c:v>
                </c:pt>
                <c:pt idx="447">
                  <c:v>#N/A</c:v>
                </c:pt>
                <c:pt idx="448">
                  <c:v>252</c:v>
                </c:pt>
                <c:pt idx="449">
                  <c:v>#N/A</c:v>
                </c:pt>
                <c:pt idx="450">
                  <c:v>201</c:v>
                </c:pt>
                <c:pt idx="451">
                  <c:v>276</c:v>
                </c:pt>
                <c:pt idx="452">
                  <c:v>#N/A</c:v>
                </c:pt>
                <c:pt idx="453">
                  <c:v>#N/A</c:v>
                </c:pt>
                <c:pt idx="454">
                  <c:v>#N/A</c:v>
                </c:pt>
                <c:pt idx="455">
                  <c:v>#N/A</c:v>
                </c:pt>
                <c:pt idx="456">
                  <c:v>#N/A</c:v>
                </c:pt>
                <c:pt idx="457">
                  <c:v>#N/A</c:v>
                </c:pt>
                <c:pt idx="458">
                  <c:v>290</c:v>
                </c:pt>
                <c:pt idx="459">
                  <c:v>226</c:v>
                </c:pt>
                <c:pt idx="460">
                  <c:v>#N/A</c:v>
                </c:pt>
                <c:pt idx="461">
                  <c:v>278</c:v>
                </c:pt>
                <c:pt idx="462">
                  <c:v>#N/A</c:v>
                </c:pt>
                <c:pt idx="463">
                  <c:v>#N/A</c:v>
                </c:pt>
                <c:pt idx="464">
                  <c:v>#N/A</c:v>
                </c:pt>
                <c:pt idx="465">
                  <c:v>258</c:v>
                </c:pt>
                <c:pt idx="466">
                  <c:v>#N/A</c:v>
                </c:pt>
                <c:pt idx="467">
                  <c:v>#N/A</c:v>
                </c:pt>
                <c:pt idx="468">
                  <c:v>#N/A</c:v>
                </c:pt>
                <c:pt idx="469">
                  <c:v>#N/A</c:v>
                </c:pt>
                <c:pt idx="470">
                  <c:v>#N/A</c:v>
                </c:pt>
                <c:pt idx="471">
                  <c:v>293</c:v>
                </c:pt>
                <c:pt idx="472">
                  <c:v>#N/A</c:v>
                </c:pt>
                <c:pt idx="473">
                  <c:v>#N/A</c:v>
                </c:pt>
                <c:pt idx="474">
                  <c:v>#N/A</c:v>
                </c:pt>
                <c:pt idx="475">
                  <c:v>#N/A</c:v>
                </c:pt>
                <c:pt idx="476">
                  <c:v>#N/A</c:v>
                </c:pt>
                <c:pt idx="477">
                  <c:v>#N/A</c:v>
                </c:pt>
                <c:pt idx="478">
                  <c:v>#N/A</c:v>
                </c:pt>
                <c:pt idx="479">
                  <c:v>259</c:v>
                </c:pt>
                <c:pt idx="480">
                  <c:v>#N/A</c:v>
                </c:pt>
                <c:pt idx="481">
                  <c:v>#N/A</c:v>
                </c:pt>
                <c:pt idx="482">
                  <c:v>242</c:v>
                </c:pt>
                <c:pt idx="483">
                  <c:v>#N/A</c:v>
                </c:pt>
                <c:pt idx="484">
                  <c:v>#N/A</c:v>
                </c:pt>
                <c:pt idx="485">
                  <c:v>#N/A</c:v>
                </c:pt>
                <c:pt idx="486">
                  <c:v>#N/A</c:v>
                </c:pt>
                <c:pt idx="487">
                  <c:v>#N/A</c:v>
                </c:pt>
                <c:pt idx="488">
                  <c:v>#N/A</c:v>
                </c:pt>
                <c:pt idx="489">
                  <c:v>#N/A</c:v>
                </c:pt>
                <c:pt idx="490">
                  <c:v>305</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271</c:v>
                </c:pt>
                <c:pt idx="506">
                  <c:v>#N/A</c:v>
                </c:pt>
                <c:pt idx="507">
                  <c:v>#N/A</c:v>
                </c:pt>
                <c:pt idx="508">
                  <c:v>#N/A</c:v>
                </c:pt>
                <c:pt idx="509">
                  <c:v>254</c:v>
                </c:pt>
                <c:pt idx="510">
                  <c:v>#N/A</c:v>
                </c:pt>
                <c:pt idx="511">
                  <c:v>406</c:v>
                </c:pt>
                <c:pt idx="512">
                  <c:v>#N/A</c:v>
                </c:pt>
                <c:pt idx="513">
                  <c:v>#N/A</c:v>
                </c:pt>
                <c:pt idx="514">
                  <c:v>#N/A</c:v>
                </c:pt>
                <c:pt idx="515">
                  <c:v>#N/A</c:v>
                </c:pt>
                <c:pt idx="516">
                  <c:v>#N/A</c:v>
                </c:pt>
                <c:pt idx="517">
                  <c:v>#N/A</c:v>
                </c:pt>
                <c:pt idx="518">
                  <c:v>#N/A</c:v>
                </c:pt>
                <c:pt idx="519">
                  <c:v>#N/A</c:v>
                </c:pt>
                <c:pt idx="520">
                  <c:v>#N/A</c:v>
                </c:pt>
                <c:pt idx="521">
                  <c:v>#N/A</c:v>
                </c:pt>
                <c:pt idx="522">
                  <c:v>287</c:v>
                </c:pt>
                <c:pt idx="523">
                  <c:v>#N/A</c:v>
                </c:pt>
                <c:pt idx="524">
                  <c:v>#N/A</c:v>
                </c:pt>
                <c:pt idx="525">
                  <c:v>#N/A</c:v>
                </c:pt>
                <c:pt idx="526">
                  <c:v>#N/A</c:v>
                </c:pt>
                <c:pt idx="527">
                  <c:v>#N/A</c:v>
                </c:pt>
                <c:pt idx="528">
                  <c:v>#N/A</c:v>
                </c:pt>
                <c:pt idx="529">
                  <c:v>#N/A</c:v>
                </c:pt>
                <c:pt idx="530">
                  <c:v>#N/A</c:v>
                </c:pt>
                <c:pt idx="531">
                  <c:v>#N/A</c:v>
                </c:pt>
                <c:pt idx="532">
                  <c:v>289</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204</c:v>
                </c:pt>
                <c:pt idx="550">
                  <c:v>#N/A</c:v>
                </c:pt>
                <c:pt idx="551">
                  <c:v>#N/A</c:v>
                </c:pt>
                <c:pt idx="552">
                  <c:v>#N/A</c:v>
                </c:pt>
                <c:pt idx="553">
                  <c:v>217</c:v>
                </c:pt>
                <c:pt idx="554">
                  <c:v>#N/A</c:v>
                </c:pt>
                <c:pt idx="555">
                  <c:v>#N/A</c:v>
                </c:pt>
                <c:pt idx="556">
                  <c:v>#N/A</c:v>
                </c:pt>
                <c:pt idx="557">
                  <c:v>#N/A</c:v>
                </c:pt>
                <c:pt idx="558">
                  <c:v>#N/A</c:v>
                </c:pt>
                <c:pt idx="559">
                  <c:v>290</c:v>
                </c:pt>
                <c:pt idx="560">
                  <c:v>#N/A</c:v>
                </c:pt>
                <c:pt idx="561">
                  <c:v>#N/A</c:v>
                </c:pt>
                <c:pt idx="562">
                  <c:v>#N/A</c:v>
                </c:pt>
                <c:pt idx="563">
                  <c:v>#N/A</c:v>
                </c:pt>
                <c:pt idx="564">
                  <c:v>#N/A</c:v>
                </c:pt>
                <c:pt idx="565">
                  <c:v>#N/A</c:v>
                </c:pt>
                <c:pt idx="566">
                  <c:v>#N/A</c:v>
                </c:pt>
                <c:pt idx="567">
                  <c:v>#N/A</c:v>
                </c:pt>
                <c:pt idx="568">
                  <c:v>159</c:v>
                </c:pt>
                <c:pt idx="569">
                  <c:v>#N/A</c:v>
                </c:pt>
                <c:pt idx="570">
                  <c:v>#N/A</c:v>
                </c:pt>
                <c:pt idx="571">
                  <c:v>#N/A</c:v>
                </c:pt>
                <c:pt idx="572">
                  <c:v>#N/A</c:v>
                </c:pt>
                <c:pt idx="573">
                  <c:v>#N/A</c:v>
                </c:pt>
                <c:pt idx="574">
                  <c:v>#N/A</c:v>
                </c:pt>
                <c:pt idx="575">
                  <c:v>#N/A</c:v>
                </c:pt>
                <c:pt idx="576">
                  <c:v>#N/A</c:v>
                </c:pt>
                <c:pt idx="577">
                  <c:v>#N/A</c:v>
                </c:pt>
                <c:pt idx="578">
                  <c:v>246</c:v>
                </c:pt>
                <c:pt idx="579">
                  <c:v>#N/A</c:v>
                </c:pt>
                <c:pt idx="580">
                  <c:v>#N/A</c:v>
                </c:pt>
                <c:pt idx="581">
                  <c:v>251</c:v>
                </c:pt>
                <c:pt idx="582">
                  <c:v>309</c:v>
                </c:pt>
                <c:pt idx="583">
                  <c:v>350</c:v>
                </c:pt>
                <c:pt idx="584">
                  <c:v>326</c:v>
                </c:pt>
                <c:pt idx="585">
                  <c:v>#N/A</c:v>
                </c:pt>
                <c:pt idx="586">
                  <c:v>#N/A</c:v>
                </c:pt>
                <c:pt idx="587">
                  <c:v>#N/A</c:v>
                </c:pt>
                <c:pt idx="588">
                  <c:v>#N/A</c:v>
                </c:pt>
                <c:pt idx="589">
                  <c:v>#N/A</c:v>
                </c:pt>
                <c:pt idx="590">
                  <c:v>290</c:v>
                </c:pt>
                <c:pt idx="591">
                  <c:v>#N/A</c:v>
                </c:pt>
                <c:pt idx="592">
                  <c:v>#N/A</c:v>
                </c:pt>
                <c:pt idx="593">
                  <c:v>#N/A</c:v>
                </c:pt>
                <c:pt idx="594">
                  <c:v>256</c:v>
                </c:pt>
                <c:pt idx="595">
                  <c:v>#N/A</c:v>
                </c:pt>
                <c:pt idx="596">
                  <c:v>#N/A</c:v>
                </c:pt>
                <c:pt idx="597">
                  <c:v>366</c:v>
                </c:pt>
                <c:pt idx="598">
                  <c:v>302</c:v>
                </c:pt>
                <c:pt idx="599">
                  <c:v>282</c:v>
                </c:pt>
                <c:pt idx="600">
                  <c:v>#N/A</c:v>
                </c:pt>
                <c:pt idx="601">
                  <c:v>#N/A</c:v>
                </c:pt>
                <c:pt idx="602">
                  <c:v>#N/A</c:v>
                </c:pt>
                <c:pt idx="603">
                  <c:v>#N/A</c:v>
                </c:pt>
                <c:pt idx="604">
                  <c:v>359</c:v>
                </c:pt>
                <c:pt idx="605">
                  <c:v>#N/A</c:v>
                </c:pt>
                <c:pt idx="606">
                  <c:v>#N/A</c:v>
                </c:pt>
                <c:pt idx="607">
                  <c:v>#N/A</c:v>
                </c:pt>
                <c:pt idx="608">
                  <c:v>#N/A</c:v>
                </c:pt>
                <c:pt idx="609">
                  <c:v>#N/A</c:v>
                </c:pt>
                <c:pt idx="610">
                  <c:v>#N/A</c:v>
                </c:pt>
                <c:pt idx="611">
                  <c:v>354</c:v>
                </c:pt>
                <c:pt idx="612">
                  <c:v>#N/A</c:v>
                </c:pt>
                <c:pt idx="613">
                  <c:v>#N/A</c:v>
                </c:pt>
                <c:pt idx="614">
                  <c:v>#N/A</c:v>
                </c:pt>
                <c:pt idx="615">
                  <c:v>#N/A</c:v>
                </c:pt>
                <c:pt idx="616">
                  <c:v>#N/A</c:v>
                </c:pt>
                <c:pt idx="617">
                  <c:v>#N/A</c:v>
                </c:pt>
                <c:pt idx="618">
                  <c:v>#N/A</c:v>
                </c:pt>
                <c:pt idx="619">
                  <c:v>262</c:v>
                </c:pt>
                <c:pt idx="620">
                  <c:v>224</c:v>
                </c:pt>
                <c:pt idx="621">
                  <c:v>#N/A</c:v>
                </c:pt>
                <c:pt idx="622">
                  <c:v>#N/A</c:v>
                </c:pt>
                <c:pt idx="623">
                  <c:v>#N/A</c:v>
                </c:pt>
                <c:pt idx="624">
                  <c:v>#N/A</c:v>
                </c:pt>
                <c:pt idx="625">
                  <c:v>#N/A</c:v>
                </c:pt>
                <c:pt idx="626">
                  <c:v>#N/A</c:v>
                </c:pt>
                <c:pt idx="627">
                  <c:v>#N/A</c:v>
                </c:pt>
                <c:pt idx="628">
                  <c:v>#N/A</c:v>
                </c:pt>
                <c:pt idx="629">
                  <c:v>263</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305</c:v>
                </c:pt>
                <c:pt idx="649">
                  <c:v>#N/A</c:v>
                </c:pt>
                <c:pt idx="650">
                  <c:v>#N/A</c:v>
                </c:pt>
                <c:pt idx="651">
                  <c:v>#N/A</c:v>
                </c:pt>
                <c:pt idx="652">
                  <c:v>#N/A</c:v>
                </c:pt>
                <c:pt idx="653">
                  <c:v>#N/A</c:v>
                </c:pt>
                <c:pt idx="654">
                  <c:v>#N/A</c:v>
                </c:pt>
                <c:pt idx="655">
                  <c:v>#N/A</c:v>
                </c:pt>
                <c:pt idx="656">
                  <c:v>296</c:v>
                </c:pt>
                <c:pt idx="657">
                  <c:v>#N/A</c:v>
                </c:pt>
                <c:pt idx="658">
                  <c:v>#N/A</c:v>
                </c:pt>
                <c:pt idx="659">
                  <c:v>339</c:v>
                </c:pt>
                <c:pt idx="660">
                  <c:v>219</c:v>
                </c:pt>
                <c:pt idx="661">
                  <c:v>265</c:v>
                </c:pt>
                <c:pt idx="662">
                  <c:v>#N/A</c:v>
                </c:pt>
                <c:pt idx="663">
                  <c:v>#N/A</c:v>
                </c:pt>
                <c:pt idx="664">
                  <c:v>#N/A</c:v>
                </c:pt>
                <c:pt idx="665">
                  <c:v>#N/A</c:v>
                </c:pt>
                <c:pt idx="666">
                  <c:v>#N/A</c:v>
                </c:pt>
                <c:pt idx="667">
                  <c:v>248</c:v>
                </c:pt>
                <c:pt idx="668">
                  <c:v>#N/A</c:v>
                </c:pt>
                <c:pt idx="669">
                  <c:v>#N/A</c:v>
                </c:pt>
                <c:pt idx="670">
                  <c:v>#N/A</c:v>
                </c:pt>
                <c:pt idx="671">
                  <c:v>329</c:v>
                </c:pt>
                <c:pt idx="672">
                  <c:v>#N/A</c:v>
                </c:pt>
                <c:pt idx="673">
                  <c:v>#N/A</c:v>
                </c:pt>
                <c:pt idx="674">
                  <c:v>#N/A</c:v>
                </c:pt>
                <c:pt idx="675">
                  <c:v>#N/A</c:v>
                </c:pt>
                <c:pt idx="676">
                  <c:v>#N/A</c:v>
                </c:pt>
                <c:pt idx="677">
                  <c:v>#N/A</c:v>
                </c:pt>
                <c:pt idx="678">
                  <c:v>#N/A</c:v>
                </c:pt>
                <c:pt idx="679">
                  <c:v>#N/A</c:v>
                </c:pt>
                <c:pt idx="680">
                  <c:v>266</c:v>
                </c:pt>
                <c:pt idx="681">
                  <c:v>231</c:v>
                </c:pt>
                <c:pt idx="682">
                  <c:v>#N/A</c:v>
                </c:pt>
                <c:pt idx="683">
                  <c:v>#N/A</c:v>
                </c:pt>
                <c:pt idx="684">
                  <c:v>201</c:v>
                </c:pt>
                <c:pt idx="685">
                  <c:v>#N/A</c:v>
                </c:pt>
                <c:pt idx="686">
                  <c:v>#N/A</c:v>
                </c:pt>
                <c:pt idx="687">
                  <c:v>#N/A</c:v>
                </c:pt>
                <c:pt idx="688">
                  <c:v>#N/A</c:v>
                </c:pt>
                <c:pt idx="689">
                  <c:v>#N/A</c:v>
                </c:pt>
                <c:pt idx="690">
                  <c:v>302</c:v>
                </c:pt>
                <c:pt idx="691">
                  <c:v>#N/A</c:v>
                </c:pt>
                <c:pt idx="692">
                  <c:v>#N/A</c:v>
                </c:pt>
                <c:pt idx="693">
                  <c:v>286</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252</c:v>
                </c:pt>
                <c:pt idx="708">
                  <c:v>#N/A</c:v>
                </c:pt>
                <c:pt idx="709">
                  <c:v>#N/A</c:v>
                </c:pt>
                <c:pt idx="710">
                  <c:v>#N/A</c:v>
                </c:pt>
                <c:pt idx="711">
                  <c:v>#N/A</c:v>
                </c:pt>
                <c:pt idx="712">
                  <c:v>#N/A</c:v>
                </c:pt>
                <c:pt idx="713">
                  <c:v>#N/A</c:v>
                </c:pt>
                <c:pt idx="714">
                  <c:v>#N/A</c:v>
                </c:pt>
                <c:pt idx="715">
                  <c:v>282</c:v>
                </c:pt>
                <c:pt idx="716">
                  <c:v>#N/A</c:v>
                </c:pt>
                <c:pt idx="717">
                  <c:v>#N/A</c:v>
                </c:pt>
                <c:pt idx="718">
                  <c:v>#N/A</c:v>
                </c:pt>
                <c:pt idx="719">
                  <c:v>#N/A</c:v>
                </c:pt>
                <c:pt idx="720">
                  <c:v>#N/A</c:v>
                </c:pt>
                <c:pt idx="721">
                  <c:v>#N/A</c:v>
                </c:pt>
                <c:pt idx="722">
                  <c:v>#N/A</c:v>
                </c:pt>
                <c:pt idx="723">
                  <c:v>#N/A</c:v>
                </c:pt>
                <c:pt idx="724">
                  <c:v>#N/A</c:v>
                </c:pt>
                <c:pt idx="725">
                  <c:v>288</c:v>
                </c:pt>
                <c:pt idx="726">
                  <c:v>#N/A</c:v>
                </c:pt>
                <c:pt idx="727">
                  <c:v>243</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296</c:v>
                </c:pt>
                <c:pt idx="747">
                  <c:v>#N/A</c:v>
                </c:pt>
                <c:pt idx="748">
                  <c:v>#N/A</c:v>
                </c:pt>
                <c:pt idx="749">
                  <c:v>#N/A</c:v>
                </c:pt>
                <c:pt idx="750">
                  <c:v>#N/A</c:v>
                </c:pt>
                <c:pt idx="751">
                  <c:v>#N/A</c:v>
                </c:pt>
                <c:pt idx="752">
                  <c:v>#N/A</c:v>
                </c:pt>
                <c:pt idx="753">
                  <c:v>281</c:v>
                </c:pt>
                <c:pt idx="754">
                  <c:v>#N/A</c:v>
                </c:pt>
                <c:pt idx="755">
                  <c:v>#N/A</c:v>
                </c:pt>
                <c:pt idx="756">
                  <c:v>#N/A</c:v>
                </c:pt>
                <c:pt idx="757">
                  <c:v>#N/A</c:v>
                </c:pt>
                <c:pt idx="758">
                  <c:v>#N/A</c:v>
                </c:pt>
                <c:pt idx="759">
                  <c:v>#N/A</c:v>
                </c:pt>
                <c:pt idx="760">
                  <c:v>#N/A</c:v>
                </c:pt>
                <c:pt idx="761">
                  <c:v>#N/A</c:v>
                </c:pt>
                <c:pt idx="762">
                  <c:v>#N/A</c:v>
                </c:pt>
                <c:pt idx="763">
                  <c:v>#N/A</c:v>
                </c:pt>
                <c:pt idx="764">
                  <c:v>355</c:v>
                </c:pt>
                <c:pt idx="765">
                  <c:v>#N/A</c:v>
                </c:pt>
                <c:pt idx="766">
                  <c:v>#N/A</c:v>
                </c:pt>
                <c:pt idx="767">
                  <c:v>249</c:v>
                </c:pt>
                <c:pt idx="768">
                  <c:v>265</c:v>
                </c:pt>
                <c:pt idx="769">
                  <c:v>#N/A</c:v>
                </c:pt>
                <c:pt idx="770">
                  <c:v>#N/A</c:v>
                </c:pt>
                <c:pt idx="771">
                  <c:v>#N/A</c:v>
                </c:pt>
                <c:pt idx="772">
                  <c:v>206</c:v>
                </c:pt>
                <c:pt idx="773">
                  <c:v>#N/A</c:v>
                </c:pt>
                <c:pt idx="774">
                  <c:v>269</c:v>
                </c:pt>
                <c:pt idx="775">
                  <c:v>#N/A</c:v>
                </c:pt>
                <c:pt idx="776">
                  <c:v>#N/A</c:v>
                </c:pt>
                <c:pt idx="777">
                  <c:v>#N/A</c:v>
                </c:pt>
                <c:pt idx="778">
                  <c:v>#N/A</c:v>
                </c:pt>
                <c:pt idx="779">
                  <c:v>#N/A</c:v>
                </c:pt>
                <c:pt idx="780">
                  <c:v>300</c:v>
                </c:pt>
                <c:pt idx="781">
                  <c:v>279</c:v>
                </c:pt>
                <c:pt idx="782">
                  <c:v>309</c:v>
                </c:pt>
                <c:pt idx="783">
                  <c:v>#N/A</c:v>
                </c:pt>
                <c:pt idx="784">
                  <c:v>#N/A</c:v>
                </c:pt>
                <c:pt idx="785">
                  <c:v>#N/A</c:v>
                </c:pt>
                <c:pt idx="786">
                  <c:v>#N/A</c:v>
                </c:pt>
                <c:pt idx="787">
                  <c:v>#N/A</c:v>
                </c:pt>
                <c:pt idx="788">
                  <c:v>199</c:v>
                </c:pt>
                <c:pt idx="789">
                  <c:v>247</c:v>
                </c:pt>
                <c:pt idx="790">
                  <c:v>332</c:v>
                </c:pt>
                <c:pt idx="791">
                  <c:v>#N/A</c:v>
                </c:pt>
                <c:pt idx="792">
                  <c:v>#N/A</c:v>
                </c:pt>
                <c:pt idx="793">
                  <c:v>#N/A</c:v>
                </c:pt>
                <c:pt idx="794">
                  <c:v>#N/A</c:v>
                </c:pt>
                <c:pt idx="795">
                  <c:v>345</c:v>
                </c:pt>
                <c:pt idx="796">
                  <c:v>#N/A</c:v>
                </c:pt>
                <c:pt idx="797">
                  <c:v>#N/A</c:v>
                </c:pt>
                <c:pt idx="798">
                  <c:v>246</c:v>
                </c:pt>
                <c:pt idx="799">
                  <c:v>#N/A</c:v>
                </c:pt>
                <c:pt idx="800">
                  <c:v>#N/A</c:v>
                </c:pt>
                <c:pt idx="801">
                  <c:v>#N/A</c:v>
                </c:pt>
                <c:pt idx="802">
                  <c:v>#N/A</c:v>
                </c:pt>
                <c:pt idx="803">
                  <c:v>#N/A</c:v>
                </c:pt>
                <c:pt idx="804">
                  <c:v>307</c:v>
                </c:pt>
                <c:pt idx="805">
                  <c:v>#N/A</c:v>
                </c:pt>
                <c:pt idx="806">
                  <c:v>#N/A</c:v>
                </c:pt>
                <c:pt idx="807">
                  <c:v>#N/A</c:v>
                </c:pt>
                <c:pt idx="808">
                  <c:v>#N/A</c:v>
                </c:pt>
                <c:pt idx="809">
                  <c:v>#N/A</c:v>
                </c:pt>
                <c:pt idx="810">
                  <c:v>#N/A</c:v>
                </c:pt>
                <c:pt idx="811">
                  <c:v>303</c:v>
                </c:pt>
                <c:pt idx="812">
                  <c:v>#N/A</c:v>
                </c:pt>
                <c:pt idx="813">
                  <c:v>#N/A</c:v>
                </c:pt>
                <c:pt idx="814">
                  <c:v>#N/A</c:v>
                </c:pt>
                <c:pt idx="815">
                  <c:v>#N/A</c:v>
                </c:pt>
                <c:pt idx="816">
                  <c:v>#N/A</c:v>
                </c:pt>
                <c:pt idx="817">
                  <c:v>#N/A</c:v>
                </c:pt>
                <c:pt idx="818">
                  <c:v>#N/A</c:v>
                </c:pt>
                <c:pt idx="819">
                  <c:v>#N/A</c:v>
                </c:pt>
                <c:pt idx="820">
                  <c:v>#N/A</c:v>
                </c:pt>
                <c:pt idx="821">
                  <c:v>#N/A</c:v>
                </c:pt>
                <c:pt idx="822">
                  <c:v>#N/A</c:v>
                </c:pt>
                <c:pt idx="823">
                  <c:v>323</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236</c:v>
                </c:pt>
                <c:pt idx="850">
                  <c:v>#N/A</c:v>
                </c:pt>
                <c:pt idx="851">
                  <c:v>#N/A</c:v>
                </c:pt>
                <c:pt idx="852">
                  <c:v>#N/A</c:v>
                </c:pt>
                <c:pt idx="853">
                  <c:v>#N/A</c:v>
                </c:pt>
                <c:pt idx="854">
                  <c:v>#N/A</c:v>
                </c:pt>
                <c:pt idx="855">
                  <c:v>204</c:v>
                </c:pt>
                <c:pt idx="856">
                  <c:v>#N/A</c:v>
                </c:pt>
                <c:pt idx="857">
                  <c:v>#N/A</c:v>
                </c:pt>
                <c:pt idx="858">
                  <c:v>#N/A</c:v>
                </c:pt>
                <c:pt idx="859">
                  <c:v>357</c:v>
                </c:pt>
                <c:pt idx="860">
                  <c:v>#N/A</c:v>
                </c:pt>
                <c:pt idx="861">
                  <c:v>#N/A</c:v>
                </c:pt>
                <c:pt idx="862">
                  <c:v>#N/A</c:v>
                </c:pt>
                <c:pt idx="863">
                  <c:v>#N/A</c:v>
                </c:pt>
                <c:pt idx="864">
                  <c:v>#N/A</c:v>
                </c:pt>
                <c:pt idx="865">
                  <c:v>#N/A</c:v>
                </c:pt>
                <c:pt idx="866">
                  <c:v>#N/A</c:v>
                </c:pt>
                <c:pt idx="867">
                  <c:v>#N/A</c:v>
                </c:pt>
                <c:pt idx="868">
                  <c:v>#N/A</c:v>
                </c:pt>
                <c:pt idx="869">
                  <c:v>276</c:v>
                </c:pt>
                <c:pt idx="870">
                  <c:v>#N/A</c:v>
                </c:pt>
                <c:pt idx="871">
                  <c:v>229</c:v>
                </c:pt>
                <c:pt idx="872">
                  <c:v>#N/A</c:v>
                </c:pt>
                <c:pt idx="873">
                  <c:v>#N/A</c:v>
                </c:pt>
                <c:pt idx="874">
                  <c:v>#N/A</c:v>
                </c:pt>
                <c:pt idx="875">
                  <c:v>#N/A</c:v>
                </c:pt>
                <c:pt idx="876">
                  <c:v>#N/A</c:v>
                </c:pt>
                <c:pt idx="877">
                  <c:v>#N/A</c:v>
                </c:pt>
                <c:pt idx="878">
                  <c:v>#N/A</c:v>
                </c:pt>
                <c:pt idx="879">
                  <c:v>#N/A</c:v>
                </c:pt>
                <c:pt idx="880">
                  <c:v>#N/A</c:v>
                </c:pt>
                <c:pt idx="881">
                  <c:v>306</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325</c:v>
                </c:pt>
                <c:pt idx="915">
                  <c:v>#N/A</c:v>
                </c:pt>
                <c:pt idx="916">
                  <c:v>#N/A</c:v>
                </c:pt>
                <c:pt idx="917">
                  <c:v>#N/A</c:v>
                </c:pt>
                <c:pt idx="918">
                  <c:v>#N/A</c:v>
                </c:pt>
                <c:pt idx="919">
                  <c:v>#N/A</c:v>
                </c:pt>
                <c:pt idx="920">
                  <c:v>#N/A</c:v>
                </c:pt>
                <c:pt idx="921">
                  <c:v>#N/A</c:v>
                </c:pt>
                <c:pt idx="922">
                  <c:v>#N/A</c:v>
                </c:pt>
                <c:pt idx="923">
                  <c:v>#N/A</c:v>
                </c:pt>
                <c:pt idx="924">
                  <c:v>202</c:v>
                </c:pt>
                <c:pt idx="925">
                  <c:v>#N/A</c:v>
                </c:pt>
                <c:pt idx="926">
                  <c:v>#N/A</c:v>
                </c:pt>
                <c:pt idx="927">
                  <c:v>#N/A</c:v>
                </c:pt>
                <c:pt idx="928">
                  <c:v>#N/A</c:v>
                </c:pt>
                <c:pt idx="929">
                  <c:v>286</c:v>
                </c:pt>
                <c:pt idx="930">
                  <c:v>#N/A</c:v>
                </c:pt>
                <c:pt idx="931">
                  <c:v>#N/A</c:v>
                </c:pt>
                <c:pt idx="932">
                  <c:v>#N/A</c:v>
                </c:pt>
                <c:pt idx="933">
                  <c:v>#N/A</c:v>
                </c:pt>
                <c:pt idx="934">
                  <c:v>#N/A</c:v>
                </c:pt>
                <c:pt idx="935">
                  <c:v>#N/A</c:v>
                </c:pt>
                <c:pt idx="936">
                  <c:v>#N/A</c:v>
                </c:pt>
                <c:pt idx="937">
                  <c:v>#N/A</c:v>
                </c:pt>
                <c:pt idx="938">
                  <c:v>#N/A</c:v>
                </c:pt>
                <c:pt idx="939">
                  <c:v>232</c:v>
                </c:pt>
                <c:pt idx="940">
                  <c:v>#N/A</c:v>
                </c:pt>
                <c:pt idx="941">
                  <c:v>#N/A</c:v>
                </c:pt>
                <c:pt idx="942">
                  <c:v>#N/A</c:v>
                </c:pt>
                <c:pt idx="943">
                  <c:v>#N/A</c:v>
                </c:pt>
                <c:pt idx="944">
                  <c:v>#N/A</c:v>
                </c:pt>
                <c:pt idx="945">
                  <c:v>#N/A</c:v>
                </c:pt>
                <c:pt idx="946">
                  <c:v>409</c:v>
                </c:pt>
                <c:pt idx="947">
                  <c:v>#N/A</c:v>
                </c:pt>
                <c:pt idx="948">
                  <c:v>#N/A</c:v>
                </c:pt>
                <c:pt idx="949">
                  <c:v>288</c:v>
                </c:pt>
                <c:pt idx="950">
                  <c:v>#N/A</c:v>
                </c:pt>
                <c:pt idx="951">
                  <c:v>346</c:v>
                </c:pt>
                <c:pt idx="952">
                  <c:v>#N/A</c:v>
                </c:pt>
                <c:pt idx="953">
                  <c:v>#N/A</c:v>
                </c:pt>
                <c:pt idx="954">
                  <c:v>#N/A</c:v>
                </c:pt>
                <c:pt idx="955">
                  <c:v>#N/A</c:v>
                </c:pt>
                <c:pt idx="956">
                  <c:v>#N/A</c:v>
                </c:pt>
                <c:pt idx="957">
                  <c:v>#N/A</c:v>
                </c:pt>
                <c:pt idx="958">
                  <c:v>#N/A</c:v>
                </c:pt>
                <c:pt idx="959">
                  <c:v>#N/A</c:v>
                </c:pt>
                <c:pt idx="960">
                  <c:v>#N/A</c:v>
                </c:pt>
                <c:pt idx="961">
                  <c:v>#N/A</c:v>
                </c:pt>
                <c:pt idx="962">
                  <c:v>279</c:v>
                </c:pt>
                <c:pt idx="963">
                  <c:v>#N/A</c:v>
                </c:pt>
                <c:pt idx="964">
                  <c:v>#N/A</c:v>
                </c:pt>
                <c:pt idx="965">
                  <c:v>294</c:v>
                </c:pt>
                <c:pt idx="966">
                  <c:v>#N/A</c:v>
                </c:pt>
                <c:pt idx="967">
                  <c:v>#N/A</c:v>
                </c:pt>
                <c:pt idx="968">
                  <c:v>#N/A</c:v>
                </c:pt>
                <c:pt idx="969">
                  <c:v>#N/A</c:v>
                </c:pt>
                <c:pt idx="970">
                  <c:v>#N/A</c:v>
                </c:pt>
                <c:pt idx="971">
                  <c:v>#N/A</c:v>
                </c:pt>
                <c:pt idx="972">
                  <c:v>#N/A</c:v>
                </c:pt>
                <c:pt idx="973">
                  <c:v>312</c:v>
                </c:pt>
                <c:pt idx="974">
                  <c:v>#N/A</c:v>
                </c:pt>
                <c:pt idx="975">
                  <c:v>#N/A</c:v>
                </c:pt>
                <c:pt idx="976">
                  <c:v>#N/A</c:v>
                </c:pt>
                <c:pt idx="977">
                  <c:v>#N/A</c:v>
                </c:pt>
                <c:pt idx="978">
                  <c:v>274</c:v>
                </c:pt>
                <c:pt idx="979">
                  <c:v>#N/A</c:v>
                </c:pt>
                <c:pt idx="980">
                  <c:v>#N/A</c:v>
                </c:pt>
                <c:pt idx="981">
                  <c:v>#N/A</c:v>
                </c:pt>
                <c:pt idx="982">
                  <c:v>#N/A</c:v>
                </c:pt>
                <c:pt idx="983">
                  <c:v>#N/A</c:v>
                </c:pt>
                <c:pt idx="984">
                  <c:v>#N/A</c:v>
                </c:pt>
                <c:pt idx="985">
                  <c:v>#N/A</c:v>
                </c:pt>
                <c:pt idx="986">
                  <c:v>334</c:v>
                </c:pt>
                <c:pt idx="987">
                  <c:v>#N/A</c:v>
                </c:pt>
                <c:pt idx="988">
                  <c:v>#N/A</c:v>
                </c:pt>
                <c:pt idx="989">
                  <c:v>279</c:v>
                </c:pt>
                <c:pt idx="990">
                  <c:v>#N/A</c:v>
                </c:pt>
                <c:pt idx="991">
                  <c:v>#N/A</c:v>
                </c:pt>
                <c:pt idx="992">
                  <c:v>#N/A</c:v>
                </c:pt>
                <c:pt idx="993">
                  <c:v>#N/A</c:v>
                </c:pt>
                <c:pt idx="994">
                  <c:v>#N/A</c:v>
                </c:pt>
                <c:pt idx="995">
                  <c:v>#N/A</c:v>
                </c:pt>
                <c:pt idx="996">
                  <c:v>#N/A</c:v>
                </c:pt>
                <c:pt idx="997">
                  <c:v>#N/A</c:v>
                </c:pt>
                <c:pt idx="998">
                  <c:v>#N/A</c:v>
                </c:pt>
                <c:pt idx="999">
                  <c:v>234</c:v>
                </c:pt>
                <c:pt idx="1000">
                  <c:v>292</c:v>
                </c:pt>
                <c:pt idx="1001">
                  <c:v>#N/A</c:v>
                </c:pt>
                <c:pt idx="1002">
                  <c:v>305</c:v>
                </c:pt>
                <c:pt idx="1003">
                  <c:v>#N/A</c:v>
                </c:pt>
                <c:pt idx="1004">
                  <c:v>#N/A</c:v>
                </c:pt>
                <c:pt idx="1005">
                  <c:v>#N/A</c:v>
                </c:pt>
                <c:pt idx="1006">
                  <c:v>349</c:v>
                </c:pt>
                <c:pt idx="1007">
                  <c:v>#N/A</c:v>
                </c:pt>
                <c:pt idx="1008">
                  <c:v>346</c:v>
                </c:pt>
                <c:pt idx="1009">
                  <c:v>#N/A</c:v>
                </c:pt>
                <c:pt idx="1010">
                  <c:v>#N/A</c:v>
                </c:pt>
                <c:pt idx="1011">
                  <c:v>#N/A</c:v>
                </c:pt>
                <c:pt idx="1012">
                  <c:v>#N/A</c:v>
                </c:pt>
                <c:pt idx="1013">
                  <c:v>282</c:v>
                </c:pt>
                <c:pt idx="1014">
                  <c:v>#N/A</c:v>
                </c:pt>
                <c:pt idx="1015">
                  <c:v>#N/A</c:v>
                </c:pt>
                <c:pt idx="1016">
                  <c:v>#N/A</c:v>
                </c:pt>
                <c:pt idx="1017">
                  <c:v>#N/A</c:v>
                </c:pt>
                <c:pt idx="1018">
                  <c:v>#N/A</c:v>
                </c:pt>
                <c:pt idx="1019">
                  <c:v>210</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284</c:v>
                </c:pt>
                <c:pt idx="1043">
                  <c:v>288</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267</c:v>
                </c:pt>
                <c:pt idx="1061">
                  <c:v>#N/A</c:v>
                </c:pt>
                <c:pt idx="1062">
                  <c:v>#N/A</c:v>
                </c:pt>
                <c:pt idx="1063">
                  <c:v>#N/A</c:v>
                </c:pt>
                <c:pt idx="1064">
                  <c:v>#N/A</c:v>
                </c:pt>
                <c:pt idx="1065">
                  <c:v>#N/A</c:v>
                </c:pt>
                <c:pt idx="1066">
                  <c:v>#N/A</c:v>
                </c:pt>
                <c:pt idx="1067">
                  <c:v>#N/A</c:v>
                </c:pt>
                <c:pt idx="1068">
                  <c:v>#N/A</c:v>
                </c:pt>
                <c:pt idx="1069">
                  <c:v>#N/A</c:v>
                </c:pt>
                <c:pt idx="1070">
                  <c:v>350</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275</c:v>
                </c:pt>
                <c:pt idx="1086">
                  <c:v>#N/A</c:v>
                </c:pt>
                <c:pt idx="1087">
                  <c:v>#N/A</c:v>
                </c:pt>
                <c:pt idx="1088">
                  <c:v>287</c:v>
                </c:pt>
                <c:pt idx="1089">
                  <c:v>#N/A</c:v>
                </c:pt>
                <c:pt idx="1090">
                  <c:v>#N/A</c:v>
                </c:pt>
                <c:pt idx="1091">
                  <c:v>#N/A</c:v>
                </c:pt>
                <c:pt idx="1092">
                  <c:v>#N/A</c:v>
                </c:pt>
                <c:pt idx="1093">
                  <c:v>#N/A</c:v>
                </c:pt>
                <c:pt idx="1094">
                  <c:v>#N/A</c:v>
                </c:pt>
                <c:pt idx="1095">
                  <c:v>#N/A</c:v>
                </c:pt>
                <c:pt idx="1096">
                  <c:v>234</c:v>
                </c:pt>
                <c:pt idx="1097">
                  <c:v>#N/A</c:v>
                </c:pt>
                <c:pt idx="1098">
                  <c:v>#N/A</c:v>
                </c:pt>
                <c:pt idx="1099">
                  <c:v>#N/A</c:v>
                </c:pt>
                <c:pt idx="1100">
                  <c:v>275</c:v>
                </c:pt>
                <c:pt idx="1101">
                  <c:v>#N/A</c:v>
                </c:pt>
                <c:pt idx="1102">
                  <c:v>#N/A</c:v>
                </c:pt>
                <c:pt idx="1103">
                  <c:v>#N/A</c:v>
                </c:pt>
                <c:pt idx="1104">
                  <c:v>260</c:v>
                </c:pt>
                <c:pt idx="1105">
                  <c:v>#N/A</c:v>
                </c:pt>
                <c:pt idx="1106">
                  <c:v>#N/A</c:v>
                </c:pt>
                <c:pt idx="1107">
                  <c:v>#N/A</c:v>
                </c:pt>
                <c:pt idx="1108">
                  <c:v>#N/A</c:v>
                </c:pt>
                <c:pt idx="1109">
                  <c:v>#N/A</c:v>
                </c:pt>
                <c:pt idx="1110">
                  <c:v>343</c:v>
                </c:pt>
                <c:pt idx="1111">
                  <c:v>#N/A</c:v>
                </c:pt>
                <c:pt idx="1112">
                  <c:v>#N/A</c:v>
                </c:pt>
                <c:pt idx="1113">
                  <c:v>333</c:v>
                </c:pt>
                <c:pt idx="1114">
                  <c:v>#N/A</c:v>
                </c:pt>
                <c:pt idx="1115">
                  <c:v>#N/A</c:v>
                </c:pt>
                <c:pt idx="1116">
                  <c:v>#N/A</c:v>
                </c:pt>
                <c:pt idx="1117">
                  <c:v>270</c:v>
                </c:pt>
                <c:pt idx="1118">
                  <c:v>#N/A</c:v>
                </c:pt>
                <c:pt idx="1119">
                  <c:v>#N/A</c:v>
                </c:pt>
                <c:pt idx="1120">
                  <c:v>#N/A</c:v>
                </c:pt>
                <c:pt idx="1121">
                  <c:v>279</c:v>
                </c:pt>
                <c:pt idx="1122">
                  <c:v>#N/A</c:v>
                </c:pt>
                <c:pt idx="1123">
                  <c:v>#N/A</c:v>
                </c:pt>
                <c:pt idx="1124">
                  <c:v>#N/A</c:v>
                </c:pt>
                <c:pt idx="1125">
                  <c:v>#N/A</c:v>
                </c:pt>
                <c:pt idx="1126">
                  <c:v>#N/A</c:v>
                </c:pt>
                <c:pt idx="1127">
                  <c:v>#N/A</c:v>
                </c:pt>
                <c:pt idx="1128">
                  <c:v>306</c:v>
                </c:pt>
                <c:pt idx="1129">
                  <c:v>316</c:v>
                </c:pt>
                <c:pt idx="1130">
                  <c:v>#N/A</c:v>
                </c:pt>
                <c:pt idx="1131">
                  <c:v>#N/A</c:v>
                </c:pt>
                <c:pt idx="1132">
                  <c:v>#N/A</c:v>
                </c:pt>
                <c:pt idx="1133">
                  <c:v>#N/A</c:v>
                </c:pt>
                <c:pt idx="1134">
                  <c:v>334</c:v>
                </c:pt>
                <c:pt idx="1135">
                  <c:v>272</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218</c:v>
                </c:pt>
                <c:pt idx="1149">
                  <c:v>#N/A</c:v>
                </c:pt>
                <c:pt idx="1150">
                  <c:v>215</c:v>
                </c:pt>
                <c:pt idx="1151">
                  <c:v>#N/A</c:v>
                </c:pt>
                <c:pt idx="1152">
                  <c:v>289</c:v>
                </c:pt>
                <c:pt idx="1153">
                  <c:v>#N/A</c:v>
                </c:pt>
                <c:pt idx="1154">
                  <c:v>255</c:v>
                </c:pt>
                <c:pt idx="1155">
                  <c:v>304</c:v>
                </c:pt>
                <c:pt idx="1156">
                  <c:v>#N/A</c:v>
                </c:pt>
                <c:pt idx="1157">
                  <c:v>300</c:v>
                </c:pt>
                <c:pt idx="1158">
                  <c:v>#N/A</c:v>
                </c:pt>
                <c:pt idx="1159">
                  <c:v>#N/A</c:v>
                </c:pt>
                <c:pt idx="1160">
                  <c:v>#N/A</c:v>
                </c:pt>
                <c:pt idx="1161">
                  <c:v>#N/A</c:v>
                </c:pt>
                <c:pt idx="1162">
                  <c:v>#N/A</c:v>
                </c:pt>
                <c:pt idx="1163">
                  <c:v>#N/A</c:v>
                </c:pt>
                <c:pt idx="1164">
                  <c:v>#N/A</c:v>
                </c:pt>
                <c:pt idx="1165">
                  <c:v>321</c:v>
                </c:pt>
                <c:pt idx="1166">
                  <c:v>#N/A</c:v>
                </c:pt>
                <c:pt idx="1167">
                  <c:v>#N/A</c:v>
                </c:pt>
                <c:pt idx="1168">
                  <c:v>#N/A</c:v>
                </c:pt>
                <c:pt idx="1169">
                  <c:v>#N/A</c:v>
                </c:pt>
                <c:pt idx="1170">
                  <c:v>#N/A</c:v>
                </c:pt>
                <c:pt idx="1171">
                  <c:v>#N/A</c:v>
                </c:pt>
                <c:pt idx="1172">
                  <c:v>#N/A</c:v>
                </c:pt>
                <c:pt idx="1173">
                  <c:v>158</c:v>
                </c:pt>
                <c:pt idx="1174">
                  <c:v>#N/A</c:v>
                </c:pt>
                <c:pt idx="1175">
                  <c:v>#N/A</c:v>
                </c:pt>
                <c:pt idx="1176">
                  <c:v>#N/A</c:v>
                </c:pt>
                <c:pt idx="1177">
                  <c:v>#N/A</c:v>
                </c:pt>
                <c:pt idx="1178">
                  <c:v>#N/A</c:v>
                </c:pt>
                <c:pt idx="1179">
                  <c:v>311</c:v>
                </c:pt>
                <c:pt idx="1180">
                  <c:v>#N/A</c:v>
                </c:pt>
                <c:pt idx="1181">
                  <c:v>#N/A</c:v>
                </c:pt>
                <c:pt idx="1182">
                  <c:v>#N/A</c:v>
                </c:pt>
                <c:pt idx="1183">
                  <c:v>#N/A</c:v>
                </c:pt>
                <c:pt idx="1184">
                  <c:v>219</c:v>
                </c:pt>
                <c:pt idx="1185">
                  <c:v>257</c:v>
                </c:pt>
                <c:pt idx="1186">
                  <c:v>353</c:v>
                </c:pt>
                <c:pt idx="1187">
                  <c:v>#N/A</c:v>
                </c:pt>
                <c:pt idx="1188">
                  <c:v>#N/A</c:v>
                </c:pt>
                <c:pt idx="1189">
                  <c:v>#N/A</c:v>
                </c:pt>
                <c:pt idx="1190">
                  <c:v>#N/A</c:v>
                </c:pt>
                <c:pt idx="1191">
                  <c:v>#N/A</c:v>
                </c:pt>
                <c:pt idx="1192">
                  <c:v>235</c:v>
                </c:pt>
                <c:pt idx="1193">
                  <c:v>221</c:v>
                </c:pt>
                <c:pt idx="1194">
                  <c:v>#N/A</c:v>
                </c:pt>
                <c:pt idx="1195">
                  <c:v>#N/A</c:v>
                </c:pt>
                <c:pt idx="1196">
                  <c:v>#N/A</c:v>
                </c:pt>
                <c:pt idx="1197">
                  <c:v>#N/A</c:v>
                </c:pt>
                <c:pt idx="1198">
                  <c:v>#N/A</c:v>
                </c:pt>
                <c:pt idx="1199">
                  <c:v>#N/A</c:v>
                </c:pt>
                <c:pt idx="1200">
                  <c:v>#N/A</c:v>
                </c:pt>
              </c:strCache>
            </c:strRef>
          </c:xVal>
          <c:yVal>
            <c:numRef>
              <c:f>riyadh_realestate_dataset!$T:$T</c:f>
              <c:numCache>
                <c:formatCode>General</c:formatCode>
                <c:ptCount val="1048576"/>
                <c:pt idx="0">
                  <c:v>0</c:v>
                </c:pt>
                <c:pt idx="1">
                  <c:v>#N/A</c:v>
                </c:pt>
                <c:pt idx="2">
                  <c:v>#N/A</c:v>
                </c:pt>
                <c:pt idx="3">
                  <c:v>1088000</c:v>
                </c:pt>
                <c:pt idx="4">
                  <c:v>#N/A</c:v>
                </c:pt>
                <c:pt idx="5">
                  <c:v>#N/A</c:v>
                </c:pt>
                <c:pt idx="6">
                  <c:v>#N/A</c:v>
                </c:pt>
                <c:pt idx="7">
                  <c:v>#N/A</c:v>
                </c:pt>
                <c:pt idx="8">
                  <c:v>#N/A</c:v>
                </c:pt>
                <c:pt idx="9">
                  <c:v>#N/A</c:v>
                </c:pt>
                <c:pt idx="10">
                  <c:v>823000</c:v>
                </c:pt>
                <c:pt idx="11">
                  <c:v>1011000</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1360000</c:v>
                </c:pt>
                <c:pt idx="40">
                  <c:v>1150000</c:v>
                </c:pt>
                <c:pt idx="41">
                  <c:v>#N/A</c:v>
                </c:pt>
                <c:pt idx="42">
                  <c:v>1460000</c:v>
                </c:pt>
                <c:pt idx="43">
                  <c:v>#N/A</c:v>
                </c:pt>
                <c:pt idx="44">
                  <c:v>#N/A</c:v>
                </c:pt>
                <c:pt idx="45">
                  <c:v>#N/A</c:v>
                </c:pt>
                <c:pt idx="46">
                  <c:v>#N/A</c:v>
                </c:pt>
                <c:pt idx="47">
                  <c:v>#N/A</c:v>
                </c:pt>
                <c:pt idx="48">
                  <c:v>1038000</c:v>
                </c:pt>
                <c:pt idx="49">
                  <c:v>#N/A</c:v>
                </c:pt>
                <c:pt idx="50">
                  <c:v>#N/A</c:v>
                </c:pt>
                <c:pt idx="51">
                  <c:v>#N/A</c:v>
                </c:pt>
                <c:pt idx="52">
                  <c:v>1128000</c:v>
                </c:pt>
                <c:pt idx="53">
                  <c:v>#N/A</c:v>
                </c:pt>
                <c:pt idx="54">
                  <c:v>#N/A</c:v>
                </c:pt>
                <c:pt idx="55">
                  <c:v>1306000</c:v>
                </c:pt>
                <c:pt idx="56">
                  <c:v>#N/A</c:v>
                </c:pt>
                <c:pt idx="57">
                  <c:v>#N/A</c:v>
                </c:pt>
                <c:pt idx="58">
                  <c:v>#N/A</c:v>
                </c:pt>
                <c:pt idx="59">
                  <c:v>#N/A</c:v>
                </c:pt>
                <c:pt idx="60">
                  <c:v>#N/A</c:v>
                </c:pt>
                <c:pt idx="61">
                  <c:v>#N/A</c:v>
                </c:pt>
                <c:pt idx="62">
                  <c:v>#N/A</c:v>
                </c:pt>
                <c:pt idx="63">
                  <c:v>#N/A</c:v>
                </c:pt>
                <c:pt idx="64">
                  <c:v>#N/A</c:v>
                </c:pt>
                <c:pt idx="65">
                  <c:v>#N/A</c:v>
                </c:pt>
                <c:pt idx="66">
                  <c:v>#N/A</c:v>
                </c:pt>
                <c:pt idx="67">
                  <c:v>832000</c:v>
                </c:pt>
                <c:pt idx="68">
                  <c:v>#N/A</c:v>
                </c:pt>
                <c:pt idx="69">
                  <c:v>#N/A</c:v>
                </c:pt>
                <c:pt idx="70">
                  <c:v>#N/A</c:v>
                </c:pt>
                <c:pt idx="71">
                  <c:v>#N/A</c:v>
                </c:pt>
                <c:pt idx="72">
                  <c:v>1613000</c:v>
                </c:pt>
                <c:pt idx="73">
                  <c:v>#N/A</c:v>
                </c:pt>
                <c:pt idx="74">
                  <c:v>#N/A</c:v>
                </c:pt>
                <c:pt idx="75">
                  <c:v>#N/A</c:v>
                </c:pt>
                <c:pt idx="76">
                  <c:v>#N/A</c:v>
                </c:pt>
                <c:pt idx="77">
                  <c:v>1000000</c:v>
                </c:pt>
                <c:pt idx="78">
                  <c:v>#N/A</c:v>
                </c:pt>
                <c:pt idx="79">
                  <c:v>#N/A</c:v>
                </c:pt>
                <c:pt idx="80">
                  <c:v>#N/A</c:v>
                </c:pt>
                <c:pt idx="81">
                  <c:v>#N/A</c:v>
                </c:pt>
                <c:pt idx="82">
                  <c:v>#N/A</c:v>
                </c:pt>
                <c:pt idx="83">
                  <c:v>#N/A</c:v>
                </c:pt>
                <c:pt idx="84">
                  <c:v>#N/A</c:v>
                </c:pt>
                <c:pt idx="85">
                  <c:v>#N/A</c:v>
                </c:pt>
                <c:pt idx="86">
                  <c:v>766000</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1294000</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875000</c:v>
                </c:pt>
                <c:pt idx="118">
                  <c:v>#N/A</c:v>
                </c:pt>
                <c:pt idx="119">
                  <c:v>1205000</c:v>
                </c:pt>
                <c:pt idx="120">
                  <c:v>#N/A</c:v>
                </c:pt>
                <c:pt idx="121">
                  <c:v>#N/A</c:v>
                </c:pt>
                <c:pt idx="122">
                  <c:v>#N/A</c:v>
                </c:pt>
                <c:pt idx="123">
                  <c:v>#N/A</c:v>
                </c:pt>
                <c:pt idx="124">
                  <c:v>#N/A</c:v>
                </c:pt>
                <c:pt idx="125">
                  <c:v>864000</c:v>
                </c:pt>
                <c:pt idx="126">
                  <c:v>#N/A</c:v>
                </c:pt>
                <c:pt idx="127">
                  <c:v>#N/A</c:v>
                </c:pt>
                <c:pt idx="128">
                  <c:v>1172000</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944000</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1329000</c:v>
                </c:pt>
                <c:pt idx="158">
                  <c:v>#N/A</c:v>
                </c:pt>
                <c:pt idx="159">
                  <c:v>386000</c:v>
                </c:pt>
                <c:pt idx="160">
                  <c:v>#N/A</c:v>
                </c:pt>
                <c:pt idx="161">
                  <c:v>#N/A</c:v>
                </c:pt>
                <c:pt idx="162">
                  <c:v>#N/A</c:v>
                </c:pt>
                <c:pt idx="163">
                  <c:v>1600000</c:v>
                </c:pt>
                <c:pt idx="164">
                  <c:v>#N/A</c:v>
                </c:pt>
                <c:pt idx="165">
                  <c:v>#N/A</c:v>
                </c:pt>
                <c:pt idx="166">
                  <c:v>#N/A</c:v>
                </c:pt>
                <c:pt idx="167">
                  <c:v>#N/A</c:v>
                </c:pt>
                <c:pt idx="168">
                  <c:v>#N/A</c:v>
                </c:pt>
                <c:pt idx="169">
                  <c:v>#N/A</c:v>
                </c:pt>
                <c:pt idx="170">
                  <c:v>#N/A</c:v>
                </c:pt>
                <c:pt idx="171">
                  <c:v>#N/A</c:v>
                </c:pt>
                <c:pt idx="172">
                  <c:v>1145000</c:v>
                </c:pt>
                <c:pt idx="173">
                  <c:v>#N/A</c:v>
                </c:pt>
                <c:pt idx="174">
                  <c:v>936000</c:v>
                </c:pt>
                <c:pt idx="175">
                  <c:v>846000</c:v>
                </c:pt>
                <c:pt idx="176">
                  <c:v>#N/A</c:v>
                </c:pt>
                <c:pt idx="177">
                  <c:v>1458000</c:v>
                </c:pt>
                <c:pt idx="178">
                  <c:v>#N/A</c:v>
                </c:pt>
                <c:pt idx="179">
                  <c:v>#N/A</c:v>
                </c:pt>
                <c:pt idx="180">
                  <c:v>1522000</c:v>
                </c:pt>
                <c:pt idx="181">
                  <c:v>#N/A</c:v>
                </c:pt>
                <c:pt idx="182">
                  <c:v>#N/A</c:v>
                </c:pt>
                <c:pt idx="183">
                  <c:v>1224000</c:v>
                </c:pt>
                <c:pt idx="184">
                  <c:v>1550000</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798000</c:v>
                </c:pt>
                <c:pt idx="199">
                  <c:v>#N/A</c:v>
                </c:pt>
                <c:pt idx="200">
                  <c:v>#N/A</c:v>
                </c:pt>
                <c:pt idx="201">
                  <c:v>#N/A</c:v>
                </c:pt>
                <c:pt idx="202">
                  <c:v>928000</c:v>
                </c:pt>
                <c:pt idx="203">
                  <c:v>#N/A</c:v>
                </c:pt>
                <c:pt idx="204">
                  <c:v>#N/A</c:v>
                </c:pt>
                <c:pt idx="205">
                  <c:v>#N/A</c:v>
                </c:pt>
                <c:pt idx="206">
                  <c:v>1143000</c:v>
                </c:pt>
                <c:pt idx="207">
                  <c:v>#N/A</c:v>
                </c:pt>
                <c:pt idx="208">
                  <c:v>1087000</c:v>
                </c:pt>
                <c:pt idx="209">
                  <c:v>#N/A</c:v>
                </c:pt>
                <c:pt idx="210">
                  <c:v>#N/A</c:v>
                </c:pt>
                <c:pt idx="211">
                  <c:v>#N/A</c:v>
                </c:pt>
                <c:pt idx="212">
                  <c:v>#N/A</c:v>
                </c:pt>
                <c:pt idx="213">
                  <c:v>#N/A</c:v>
                </c:pt>
                <c:pt idx="214">
                  <c:v>657000</c:v>
                </c:pt>
                <c:pt idx="215">
                  <c:v>#N/A</c:v>
                </c:pt>
                <c:pt idx="216">
                  <c:v>#N/A</c:v>
                </c:pt>
                <c:pt idx="217">
                  <c:v>#N/A</c:v>
                </c:pt>
                <c:pt idx="218">
                  <c:v>#N/A</c:v>
                </c:pt>
                <c:pt idx="219">
                  <c:v>#N/A</c:v>
                </c:pt>
                <c:pt idx="220">
                  <c:v>#N/A</c:v>
                </c:pt>
                <c:pt idx="221">
                  <c:v>1572000</c:v>
                </c:pt>
                <c:pt idx="222">
                  <c:v>#N/A</c:v>
                </c:pt>
                <c:pt idx="223">
                  <c:v>#N/A</c:v>
                </c:pt>
                <c:pt idx="224">
                  <c:v>#N/A</c:v>
                </c:pt>
                <c:pt idx="225">
                  <c:v>#N/A</c:v>
                </c:pt>
                <c:pt idx="226">
                  <c:v>694000</c:v>
                </c:pt>
                <c:pt idx="227">
                  <c:v>#N/A</c:v>
                </c:pt>
                <c:pt idx="228">
                  <c:v>#N/A</c:v>
                </c:pt>
                <c:pt idx="229">
                  <c:v>#N/A</c:v>
                </c:pt>
                <c:pt idx="230">
                  <c:v>#N/A</c:v>
                </c:pt>
                <c:pt idx="231">
                  <c:v>838000</c:v>
                </c:pt>
                <c:pt idx="232">
                  <c:v>#N/A</c:v>
                </c:pt>
                <c:pt idx="233">
                  <c:v>#N/A</c:v>
                </c:pt>
                <c:pt idx="234">
                  <c:v>#N/A</c:v>
                </c:pt>
                <c:pt idx="235">
                  <c:v>#N/A</c:v>
                </c:pt>
                <c:pt idx="236">
                  <c:v>#N/A</c:v>
                </c:pt>
                <c:pt idx="237">
                  <c:v>1436000</c:v>
                </c:pt>
                <c:pt idx="238">
                  <c:v>#N/A</c:v>
                </c:pt>
                <c:pt idx="239">
                  <c:v>#N/A</c:v>
                </c:pt>
                <c:pt idx="240">
                  <c:v>#N/A</c:v>
                </c:pt>
                <c:pt idx="241">
                  <c:v>#N/A</c:v>
                </c:pt>
                <c:pt idx="242">
                  <c:v>#N/A</c:v>
                </c:pt>
                <c:pt idx="243">
                  <c:v>#N/A</c:v>
                </c:pt>
                <c:pt idx="244">
                  <c:v>#N/A</c:v>
                </c:pt>
                <c:pt idx="245">
                  <c:v>#N/A</c:v>
                </c:pt>
                <c:pt idx="246">
                  <c:v>1559000</c:v>
                </c:pt>
                <c:pt idx="247">
                  <c:v>#N/A</c:v>
                </c:pt>
                <c:pt idx="248">
                  <c:v>#N/A</c:v>
                </c:pt>
                <c:pt idx="249">
                  <c:v>1764000</c:v>
                </c:pt>
                <c:pt idx="250">
                  <c:v>#N/A</c:v>
                </c:pt>
                <c:pt idx="251">
                  <c:v>#N/A</c:v>
                </c:pt>
                <c:pt idx="252">
                  <c:v>#N/A</c:v>
                </c:pt>
                <c:pt idx="253">
                  <c:v>#N/A</c:v>
                </c:pt>
                <c:pt idx="254">
                  <c:v>#N/A</c:v>
                </c:pt>
                <c:pt idx="255">
                  <c:v>#N/A</c:v>
                </c:pt>
                <c:pt idx="256">
                  <c:v>#N/A</c:v>
                </c:pt>
                <c:pt idx="257">
                  <c:v>#N/A</c:v>
                </c:pt>
                <c:pt idx="258">
                  <c:v>#N/A</c:v>
                </c:pt>
                <c:pt idx="259">
                  <c:v>984000</c:v>
                </c:pt>
                <c:pt idx="260">
                  <c:v>#N/A</c:v>
                </c:pt>
                <c:pt idx="261">
                  <c:v>#N/A</c:v>
                </c:pt>
                <c:pt idx="262">
                  <c:v>#N/A</c:v>
                </c:pt>
                <c:pt idx="263">
                  <c:v>#N/A</c:v>
                </c:pt>
                <c:pt idx="264">
                  <c:v>#N/A</c:v>
                </c:pt>
                <c:pt idx="265">
                  <c:v>#N/A</c:v>
                </c:pt>
                <c:pt idx="266">
                  <c:v>#N/A</c:v>
                </c:pt>
                <c:pt idx="267">
                  <c:v>993000</c:v>
                </c:pt>
                <c:pt idx="268">
                  <c:v>#N/A</c:v>
                </c:pt>
                <c:pt idx="269">
                  <c:v>968000</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639000</c:v>
                </c:pt>
                <c:pt idx="286">
                  <c:v>#N/A</c:v>
                </c:pt>
                <c:pt idx="287">
                  <c:v>#N/A</c:v>
                </c:pt>
                <c:pt idx="288">
                  <c:v>937000</c:v>
                </c:pt>
                <c:pt idx="289">
                  <c:v>#N/A</c:v>
                </c:pt>
                <c:pt idx="290">
                  <c:v>#N/A</c:v>
                </c:pt>
                <c:pt idx="291">
                  <c:v>#N/A</c:v>
                </c:pt>
                <c:pt idx="292">
                  <c:v>#N/A</c:v>
                </c:pt>
                <c:pt idx="293">
                  <c:v>#N/A</c:v>
                </c:pt>
                <c:pt idx="294">
                  <c:v>#N/A</c:v>
                </c:pt>
                <c:pt idx="295">
                  <c:v>#N/A</c:v>
                </c:pt>
                <c:pt idx="296">
                  <c:v>#N/A</c:v>
                </c:pt>
                <c:pt idx="297">
                  <c:v>#N/A</c:v>
                </c:pt>
                <c:pt idx="298">
                  <c:v>853000</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746000</c:v>
                </c:pt>
                <c:pt idx="312">
                  <c:v>#N/A</c:v>
                </c:pt>
                <c:pt idx="313">
                  <c:v>#N/A</c:v>
                </c:pt>
                <c:pt idx="314">
                  <c:v>576000</c:v>
                </c:pt>
                <c:pt idx="315">
                  <c:v>#N/A</c:v>
                </c:pt>
                <c:pt idx="316">
                  <c:v>1075000</c:v>
                </c:pt>
                <c:pt idx="317">
                  <c:v>#N/A</c:v>
                </c:pt>
                <c:pt idx="318">
                  <c:v>#N/A</c:v>
                </c:pt>
                <c:pt idx="319">
                  <c:v>#N/A</c:v>
                </c:pt>
                <c:pt idx="320">
                  <c:v>#N/A</c:v>
                </c:pt>
                <c:pt idx="321">
                  <c:v>#N/A</c:v>
                </c:pt>
                <c:pt idx="322">
                  <c:v>#N/A</c:v>
                </c:pt>
                <c:pt idx="323">
                  <c:v>#N/A</c:v>
                </c:pt>
                <c:pt idx="324">
                  <c:v>#N/A</c:v>
                </c:pt>
                <c:pt idx="325">
                  <c:v>956000</c:v>
                </c:pt>
                <c:pt idx="326">
                  <c:v>1022000</c:v>
                </c:pt>
                <c:pt idx="327">
                  <c:v>#N/A</c:v>
                </c:pt>
                <c:pt idx="328">
                  <c:v>#N/A</c:v>
                </c:pt>
                <c:pt idx="329">
                  <c:v>1515000</c:v>
                </c:pt>
                <c:pt idx="330">
                  <c:v>#N/A</c:v>
                </c:pt>
                <c:pt idx="331">
                  <c:v>#N/A</c:v>
                </c:pt>
                <c:pt idx="332">
                  <c:v>#N/A</c:v>
                </c:pt>
                <c:pt idx="333">
                  <c:v>843000</c:v>
                </c:pt>
                <c:pt idx="334">
                  <c:v>#N/A</c:v>
                </c:pt>
                <c:pt idx="335">
                  <c:v>986000</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974000</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1078000</c:v>
                </c:pt>
                <c:pt idx="367">
                  <c:v>#N/A</c:v>
                </c:pt>
                <c:pt idx="368">
                  <c:v>#N/A</c:v>
                </c:pt>
                <c:pt idx="369">
                  <c:v>#N/A</c:v>
                </c:pt>
                <c:pt idx="370">
                  <c:v>#N/A</c:v>
                </c:pt>
                <c:pt idx="371">
                  <c:v>#N/A</c:v>
                </c:pt>
                <c:pt idx="372">
                  <c:v>#N/A</c:v>
                </c:pt>
                <c:pt idx="373">
                  <c:v>641000</c:v>
                </c:pt>
                <c:pt idx="374">
                  <c:v>#N/A</c:v>
                </c:pt>
                <c:pt idx="375">
                  <c:v>#N/A</c:v>
                </c:pt>
                <c:pt idx="376">
                  <c:v>#N/A</c:v>
                </c:pt>
                <c:pt idx="377">
                  <c:v>#N/A</c:v>
                </c:pt>
                <c:pt idx="378">
                  <c:v>#N/A</c:v>
                </c:pt>
                <c:pt idx="379">
                  <c:v>#N/A</c:v>
                </c:pt>
                <c:pt idx="380">
                  <c:v>#N/A</c:v>
                </c:pt>
                <c:pt idx="381">
                  <c:v>#N/A</c:v>
                </c:pt>
                <c:pt idx="382">
                  <c:v>#N/A</c:v>
                </c:pt>
                <c:pt idx="383">
                  <c:v>#N/A</c:v>
                </c:pt>
                <c:pt idx="384">
                  <c:v>1610000</c:v>
                </c:pt>
                <c:pt idx="385">
                  <c:v>#N/A</c:v>
                </c:pt>
                <c:pt idx="386">
                  <c:v>1082000</c:v>
                </c:pt>
                <c:pt idx="387">
                  <c:v>#N/A</c:v>
                </c:pt>
                <c:pt idx="388">
                  <c:v>#N/A</c:v>
                </c:pt>
                <c:pt idx="389">
                  <c:v>#N/A</c:v>
                </c:pt>
                <c:pt idx="390">
                  <c:v>#N/A</c:v>
                </c:pt>
                <c:pt idx="391">
                  <c:v>#N/A</c:v>
                </c:pt>
                <c:pt idx="392">
                  <c:v>#N/A</c:v>
                </c:pt>
                <c:pt idx="393">
                  <c:v>#N/A</c:v>
                </c:pt>
                <c:pt idx="394">
                  <c:v>#N/A</c:v>
                </c:pt>
                <c:pt idx="395">
                  <c:v>#N/A</c:v>
                </c:pt>
                <c:pt idx="396">
                  <c:v>1026000</c:v>
                </c:pt>
                <c:pt idx="397">
                  <c:v>#N/A</c:v>
                </c:pt>
                <c:pt idx="398">
                  <c:v>#N/A</c:v>
                </c:pt>
                <c:pt idx="399">
                  <c:v>#N/A</c:v>
                </c:pt>
                <c:pt idx="400">
                  <c:v>1206000</c:v>
                </c:pt>
                <c:pt idx="401">
                  <c:v>#N/A</c:v>
                </c:pt>
                <c:pt idx="402">
                  <c:v>#N/A</c:v>
                </c:pt>
                <c:pt idx="403">
                  <c:v>#N/A</c:v>
                </c:pt>
                <c:pt idx="404">
                  <c:v>#N/A</c:v>
                </c:pt>
                <c:pt idx="405">
                  <c:v>#N/A</c:v>
                </c:pt>
                <c:pt idx="406">
                  <c:v>#N/A</c:v>
                </c:pt>
                <c:pt idx="407">
                  <c:v>#N/A</c:v>
                </c:pt>
                <c:pt idx="408">
                  <c:v>#N/A</c:v>
                </c:pt>
                <c:pt idx="409">
                  <c:v>#N/A</c:v>
                </c:pt>
                <c:pt idx="410">
                  <c:v>#N/A</c:v>
                </c:pt>
                <c:pt idx="411">
                  <c:v>823000</c:v>
                </c:pt>
                <c:pt idx="412">
                  <c:v>1057000</c:v>
                </c:pt>
                <c:pt idx="413">
                  <c:v>837000</c:v>
                </c:pt>
                <c:pt idx="414">
                  <c:v>#N/A</c:v>
                </c:pt>
                <c:pt idx="415">
                  <c:v>#N/A</c:v>
                </c:pt>
                <c:pt idx="416">
                  <c:v>#N/A</c:v>
                </c:pt>
                <c:pt idx="417">
                  <c:v>#N/A</c:v>
                </c:pt>
                <c:pt idx="418">
                  <c:v>1531000</c:v>
                </c:pt>
                <c:pt idx="419">
                  <c:v>#N/A</c:v>
                </c:pt>
                <c:pt idx="420">
                  <c:v>#N/A</c:v>
                </c:pt>
                <c:pt idx="421">
                  <c:v>1415000</c:v>
                </c:pt>
                <c:pt idx="422">
                  <c:v>#N/A</c:v>
                </c:pt>
                <c:pt idx="423">
                  <c:v>#N/A</c:v>
                </c:pt>
                <c:pt idx="424">
                  <c:v>#N/A</c:v>
                </c:pt>
                <c:pt idx="425">
                  <c:v>#N/A</c:v>
                </c:pt>
                <c:pt idx="426">
                  <c:v>#N/A</c:v>
                </c:pt>
                <c:pt idx="427">
                  <c:v>#N/A</c:v>
                </c:pt>
                <c:pt idx="428">
                  <c:v>#N/A</c:v>
                </c:pt>
                <c:pt idx="429">
                  <c:v>#N/A</c:v>
                </c:pt>
                <c:pt idx="430">
                  <c:v>1054000</c:v>
                </c:pt>
                <c:pt idx="431">
                  <c:v>#N/A</c:v>
                </c:pt>
                <c:pt idx="432">
                  <c:v>#N/A</c:v>
                </c:pt>
                <c:pt idx="433">
                  <c:v>#N/A</c:v>
                </c:pt>
                <c:pt idx="434">
                  <c:v>#N/A</c:v>
                </c:pt>
                <c:pt idx="435">
                  <c:v>888000</c:v>
                </c:pt>
                <c:pt idx="436">
                  <c:v>#N/A</c:v>
                </c:pt>
                <c:pt idx="437">
                  <c:v>#N/A</c:v>
                </c:pt>
                <c:pt idx="438">
                  <c:v>#N/A</c:v>
                </c:pt>
                <c:pt idx="439">
                  <c:v>1158000</c:v>
                </c:pt>
                <c:pt idx="440">
                  <c:v>#N/A</c:v>
                </c:pt>
                <c:pt idx="441">
                  <c:v>#N/A</c:v>
                </c:pt>
                <c:pt idx="442">
                  <c:v>#N/A</c:v>
                </c:pt>
                <c:pt idx="443">
                  <c:v>#N/A</c:v>
                </c:pt>
                <c:pt idx="444">
                  <c:v>#N/A</c:v>
                </c:pt>
                <c:pt idx="445">
                  <c:v>#N/A</c:v>
                </c:pt>
                <c:pt idx="446">
                  <c:v>#N/A</c:v>
                </c:pt>
                <c:pt idx="447">
                  <c:v>#N/A</c:v>
                </c:pt>
                <c:pt idx="448">
                  <c:v>1334000</c:v>
                </c:pt>
                <c:pt idx="449">
                  <c:v>#N/A</c:v>
                </c:pt>
                <c:pt idx="450">
                  <c:v>998000</c:v>
                </c:pt>
                <c:pt idx="451">
                  <c:v>1085000</c:v>
                </c:pt>
                <c:pt idx="452">
                  <c:v>#N/A</c:v>
                </c:pt>
                <c:pt idx="453">
                  <c:v>#N/A</c:v>
                </c:pt>
                <c:pt idx="454">
                  <c:v>#N/A</c:v>
                </c:pt>
                <c:pt idx="455">
                  <c:v>#N/A</c:v>
                </c:pt>
                <c:pt idx="456">
                  <c:v>#N/A</c:v>
                </c:pt>
                <c:pt idx="457">
                  <c:v>#N/A</c:v>
                </c:pt>
                <c:pt idx="458">
                  <c:v>1268000</c:v>
                </c:pt>
                <c:pt idx="459">
                  <c:v>929000</c:v>
                </c:pt>
                <c:pt idx="460">
                  <c:v>#N/A</c:v>
                </c:pt>
                <c:pt idx="461">
                  <c:v>1074000</c:v>
                </c:pt>
                <c:pt idx="462">
                  <c:v>#N/A</c:v>
                </c:pt>
                <c:pt idx="463">
                  <c:v>#N/A</c:v>
                </c:pt>
                <c:pt idx="464">
                  <c:v>#N/A</c:v>
                </c:pt>
                <c:pt idx="465">
                  <c:v>1316000</c:v>
                </c:pt>
                <c:pt idx="466">
                  <c:v>#N/A</c:v>
                </c:pt>
                <c:pt idx="467">
                  <c:v>#N/A</c:v>
                </c:pt>
                <c:pt idx="468">
                  <c:v>#N/A</c:v>
                </c:pt>
                <c:pt idx="469">
                  <c:v>#N/A</c:v>
                </c:pt>
                <c:pt idx="470">
                  <c:v>#N/A</c:v>
                </c:pt>
                <c:pt idx="471">
                  <c:v>956000</c:v>
                </c:pt>
                <c:pt idx="472">
                  <c:v>#N/A</c:v>
                </c:pt>
                <c:pt idx="473">
                  <c:v>#N/A</c:v>
                </c:pt>
                <c:pt idx="474">
                  <c:v>#N/A</c:v>
                </c:pt>
                <c:pt idx="475">
                  <c:v>#N/A</c:v>
                </c:pt>
                <c:pt idx="476">
                  <c:v>#N/A</c:v>
                </c:pt>
                <c:pt idx="477">
                  <c:v>#N/A</c:v>
                </c:pt>
                <c:pt idx="478">
                  <c:v>#N/A</c:v>
                </c:pt>
                <c:pt idx="479">
                  <c:v>901000</c:v>
                </c:pt>
                <c:pt idx="480">
                  <c:v>#N/A</c:v>
                </c:pt>
                <c:pt idx="481">
                  <c:v>#N/A</c:v>
                </c:pt>
                <c:pt idx="482">
                  <c:v>931000</c:v>
                </c:pt>
                <c:pt idx="483">
                  <c:v>#N/A</c:v>
                </c:pt>
                <c:pt idx="484">
                  <c:v>#N/A</c:v>
                </c:pt>
                <c:pt idx="485">
                  <c:v>#N/A</c:v>
                </c:pt>
                <c:pt idx="486">
                  <c:v>#N/A</c:v>
                </c:pt>
                <c:pt idx="487">
                  <c:v>#N/A</c:v>
                </c:pt>
                <c:pt idx="488">
                  <c:v>#N/A</c:v>
                </c:pt>
                <c:pt idx="489">
                  <c:v>#N/A</c:v>
                </c:pt>
                <c:pt idx="490">
                  <c:v>1016000</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972000</c:v>
                </c:pt>
                <c:pt idx="506">
                  <c:v>#N/A</c:v>
                </c:pt>
                <c:pt idx="507">
                  <c:v>#N/A</c:v>
                </c:pt>
                <c:pt idx="508">
                  <c:v>#N/A</c:v>
                </c:pt>
                <c:pt idx="509">
                  <c:v>1086000</c:v>
                </c:pt>
                <c:pt idx="510">
                  <c:v>#N/A</c:v>
                </c:pt>
                <c:pt idx="511">
                  <c:v>1441000</c:v>
                </c:pt>
                <c:pt idx="512">
                  <c:v>#N/A</c:v>
                </c:pt>
                <c:pt idx="513">
                  <c:v>#N/A</c:v>
                </c:pt>
                <c:pt idx="514">
                  <c:v>#N/A</c:v>
                </c:pt>
                <c:pt idx="515">
                  <c:v>#N/A</c:v>
                </c:pt>
                <c:pt idx="516">
                  <c:v>#N/A</c:v>
                </c:pt>
                <c:pt idx="517">
                  <c:v>#N/A</c:v>
                </c:pt>
                <c:pt idx="518">
                  <c:v>#N/A</c:v>
                </c:pt>
                <c:pt idx="519">
                  <c:v>#N/A</c:v>
                </c:pt>
                <c:pt idx="520">
                  <c:v>#N/A</c:v>
                </c:pt>
                <c:pt idx="521">
                  <c:v>#N/A</c:v>
                </c:pt>
                <c:pt idx="522">
                  <c:v>852000</c:v>
                </c:pt>
                <c:pt idx="523">
                  <c:v>#N/A</c:v>
                </c:pt>
                <c:pt idx="524">
                  <c:v>#N/A</c:v>
                </c:pt>
                <c:pt idx="525">
                  <c:v>#N/A</c:v>
                </c:pt>
                <c:pt idx="526">
                  <c:v>#N/A</c:v>
                </c:pt>
                <c:pt idx="527">
                  <c:v>#N/A</c:v>
                </c:pt>
                <c:pt idx="528">
                  <c:v>#N/A</c:v>
                </c:pt>
                <c:pt idx="529">
                  <c:v>#N/A</c:v>
                </c:pt>
                <c:pt idx="530">
                  <c:v>#N/A</c:v>
                </c:pt>
                <c:pt idx="531">
                  <c:v>#N/A</c:v>
                </c:pt>
                <c:pt idx="532">
                  <c:v>1448000</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1111000</c:v>
                </c:pt>
                <c:pt idx="550">
                  <c:v>#N/A</c:v>
                </c:pt>
                <c:pt idx="551">
                  <c:v>#N/A</c:v>
                </c:pt>
                <c:pt idx="552">
                  <c:v>#N/A</c:v>
                </c:pt>
                <c:pt idx="553">
                  <c:v>717000</c:v>
                </c:pt>
                <c:pt idx="554">
                  <c:v>#N/A</c:v>
                </c:pt>
                <c:pt idx="555">
                  <c:v>#N/A</c:v>
                </c:pt>
                <c:pt idx="556">
                  <c:v>#N/A</c:v>
                </c:pt>
                <c:pt idx="557">
                  <c:v>#N/A</c:v>
                </c:pt>
                <c:pt idx="558">
                  <c:v>#N/A</c:v>
                </c:pt>
                <c:pt idx="559">
                  <c:v>1470000</c:v>
                </c:pt>
                <c:pt idx="560">
                  <c:v>#N/A</c:v>
                </c:pt>
                <c:pt idx="561">
                  <c:v>#N/A</c:v>
                </c:pt>
                <c:pt idx="562">
                  <c:v>#N/A</c:v>
                </c:pt>
                <c:pt idx="563">
                  <c:v>#N/A</c:v>
                </c:pt>
                <c:pt idx="564">
                  <c:v>#N/A</c:v>
                </c:pt>
                <c:pt idx="565">
                  <c:v>#N/A</c:v>
                </c:pt>
                <c:pt idx="566">
                  <c:v>#N/A</c:v>
                </c:pt>
                <c:pt idx="567">
                  <c:v>#N/A</c:v>
                </c:pt>
                <c:pt idx="568">
                  <c:v>622000</c:v>
                </c:pt>
                <c:pt idx="569">
                  <c:v>#N/A</c:v>
                </c:pt>
                <c:pt idx="570">
                  <c:v>#N/A</c:v>
                </c:pt>
                <c:pt idx="571">
                  <c:v>#N/A</c:v>
                </c:pt>
                <c:pt idx="572">
                  <c:v>#N/A</c:v>
                </c:pt>
                <c:pt idx="573">
                  <c:v>#N/A</c:v>
                </c:pt>
                <c:pt idx="574">
                  <c:v>#N/A</c:v>
                </c:pt>
                <c:pt idx="575">
                  <c:v>#N/A</c:v>
                </c:pt>
                <c:pt idx="576">
                  <c:v>#N/A</c:v>
                </c:pt>
                <c:pt idx="577">
                  <c:v>#N/A</c:v>
                </c:pt>
                <c:pt idx="578">
                  <c:v>925000</c:v>
                </c:pt>
                <c:pt idx="579">
                  <c:v>#N/A</c:v>
                </c:pt>
                <c:pt idx="580">
                  <c:v>#N/A</c:v>
                </c:pt>
                <c:pt idx="581">
                  <c:v>827000</c:v>
                </c:pt>
                <c:pt idx="582">
                  <c:v>1402000</c:v>
                </c:pt>
                <c:pt idx="583">
                  <c:v>1428000</c:v>
                </c:pt>
                <c:pt idx="584">
                  <c:v>1716000</c:v>
                </c:pt>
                <c:pt idx="585">
                  <c:v>#N/A</c:v>
                </c:pt>
                <c:pt idx="586">
                  <c:v>#N/A</c:v>
                </c:pt>
                <c:pt idx="587">
                  <c:v>#N/A</c:v>
                </c:pt>
                <c:pt idx="588">
                  <c:v>#N/A</c:v>
                </c:pt>
                <c:pt idx="589">
                  <c:v>#N/A</c:v>
                </c:pt>
                <c:pt idx="590">
                  <c:v>1623000</c:v>
                </c:pt>
                <c:pt idx="591">
                  <c:v>#N/A</c:v>
                </c:pt>
                <c:pt idx="592">
                  <c:v>#N/A</c:v>
                </c:pt>
                <c:pt idx="593">
                  <c:v>#N/A</c:v>
                </c:pt>
                <c:pt idx="594">
                  <c:v>699000</c:v>
                </c:pt>
                <c:pt idx="595">
                  <c:v>#N/A</c:v>
                </c:pt>
                <c:pt idx="596">
                  <c:v>#N/A</c:v>
                </c:pt>
                <c:pt idx="597">
                  <c:v>1915000</c:v>
                </c:pt>
                <c:pt idx="598">
                  <c:v>1165000</c:v>
                </c:pt>
                <c:pt idx="599">
                  <c:v>1545000</c:v>
                </c:pt>
                <c:pt idx="600">
                  <c:v>#N/A</c:v>
                </c:pt>
                <c:pt idx="601">
                  <c:v>#N/A</c:v>
                </c:pt>
                <c:pt idx="602">
                  <c:v>#N/A</c:v>
                </c:pt>
                <c:pt idx="603">
                  <c:v>#N/A</c:v>
                </c:pt>
                <c:pt idx="604">
                  <c:v>1408000</c:v>
                </c:pt>
                <c:pt idx="605">
                  <c:v>#N/A</c:v>
                </c:pt>
                <c:pt idx="606">
                  <c:v>#N/A</c:v>
                </c:pt>
                <c:pt idx="607">
                  <c:v>#N/A</c:v>
                </c:pt>
                <c:pt idx="608">
                  <c:v>#N/A</c:v>
                </c:pt>
                <c:pt idx="609">
                  <c:v>#N/A</c:v>
                </c:pt>
                <c:pt idx="610">
                  <c:v>#N/A</c:v>
                </c:pt>
                <c:pt idx="611">
                  <c:v>1620000</c:v>
                </c:pt>
                <c:pt idx="612">
                  <c:v>#N/A</c:v>
                </c:pt>
                <c:pt idx="613">
                  <c:v>#N/A</c:v>
                </c:pt>
                <c:pt idx="614">
                  <c:v>#N/A</c:v>
                </c:pt>
                <c:pt idx="615">
                  <c:v>#N/A</c:v>
                </c:pt>
                <c:pt idx="616">
                  <c:v>#N/A</c:v>
                </c:pt>
                <c:pt idx="617">
                  <c:v>#N/A</c:v>
                </c:pt>
                <c:pt idx="618">
                  <c:v>#N/A</c:v>
                </c:pt>
                <c:pt idx="619">
                  <c:v>1051000</c:v>
                </c:pt>
                <c:pt idx="620">
                  <c:v>726000</c:v>
                </c:pt>
                <c:pt idx="621">
                  <c:v>#N/A</c:v>
                </c:pt>
                <c:pt idx="622">
                  <c:v>#N/A</c:v>
                </c:pt>
                <c:pt idx="623">
                  <c:v>#N/A</c:v>
                </c:pt>
                <c:pt idx="624">
                  <c:v>#N/A</c:v>
                </c:pt>
                <c:pt idx="625">
                  <c:v>#N/A</c:v>
                </c:pt>
                <c:pt idx="626">
                  <c:v>#N/A</c:v>
                </c:pt>
                <c:pt idx="627">
                  <c:v>#N/A</c:v>
                </c:pt>
                <c:pt idx="628">
                  <c:v>#N/A</c:v>
                </c:pt>
                <c:pt idx="629">
                  <c:v>644000</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972000</c:v>
                </c:pt>
                <c:pt idx="649">
                  <c:v>#N/A</c:v>
                </c:pt>
                <c:pt idx="650">
                  <c:v>#N/A</c:v>
                </c:pt>
                <c:pt idx="651">
                  <c:v>#N/A</c:v>
                </c:pt>
                <c:pt idx="652">
                  <c:v>#N/A</c:v>
                </c:pt>
                <c:pt idx="653">
                  <c:v>#N/A</c:v>
                </c:pt>
                <c:pt idx="654">
                  <c:v>#N/A</c:v>
                </c:pt>
                <c:pt idx="655">
                  <c:v>#N/A</c:v>
                </c:pt>
                <c:pt idx="656">
                  <c:v>1474000</c:v>
                </c:pt>
                <c:pt idx="657">
                  <c:v>#N/A</c:v>
                </c:pt>
                <c:pt idx="658">
                  <c:v>#N/A</c:v>
                </c:pt>
                <c:pt idx="659">
                  <c:v>1050000</c:v>
                </c:pt>
                <c:pt idx="660">
                  <c:v>890000</c:v>
                </c:pt>
                <c:pt idx="661">
                  <c:v>1078000</c:v>
                </c:pt>
                <c:pt idx="662">
                  <c:v>#N/A</c:v>
                </c:pt>
                <c:pt idx="663">
                  <c:v>#N/A</c:v>
                </c:pt>
                <c:pt idx="664">
                  <c:v>#N/A</c:v>
                </c:pt>
                <c:pt idx="665">
                  <c:v>#N/A</c:v>
                </c:pt>
                <c:pt idx="666">
                  <c:v>#N/A</c:v>
                </c:pt>
                <c:pt idx="667">
                  <c:v>918000</c:v>
                </c:pt>
                <c:pt idx="668">
                  <c:v>#N/A</c:v>
                </c:pt>
                <c:pt idx="669">
                  <c:v>#N/A</c:v>
                </c:pt>
                <c:pt idx="670">
                  <c:v>#N/A</c:v>
                </c:pt>
                <c:pt idx="671">
                  <c:v>1111000</c:v>
                </c:pt>
                <c:pt idx="672">
                  <c:v>#N/A</c:v>
                </c:pt>
                <c:pt idx="673">
                  <c:v>#N/A</c:v>
                </c:pt>
                <c:pt idx="674">
                  <c:v>#N/A</c:v>
                </c:pt>
                <c:pt idx="675">
                  <c:v>#N/A</c:v>
                </c:pt>
                <c:pt idx="676">
                  <c:v>#N/A</c:v>
                </c:pt>
                <c:pt idx="677">
                  <c:v>#N/A</c:v>
                </c:pt>
                <c:pt idx="678">
                  <c:v>#N/A</c:v>
                </c:pt>
                <c:pt idx="679">
                  <c:v>#N/A</c:v>
                </c:pt>
                <c:pt idx="680">
                  <c:v>798000</c:v>
                </c:pt>
                <c:pt idx="681">
                  <c:v>710000</c:v>
                </c:pt>
                <c:pt idx="682">
                  <c:v>#N/A</c:v>
                </c:pt>
                <c:pt idx="683">
                  <c:v>#N/A</c:v>
                </c:pt>
                <c:pt idx="684">
                  <c:v>907000</c:v>
                </c:pt>
                <c:pt idx="685">
                  <c:v>#N/A</c:v>
                </c:pt>
                <c:pt idx="686">
                  <c:v>#N/A</c:v>
                </c:pt>
                <c:pt idx="687">
                  <c:v>#N/A</c:v>
                </c:pt>
                <c:pt idx="688">
                  <c:v>#N/A</c:v>
                </c:pt>
                <c:pt idx="689">
                  <c:v>#N/A</c:v>
                </c:pt>
                <c:pt idx="690">
                  <c:v>1124000</c:v>
                </c:pt>
                <c:pt idx="691">
                  <c:v>#N/A</c:v>
                </c:pt>
                <c:pt idx="692">
                  <c:v>#N/A</c:v>
                </c:pt>
                <c:pt idx="693">
                  <c:v>1326000</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731000</c:v>
                </c:pt>
                <c:pt idx="708">
                  <c:v>#N/A</c:v>
                </c:pt>
                <c:pt idx="709">
                  <c:v>#N/A</c:v>
                </c:pt>
                <c:pt idx="710">
                  <c:v>#N/A</c:v>
                </c:pt>
                <c:pt idx="711">
                  <c:v>#N/A</c:v>
                </c:pt>
                <c:pt idx="712">
                  <c:v>#N/A</c:v>
                </c:pt>
                <c:pt idx="713">
                  <c:v>#N/A</c:v>
                </c:pt>
                <c:pt idx="714">
                  <c:v>#N/A</c:v>
                </c:pt>
                <c:pt idx="715">
                  <c:v>828000</c:v>
                </c:pt>
                <c:pt idx="716">
                  <c:v>#N/A</c:v>
                </c:pt>
                <c:pt idx="717">
                  <c:v>#N/A</c:v>
                </c:pt>
                <c:pt idx="718">
                  <c:v>#N/A</c:v>
                </c:pt>
                <c:pt idx="719">
                  <c:v>#N/A</c:v>
                </c:pt>
                <c:pt idx="720">
                  <c:v>#N/A</c:v>
                </c:pt>
                <c:pt idx="721">
                  <c:v>#N/A</c:v>
                </c:pt>
                <c:pt idx="722">
                  <c:v>#N/A</c:v>
                </c:pt>
                <c:pt idx="723">
                  <c:v>#N/A</c:v>
                </c:pt>
                <c:pt idx="724">
                  <c:v>#N/A</c:v>
                </c:pt>
                <c:pt idx="725">
                  <c:v>1016000</c:v>
                </c:pt>
                <c:pt idx="726">
                  <c:v>#N/A</c:v>
                </c:pt>
                <c:pt idx="727">
                  <c:v>839000</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1208000</c:v>
                </c:pt>
                <c:pt idx="747">
                  <c:v>#N/A</c:v>
                </c:pt>
                <c:pt idx="748">
                  <c:v>#N/A</c:v>
                </c:pt>
                <c:pt idx="749">
                  <c:v>#N/A</c:v>
                </c:pt>
                <c:pt idx="750">
                  <c:v>#N/A</c:v>
                </c:pt>
                <c:pt idx="751">
                  <c:v>#N/A</c:v>
                </c:pt>
                <c:pt idx="752">
                  <c:v>#N/A</c:v>
                </c:pt>
                <c:pt idx="753">
                  <c:v>1010000</c:v>
                </c:pt>
                <c:pt idx="754">
                  <c:v>#N/A</c:v>
                </c:pt>
                <c:pt idx="755">
                  <c:v>#N/A</c:v>
                </c:pt>
                <c:pt idx="756">
                  <c:v>#N/A</c:v>
                </c:pt>
                <c:pt idx="757">
                  <c:v>#N/A</c:v>
                </c:pt>
                <c:pt idx="758">
                  <c:v>#N/A</c:v>
                </c:pt>
                <c:pt idx="759">
                  <c:v>#N/A</c:v>
                </c:pt>
                <c:pt idx="760">
                  <c:v>#N/A</c:v>
                </c:pt>
                <c:pt idx="761">
                  <c:v>#N/A</c:v>
                </c:pt>
                <c:pt idx="762">
                  <c:v>#N/A</c:v>
                </c:pt>
                <c:pt idx="763">
                  <c:v>#N/A</c:v>
                </c:pt>
                <c:pt idx="764">
                  <c:v>2036000</c:v>
                </c:pt>
                <c:pt idx="765">
                  <c:v>#N/A</c:v>
                </c:pt>
                <c:pt idx="766">
                  <c:v>#N/A</c:v>
                </c:pt>
                <c:pt idx="767">
                  <c:v>1166000</c:v>
                </c:pt>
                <c:pt idx="768">
                  <c:v>1431000</c:v>
                </c:pt>
                <c:pt idx="769">
                  <c:v>#N/A</c:v>
                </c:pt>
                <c:pt idx="770">
                  <c:v>#N/A</c:v>
                </c:pt>
                <c:pt idx="771">
                  <c:v>#N/A</c:v>
                </c:pt>
                <c:pt idx="772">
                  <c:v>1096000</c:v>
                </c:pt>
                <c:pt idx="773">
                  <c:v>#N/A</c:v>
                </c:pt>
                <c:pt idx="774">
                  <c:v>904000</c:v>
                </c:pt>
                <c:pt idx="775">
                  <c:v>#N/A</c:v>
                </c:pt>
                <c:pt idx="776">
                  <c:v>#N/A</c:v>
                </c:pt>
                <c:pt idx="777">
                  <c:v>#N/A</c:v>
                </c:pt>
                <c:pt idx="778">
                  <c:v>#N/A</c:v>
                </c:pt>
                <c:pt idx="779">
                  <c:v>#N/A</c:v>
                </c:pt>
                <c:pt idx="780">
                  <c:v>1385000</c:v>
                </c:pt>
                <c:pt idx="781">
                  <c:v>1023000</c:v>
                </c:pt>
                <c:pt idx="782">
                  <c:v>1109000</c:v>
                </c:pt>
                <c:pt idx="783">
                  <c:v>#N/A</c:v>
                </c:pt>
                <c:pt idx="784">
                  <c:v>#N/A</c:v>
                </c:pt>
                <c:pt idx="785">
                  <c:v>#N/A</c:v>
                </c:pt>
                <c:pt idx="786">
                  <c:v>#N/A</c:v>
                </c:pt>
                <c:pt idx="787">
                  <c:v>#N/A</c:v>
                </c:pt>
                <c:pt idx="788">
                  <c:v>919000</c:v>
                </c:pt>
                <c:pt idx="789">
                  <c:v>929000</c:v>
                </c:pt>
                <c:pt idx="790">
                  <c:v>1385000</c:v>
                </c:pt>
                <c:pt idx="791">
                  <c:v>#N/A</c:v>
                </c:pt>
                <c:pt idx="792">
                  <c:v>#N/A</c:v>
                </c:pt>
                <c:pt idx="793">
                  <c:v>#N/A</c:v>
                </c:pt>
                <c:pt idx="794">
                  <c:v>#N/A</c:v>
                </c:pt>
                <c:pt idx="795">
                  <c:v>1148000</c:v>
                </c:pt>
                <c:pt idx="796">
                  <c:v>#N/A</c:v>
                </c:pt>
                <c:pt idx="797">
                  <c:v>#N/A</c:v>
                </c:pt>
                <c:pt idx="798">
                  <c:v>1012000</c:v>
                </c:pt>
                <c:pt idx="799">
                  <c:v>#N/A</c:v>
                </c:pt>
                <c:pt idx="800">
                  <c:v>#N/A</c:v>
                </c:pt>
                <c:pt idx="801">
                  <c:v>#N/A</c:v>
                </c:pt>
                <c:pt idx="802">
                  <c:v>#N/A</c:v>
                </c:pt>
                <c:pt idx="803">
                  <c:v>#N/A</c:v>
                </c:pt>
                <c:pt idx="804">
                  <c:v>1121000</c:v>
                </c:pt>
                <c:pt idx="805">
                  <c:v>#N/A</c:v>
                </c:pt>
                <c:pt idx="806">
                  <c:v>#N/A</c:v>
                </c:pt>
                <c:pt idx="807">
                  <c:v>#N/A</c:v>
                </c:pt>
                <c:pt idx="808">
                  <c:v>#N/A</c:v>
                </c:pt>
                <c:pt idx="809">
                  <c:v>#N/A</c:v>
                </c:pt>
                <c:pt idx="810">
                  <c:v>#N/A</c:v>
                </c:pt>
                <c:pt idx="811">
                  <c:v>1616000</c:v>
                </c:pt>
                <c:pt idx="812">
                  <c:v>#N/A</c:v>
                </c:pt>
                <c:pt idx="813">
                  <c:v>#N/A</c:v>
                </c:pt>
                <c:pt idx="814">
                  <c:v>#N/A</c:v>
                </c:pt>
                <c:pt idx="815">
                  <c:v>#N/A</c:v>
                </c:pt>
                <c:pt idx="816">
                  <c:v>#N/A</c:v>
                </c:pt>
                <c:pt idx="817">
                  <c:v>#N/A</c:v>
                </c:pt>
                <c:pt idx="818">
                  <c:v>#N/A</c:v>
                </c:pt>
                <c:pt idx="819">
                  <c:v>#N/A</c:v>
                </c:pt>
                <c:pt idx="820">
                  <c:v>#N/A</c:v>
                </c:pt>
                <c:pt idx="821">
                  <c:v>#N/A</c:v>
                </c:pt>
                <c:pt idx="822">
                  <c:v>#N/A</c:v>
                </c:pt>
                <c:pt idx="823">
                  <c:v>1440000</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989000</c:v>
                </c:pt>
                <c:pt idx="850">
                  <c:v>#N/A</c:v>
                </c:pt>
                <c:pt idx="851">
                  <c:v>#N/A</c:v>
                </c:pt>
                <c:pt idx="852">
                  <c:v>#N/A</c:v>
                </c:pt>
                <c:pt idx="853">
                  <c:v>#N/A</c:v>
                </c:pt>
                <c:pt idx="854">
                  <c:v>#N/A</c:v>
                </c:pt>
                <c:pt idx="855">
                  <c:v>710000</c:v>
                </c:pt>
                <c:pt idx="856">
                  <c:v>#N/A</c:v>
                </c:pt>
                <c:pt idx="857">
                  <c:v>#N/A</c:v>
                </c:pt>
                <c:pt idx="858">
                  <c:v>#N/A</c:v>
                </c:pt>
                <c:pt idx="859">
                  <c:v>1850000</c:v>
                </c:pt>
                <c:pt idx="860">
                  <c:v>#N/A</c:v>
                </c:pt>
                <c:pt idx="861">
                  <c:v>#N/A</c:v>
                </c:pt>
                <c:pt idx="862">
                  <c:v>#N/A</c:v>
                </c:pt>
                <c:pt idx="863">
                  <c:v>#N/A</c:v>
                </c:pt>
                <c:pt idx="864">
                  <c:v>#N/A</c:v>
                </c:pt>
                <c:pt idx="865">
                  <c:v>#N/A</c:v>
                </c:pt>
                <c:pt idx="866">
                  <c:v>#N/A</c:v>
                </c:pt>
                <c:pt idx="867">
                  <c:v>#N/A</c:v>
                </c:pt>
                <c:pt idx="868">
                  <c:v>#N/A</c:v>
                </c:pt>
                <c:pt idx="869">
                  <c:v>1297000</c:v>
                </c:pt>
                <c:pt idx="870">
                  <c:v>#N/A</c:v>
                </c:pt>
                <c:pt idx="871">
                  <c:v>1162000</c:v>
                </c:pt>
                <c:pt idx="872">
                  <c:v>#N/A</c:v>
                </c:pt>
                <c:pt idx="873">
                  <c:v>#N/A</c:v>
                </c:pt>
                <c:pt idx="874">
                  <c:v>#N/A</c:v>
                </c:pt>
                <c:pt idx="875">
                  <c:v>#N/A</c:v>
                </c:pt>
                <c:pt idx="876">
                  <c:v>#N/A</c:v>
                </c:pt>
                <c:pt idx="877">
                  <c:v>#N/A</c:v>
                </c:pt>
                <c:pt idx="878">
                  <c:v>#N/A</c:v>
                </c:pt>
                <c:pt idx="879">
                  <c:v>#N/A</c:v>
                </c:pt>
                <c:pt idx="880">
                  <c:v>#N/A</c:v>
                </c:pt>
                <c:pt idx="881">
                  <c:v>1087000</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1208000</c:v>
                </c:pt>
                <c:pt idx="915">
                  <c:v>#N/A</c:v>
                </c:pt>
                <c:pt idx="916">
                  <c:v>#N/A</c:v>
                </c:pt>
                <c:pt idx="917">
                  <c:v>#N/A</c:v>
                </c:pt>
                <c:pt idx="918">
                  <c:v>#N/A</c:v>
                </c:pt>
                <c:pt idx="919">
                  <c:v>#N/A</c:v>
                </c:pt>
                <c:pt idx="920">
                  <c:v>#N/A</c:v>
                </c:pt>
                <c:pt idx="921">
                  <c:v>#N/A</c:v>
                </c:pt>
                <c:pt idx="922">
                  <c:v>#N/A</c:v>
                </c:pt>
                <c:pt idx="923">
                  <c:v>#N/A</c:v>
                </c:pt>
                <c:pt idx="924">
                  <c:v>1286000</c:v>
                </c:pt>
                <c:pt idx="925">
                  <c:v>#N/A</c:v>
                </c:pt>
                <c:pt idx="926">
                  <c:v>#N/A</c:v>
                </c:pt>
                <c:pt idx="927">
                  <c:v>#N/A</c:v>
                </c:pt>
                <c:pt idx="928">
                  <c:v>#N/A</c:v>
                </c:pt>
                <c:pt idx="929">
                  <c:v>930000</c:v>
                </c:pt>
                <c:pt idx="930">
                  <c:v>#N/A</c:v>
                </c:pt>
                <c:pt idx="931">
                  <c:v>#N/A</c:v>
                </c:pt>
                <c:pt idx="932">
                  <c:v>#N/A</c:v>
                </c:pt>
                <c:pt idx="933">
                  <c:v>#N/A</c:v>
                </c:pt>
                <c:pt idx="934">
                  <c:v>#N/A</c:v>
                </c:pt>
                <c:pt idx="935">
                  <c:v>#N/A</c:v>
                </c:pt>
                <c:pt idx="936">
                  <c:v>#N/A</c:v>
                </c:pt>
                <c:pt idx="937">
                  <c:v>#N/A</c:v>
                </c:pt>
                <c:pt idx="938">
                  <c:v>#N/A</c:v>
                </c:pt>
                <c:pt idx="939">
                  <c:v>1076000</c:v>
                </c:pt>
                <c:pt idx="940">
                  <c:v>#N/A</c:v>
                </c:pt>
                <c:pt idx="941">
                  <c:v>#N/A</c:v>
                </c:pt>
                <c:pt idx="942">
                  <c:v>#N/A</c:v>
                </c:pt>
                <c:pt idx="943">
                  <c:v>#N/A</c:v>
                </c:pt>
                <c:pt idx="944">
                  <c:v>#N/A</c:v>
                </c:pt>
                <c:pt idx="945">
                  <c:v>#N/A</c:v>
                </c:pt>
                <c:pt idx="946">
                  <c:v>1645000</c:v>
                </c:pt>
                <c:pt idx="947">
                  <c:v>#N/A</c:v>
                </c:pt>
                <c:pt idx="948">
                  <c:v>#N/A</c:v>
                </c:pt>
                <c:pt idx="949">
                  <c:v>1004000</c:v>
                </c:pt>
                <c:pt idx="950">
                  <c:v>#N/A</c:v>
                </c:pt>
                <c:pt idx="951">
                  <c:v>1663000</c:v>
                </c:pt>
                <c:pt idx="952">
                  <c:v>#N/A</c:v>
                </c:pt>
                <c:pt idx="953">
                  <c:v>#N/A</c:v>
                </c:pt>
                <c:pt idx="954">
                  <c:v>#N/A</c:v>
                </c:pt>
                <c:pt idx="955">
                  <c:v>#N/A</c:v>
                </c:pt>
                <c:pt idx="956">
                  <c:v>#N/A</c:v>
                </c:pt>
                <c:pt idx="957">
                  <c:v>#N/A</c:v>
                </c:pt>
                <c:pt idx="958">
                  <c:v>#N/A</c:v>
                </c:pt>
                <c:pt idx="959">
                  <c:v>#N/A</c:v>
                </c:pt>
                <c:pt idx="960">
                  <c:v>#N/A</c:v>
                </c:pt>
                <c:pt idx="961">
                  <c:v>#N/A</c:v>
                </c:pt>
                <c:pt idx="962">
                  <c:v>1126000</c:v>
                </c:pt>
                <c:pt idx="963">
                  <c:v>#N/A</c:v>
                </c:pt>
                <c:pt idx="964">
                  <c:v>#N/A</c:v>
                </c:pt>
                <c:pt idx="965">
                  <c:v>1316000</c:v>
                </c:pt>
                <c:pt idx="966">
                  <c:v>#N/A</c:v>
                </c:pt>
                <c:pt idx="967">
                  <c:v>#N/A</c:v>
                </c:pt>
                <c:pt idx="968">
                  <c:v>#N/A</c:v>
                </c:pt>
                <c:pt idx="969">
                  <c:v>#N/A</c:v>
                </c:pt>
                <c:pt idx="970">
                  <c:v>#N/A</c:v>
                </c:pt>
                <c:pt idx="971">
                  <c:v>#N/A</c:v>
                </c:pt>
                <c:pt idx="972">
                  <c:v>#N/A</c:v>
                </c:pt>
                <c:pt idx="973">
                  <c:v>1405000</c:v>
                </c:pt>
                <c:pt idx="974">
                  <c:v>#N/A</c:v>
                </c:pt>
                <c:pt idx="975">
                  <c:v>#N/A</c:v>
                </c:pt>
                <c:pt idx="976">
                  <c:v>#N/A</c:v>
                </c:pt>
                <c:pt idx="977">
                  <c:v>#N/A</c:v>
                </c:pt>
                <c:pt idx="978">
                  <c:v>1152000</c:v>
                </c:pt>
                <c:pt idx="979">
                  <c:v>#N/A</c:v>
                </c:pt>
                <c:pt idx="980">
                  <c:v>#N/A</c:v>
                </c:pt>
                <c:pt idx="981">
                  <c:v>#N/A</c:v>
                </c:pt>
                <c:pt idx="982">
                  <c:v>#N/A</c:v>
                </c:pt>
                <c:pt idx="983">
                  <c:v>#N/A</c:v>
                </c:pt>
                <c:pt idx="984">
                  <c:v>#N/A</c:v>
                </c:pt>
                <c:pt idx="985">
                  <c:v>#N/A</c:v>
                </c:pt>
                <c:pt idx="986">
                  <c:v>1248000</c:v>
                </c:pt>
                <c:pt idx="987">
                  <c:v>#N/A</c:v>
                </c:pt>
                <c:pt idx="988">
                  <c:v>#N/A</c:v>
                </c:pt>
                <c:pt idx="989">
                  <c:v>1287000</c:v>
                </c:pt>
                <c:pt idx="990">
                  <c:v>#N/A</c:v>
                </c:pt>
                <c:pt idx="991">
                  <c:v>#N/A</c:v>
                </c:pt>
                <c:pt idx="992">
                  <c:v>#N/A</c:v>
                </c:pt>
                <c:pt idx="993">
                  <c:v>#N/A</c:v>
                </c:pt>
                <c:pt idx="994">
                  <c:v>#N/A</c:v>
                </c:pt>
                <c:pt idx="995">
                  <c:v>#N/A</c:v>
                </c:pt>
                <c:pt idx="996">
                  <c:v>#N/A</c:v>
                </c:pt>
                <c:pt idx="997">
                  <c:v>#N/A</c:v>
                </c:pt>
                <c:pt idx="998">
                  <c:v>#N/A</c:v>
                </c:pt>
                <c:pt idx="999">
                  <c:v>802000</c:v>
                </c:pt>
                <c:pt idx="1000">
                  <c:v>1351000</c:v>
                </c:pt>
                <c:pt idx="1001">
                  <c:v>#N/A</c:v>
                </c:pt>
                <c:pt idx="1002">
                  <c:v>1347000</c:v>
                </c:pt>
                <c:pt idx="1003">
                  <c:v>#N/A</c:v>
                </c:pt>
                <c:pt idx="1004">
                  <c:v>#N/A</c:v>
                </c:pt>
                <c:pt idx="1005">
                  <c:v>#N/A</c:v>
                </c:pt>
                <c:pt idx="1006">
                  <c:v>1353000</c:v>
                </c:pt>
                <c:pt idx="1007">
                  <c:v>#N/A</c:v>
                </c:pt>
                <c:pt idx="1008">
                  <c:v>1843000</c:v>
                </c:pt>
                <c:pt idx="1009">
                  <c:v>#N/A</c:v>
                </c:pt>
                <c:pt idx="1010">
                  <c:v>#N/A</c:v>
                </c:pt>
                <c:pt idx="1011">
                  <c:v>#N/A</c:v>
                </c:pt>
                <c:pt idx="1012">
                  <c:v>#N/A</c:v>
                </c:pt>
                <c:pt idx="1013">
                  <c:v>1309000</c:v>
                </c:pt>
                <c:pt idx="1014">
                  <c:v>#N/A</c:v>
                </c:pt>
                <c:pt idx="1015">
                  <c:v>#N/A</c:v>
                </c:pt>
                <c:pt idx="1016">
                  <c:v>#N/A</c:v>
                </c:pt>
                <c:pt idx="1017">
                  <c:v>#N/A</c:v>
                </c:pt>
                <c:pt idx="1018">
                  <c:v>#N/A</c:v>
                </c:pt>
                <c:pt idx="1019">
                  <c:v>580000</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1365000</c:v>
                </c:pt>
                <c:pt idx="1043">
                  <c:v>1140000</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1544000</c:v>
                </c:pt>
                <c:pt idx="1061">
                  <c:v>#N/A</c:v>
                </c:pt>
                <c:pt idx="1062">
                  <c:v>#N/A</c:v>
                </c:pt>
                <c:pt idx="1063">
                  <c:v>#N/A</c:v>
                </c:pt>
                <c:pt idx="1064">
                  <c:v>#N/A</c:v>
                </c:pt>
                <c:pt idx="1065">
                  <c:v>#N/A</c:v>
                </c:pt>
                <c:pt idx="1066">
                  <c:v>#N/A</c:v>
                </c:pt>
                <c:pt idx="1067">
                  <c:v>#N/A</c:v>
                </c:pt>
                <c:pt idx="1068">
                  <c:v>#N/A</c:v>
                </c:pt>
                <c:pt idx="1069">
                  <c:v>#N/A</c:v>
                </c:pt>
                <c:pt idx="1070">
                  <c:v>1424000</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965000</c:v>
                </c:pt>
                <c:pt idx="1086">
                  <c:v>#N/A</c:v>
                </c:pt>
                <c:pt idx="1087">
                  <c:v>#N/A</c:v>
                </c:pt>
                <c:pt idx="1088">
                  <c:v>1491000</c:v>
                </c:pt>
                <c:pt idx="1089">
                  <c:v>#N/A</c:v>
                </c:pt>
                <c:pt idx="1090">
                  <c:v>#N/A</c:v>
                </c:pt>
                <c:pt idx="1091">
                  <c:v>#N/A</c:v>
                </c:pt>
                <c:pt idx="1092">
                  <c:v>#N/A</c:v>
                </c:pt>
                <c:pt idx="1093">
                  <c:v>#N/A</c:v>
                </c:pt>
                <c:pt idx="1094">
                  <c:v>#N/A</c:v>
                </c:pt>
                <c:pt idx="1095">
                  <c:v>#N/A</c:v>
                </c:pt>
                <c:pt idx="1096">
                  <c:v>928000</c:v>
                </c:pt>
                <c:pt idx="1097">
                  <c:v>#N/A</c:v>
                </c:pt>
                <c:pt idx="1098">
                  <c:v>#N/A</c:v>
                </c:pt>
                <c:pt idx="1099">
                  <c:v>#N/A</c:v>
                </c:pt>
                <c:pt idx="1100">
                  <c:v>733000</c:v>
                </c:pt>
                <c:pt idx="1101">
                  <c:v>#N/A</c:v>
                </c:pt>
                <c:pt idx="1102">
                  <c:v>#N/A</c:v>
                </c:pt>
                <c:pt idx="1103">
                  <c:v>#N/A</c:v>
                </c:pt>
                <c:pt idx="1104">
                  <c:v>1147000</c:v>
                </c:pt>
                <c:pt idx="1105">
                  <c:v>#N/A</c:v>
                </c:pt>
                <c:pt idx="1106">
                  <c:v>#N/A</c:v>
                </c:pt>
                <c:pt idx="1107">
                  <c:v>#N/A</c:v>
                </c:pt>
                <c:pt idx="1108">
                  <c:v>#N/A</c:v>
                </c:pt>
                <c:pt idx="1109">
                  <c:v>#N/A</c:v>
                </c:pt>
                <c:pt idx="1110">
                  <c:v>1347000</c:v>
                </c:pt>
                <c:pt idx="1111">
                  <c:v>#N/A</c:v>
                </c:pt>
                <c:pt idx="1112">
                  <c:v>#N/A</c:v>
                </c:pt>
                <c:pt idx="1113">
                  <c:v>1248000</c:v>
                </c:pt>
                <c:pt idx="1114">
                  <c:v>#N/A</c:v>
                </c:pt>
                <c:pt idx="1115">
                  <c:v>#N/A</c:v>
                </c:pt>
                <c:pt idx="1116">
                  <c:v>#N/A</c:v>
                </c:pt>
                <c:pt idx="1117">
                  <c:v>815000</c:v>
                </c:pt>
                <c:pt idx="1118">
                  <c:v>#N/A</c:v>
                </c:pt>
                <c:pt idx="1119">
                  <c:v>#N/A</c:v>
                </c:pt>
                <c:pt idx="1120">
                  <c:v>#N/A</c:v>
                </c:pt>
                <c:pt idx="1121">
                  <c:v>1118000</c:v>
                </c:pt>
                <c:pt idx="1122">
                  <c:v>#N/A</c:v>
                </c:pt>
                <c:pt idx="1123">
                  <c:v>#N/A</c:v>
                </c:pt>
                <c:pt idx="1124">
                  <c:v>#N/A</c:v>
                </c:pt>
                <c:pt idx="1125">
                  <c:v>#N/A</c:v>
                </c:pt>
                <c:pt idx="1126">
                  <c:v>#N/A</c:v>
                </c:pt>
                <c:pt idx="1127">
                  <c:v>#N/A</c:v>
                </c:pt>
                <c:pt idx="1128">
                  <c:v>1245000</c:v>
                </c:pt>
                <c:pt idx="1129">
                  <c:v>1467000</c:v>
                </c:pt>
                <c:pt idx="1130">
                  <c:v>#N/A</c:v>
                </c:pt>
                <c:pt idx="1131">
                  <c:v>#N/A</c:v>
                </c:pt>
                <c:pt idx="1132">
                  <c:v>#N/A</c:v>
                </c:pt>
                <c:pt idx="1133">
                  <c:v>#N/A</c:v>
                </c:pt>
                <c:pt idx="1134">
                  <c:v>1655000</c:v>
                </c:pt>
                <c:pt idx="1135">
                  <c:v>979000</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1072000</c:v>
                </c:pt>
                <c:pt idx="1149">
                  <c:v>#N/A</c:v>
                </c:pt>
                <c:pt idx="1150">
                  <c:v>1088000</c:v>
                </c:pt>
                <c:pt idx="1151">
                  <c:v>#N/A</c:v>
                </c:pt>
                <c:pt idx="1152">
                  <c:v>1426000</c:v>
                </c:pt>
                <c:pt idx="1153">
                  <c:v>#N/A</c:v>
                </c:pt>
                <c:pt idx="1154">
                  <c:v>888000</c:v>
                </c:pt>
                <c:pt idx="1155">
                  <c:v>1435000</c:v>
                </c:pt>
                <c:pt idx="1156">
                  <c:v>#N/A</c:v>
                </c:pt>
                <c:pt idx="1157">
                  <c:v>1144000</c:v>
                </c:pt>
                <c:pt idx="1158">
                  <c:v>#N/A</c:v>
                </c:pt>
                <c:pt idx="1159">
                  <c:v>#N/A</c:v>
                </c:pt>
                <c:pt idx="1160">
                  <c:v>#N/A</c:v>
                </c:pt>
                <c:pt idx="1161">
                  <c:v>#N/A</c:v>
                </c:pt>
                <c:pt idx="1162">
                  <c:v>#N/A</c:v>
                </c:pt>
                <c:pt idx="1163">
                  <c:v>#N/A</c:v>
                </c:pt>
                <c:pt idx="1164">
                  <c:v>#N/A</c:v>
                </c:pt>
                <c:pt idx="1165">
                  <c:v>1150000</c:v>
                </c:pt>
                <c:pt idx="1166">
                  <c:v>#N/A</c:v>
                </c:pt>
                <c:pt idx="1167">
                  <c:v>#N/A</c:v>
                </c:pt>
                <c:pt idx="1168">
                  <c:v>#N/A</c:v>
                </c:pt>
                <c:pt idx="1169">
                  <c:v>#N/A</c:v>
                </c:pt>
                <c:pt idx="1170">
                  <c:v>#N/A</c:v>
                </c:pt>
                <c:pt idx="1171">
                  <c:v>#N/A</c:v>
                </c:pt>
                <c:pt idx="1172">
                  <c:v>#N/A</c:v>
                </c:pt>
                <c:pt idx="1173">
                  <c:v>705000</c:v>
                </c:pt>
                <c:pt idx="1174">
                  <c:v>#N/A</c:v>
                </c:pt>
                <c:pt idx="1175">
                  <c:v>#N/A</c:v>
                </c:pt>
                <c:pt idx="1176">
                  <c:v>#N/A</c:v>
                </c:pt>
                <c:pt idx="1177">
                  <c:v>#N/A</c:v>
                </c:pt>
                <c:pt idx="1178">
                  <c:v>#N/A</c:v>
                </c:pt>
                <c:pt idx="1179">
                  <c:v>1126000</c:v>
                </c:pt>
                <c:pt idx="1180">
                  <c:v>#N/A</c:v>
                </c:pt>
                <c:pt idx="1181">
                  <c:v>#N/A</c:v>
                </c:pt>
                <c:pt idx="1182">
                  <c:v>#N/A</c:v>
                </c:pt>
                <c:pt idx="1183">
                  <c:v>#N/A</c:v>
                </c:pt>
                <c:pt idx="1184">
                  <c:v>1028000</c:v>
                </c:pt>
                <c:pt idx="1185">
                  <c:v>1342000</c:v>
                </c:pt>
                <c:pt idx="1186">
                  <c:v>1509000</c:v>
                </c:pt>
                <c:pt idx="1187">
                  <c:v>#N/A</c:v>
                </c:pt>
                <c:pt idx="1188">
                  <c:v>#N/A</c:v>
                </c:pt>
                <c:pt idx="1189">
                  <c:v>#N/A</c:v>
                </c:pt>
                <c:pt idx="1190">
                  <c:v>#N/A</c:v>
                </c:pt>
                <c:pt idx="1191">
                  <c:v>#N/A</c:v>
                </c:pt>
                <c:pt idx="1192">
                  <c:v>913000</c:v>
                </c:pt>
                <c:pt idx="1193">
                  <c:v>1072000</c:v>
                </c:pt>
                <c:pt idx="1194">
                  <c:v>#N/A</c:v>
                </c:pt>
                <c:pt idx="1195">
                  <c:v>#N/A</c:v>
                </c:pt>
                <c:pt idx="1196">
                  <c:v>#N/A</c:v>
                </c:pt>
                <c:pt idx="1197">
                  <c:v>#N/A</c:v>
                </c:pt>
                <c:pt idx="1198">
                  <c:v>#N/A</c:v>
                </c:pt>
                <c:pt idx="1199">
                  <c:v>#N/A</c:v>
                </c:pt>
                <c:pt idx="1200">
                  <c:v>#N/A</c:v>
                </c:pt>
              </c:numCache>
            </c:numRef>
          </c:yVal>
          <c:smooth val="0"/>
          <c:extLst>
            <c:ext xmlns:c16="http://schemas.microsoft.com/office/drawing/2014/chart" uri="{C3380CC4-5D6E-409C-BE32-E72D297353CC}">
              <c16:uniqueId val="{00000002-E68E-A849-803B-7832E31AC732}"/>
            </c:ext>
          </c:extLst>
        </c:ser>
        <c:ser>
          <c:idx val="3"/>
          <c:order val="3"/>
          <c:tx>
            <c:v>Studio</c:v>
          </c:tx>
          <c:spPr>
            <a:ln w="25400" cap="rnd">
              <a:noFill/>
              <a:round/>
            </a:ln>
            <a:effectLst/>
          </c:spPr>
          <c:marker>
            <c:symbol val="circle"/>
            <c:size val="5"/>
            <c:spPr>
              <a:solidFill>
                <a:schemeClr val="accent4"/>
              </a:solidFill>
              <a:ln w="9525">
                <a:solidFill>
                  <a:schemeClr val="accent4"/>
                </a:solidFill>
              </a:ln>
              <a:effectLst/>
            </c:spPr>
          </c:marker>
          <c:xVal>
            <c:strRef>
              <c:f>riyadh_realestate_dataset!$W:$W</c:f>
              <c:strCache>
                <c:ptCount val="1201"/>
                <c:pt idx="0">
                  <c:v>studio_area</c:v>
                </c:pt>
                <c:pt idx="1">
                  <c:v>#N/A</c:v>
                </c:pt>
                <c:pt idx="2">
                  <c:v>#N/A</c:v>
                </c:pt>
                <c:pt idx="3">
                  <c:v>#N/A</c:v>
                </c:pt>
                <c:pt idx="4">
                  <c:v>#N/A</c:v>
                </c:pt>
                <c:pt idx="5">
                  <c:v>#N/A</c:v>
                </c:pt>
                <c:pt idx="6">
                  <c:v>#N/A</c:v>
                </c:pt>
                <c:pt idx="7">
                  <c:v>#N/A</c:v>
                </c:pt>
                <c:pt idx="8">
                  <c:v>#N/A</c:v>
                </c:pt>
                <c:pt idx="9">
                  <c:v>#N/A</c:v>
                </c:pt>
                <c:pt idx="10">
                  <c:v>#N/A</c:v>
                </c:pt>
                <c:pt idx="11">
                  <c:v>#N/A</c:v>
                </c:pt>
                <c:pt idx="12">
                  <c:v>#N/A</c:v>
                </c:pt>
                <c:pt idx="13">
                  <c:v>70</c:v>
                </c:pt>
                <c:pt idx="14">
                  <c:v>#N/A</c:v>
                </c:pt>
                <c:pt idx="15">
                  <c:v>#N/A</c:v>
                </c:pt>
                <c:pt idx="16">
                  <c:v>#N/A</c:v>
                </c:pt>
                <c:pt idx="17">
                  <c:v>#N/A</c:v>
                </c:pt>
                <c:pt idx="18">
                  <c:v>#N/A</c:v>
                </c:pt>
                <c:pt idx="19">
                  <c:v>#N/A</c:v>
                </c:pt>
                <c:pt idx="20">
                  <c:v>#N/A</c:v>
                </c:pt>
                <c:pt idx="21">
                  <c:v>#N/A</c:v>
                </c:pt>
                <c:pt idx="22">
                  <c:v>#N/A</c:v>
                </c:pt>
                <c:pt idx="23">
                  <c:v>#N/A</c:v>
                </c:pt>
                <c:pt idx="24">
                  <c:v>#N/A</c:v>
                </c:pt>
                <c:pt idx="25">
                  <c:v>#N/A</c:v>
                </c:pt>
                <c:pt idx="26">
                  <c:v>57</c:v>
                </c:pt>
                <c:pt idx="27">
                  <c:v>#N/A</c:v>
                </c:pt>
                <c:pt idx="28">
                  <c:v>#N/A</c:v>
                </c:pt>
                <c:pt idx="29">
                  <c:v>#N/A</c:v>
                </c:pt>
                <c:pt idx="30">
                  <c:v>#N/A</c:v>
                </c:pt>
                <c:pt idx="31">
                  <c:v>58</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41</c:v>
                </c:pt>
                <c:pt idx="62">
                  <c:v>#N/A</c:v>
                </c:pt>
                <c:pt idx="63">
                  <c:v>#N/A</c:v>
                </c:pt>
                <c:pt idx="64">
                  <c:v>#N/A</c:v>
                </c:pt>
                <c:pt idx="65">
                  <c:v>#N/A</c:v>
                </c:pt>
                <c:pt idx="66">
                  <c:v>#N/A</c:v>
                </c:pt>
                <c:pt idx="67">
                  <c:v>#N/A</c:v>
                </c:pt>
                <c:pt idx="68">
                  <c:v>#N/A</c:v>
                </c:pt>
                <c:pt idx="69">
                  <c:v>#N/A</c:v>
                </c:pt>
                <c:pt idx="70">
                  <c:v>#N/A</c:v>
                </c:pt>
                <c:pt idx="71">
                  <c:v>#N/A</c:v>
                </c:pt>
                <c:pt idx="72">
                  <c:v>#N/A</c:v>
                </c:pt>
                <c:pt idx="73">
                  <c:v>66</c:v>
                </c:pt>
                <c:pt idx="74">
                  <c:v>#N/A</c:v>
                </c:pt>
                <c:pt idx="75">
                  <c:v>#N/A</c:v>
                </c:pt>
                <c:pt idx="76">
                  <c:v>#N/A</c:v>
                </c:pt>
                <c:pt idx="77">
                  <c:v>#N/A</c:v>
                </c:pt>
                <c:pt idx="78">
                  <c:v>#N/A</c:v>
                </c:pt>
                <c:pt idx="79">
                  <c:v>39</c:v>
                </c:pt>
                <c:pt idx="80">
                  <c:v>#N/A</c:v>
                </c:pt>
                <c:pt idx="81">
                  <c:v>#N/A</c:v>
                </c:pt>
                <c:pt idx="82">
                  <c:v>70</c:v>
                </c:pt>
                <c:pt idx="83">
                  <c:v>#N/A</c:v>
                </c:pt>
                <c:pt idx="84">
                  <c:v>#N/A</c:v>
                </c:pt>
                <c:pt idx="85">
                  <c:v>63</c:v>
                </c:pt>
                <c:pt idx="86">
                  <c:v>#N/A</c:v>
                </c:pt>
                <c:pt idx="87">
                  <c:v>#N/A</c:v>
                </c:pt>
                <c:pt idx="88">
                  <c:v>#N/A</c:v>
                </c:pt>
                <c:pt idx="89">
                  <c:v>#N/A</c:v>
                </c:pt>
                <c:pt idx="90">
                  <c:v>#N/A</c:v>
                </c:pt>
                <c:pt idx="91">
                  <c:v>#N/A</c:v>
                </c:pt>
                <c:pt idx="92">
                  <c:v>#N/A</c:v>
                </c:pt>
                <c:pt idx="93">
                  <c:v>#N/A</c:v>
                </c:pt>
                <c:pt idx="94">
                  <c:v>#N/A</c:v>
                </c:pt>
                <c:pt idx="95">
                  <c:v>#N/A</c:v>
                </c:pt>
                <c:pt idx="96">
                  <c:v>48</c:v>
                </c:pt>
                <c:pt idx="97">
                  <c:v>#N/A</c:v>
                </c:pt>
                <c:pt idx="98">
                  <c:v>#N/A</c:v>
                </c:pt>
                <c:pt idx="99">
                  <c:v>#N/A</c:v>
                </c:pt>
                <c:pt idx="100">
                  <c:v>#N/A</c:v>
                </c:pt>
                <c:pt idx="101">
                  <c:v>#N/A</c:v>
                </c:pt>
                <c:pt idx="102">
                  <c:v>#N/A</c:v>
                </c:pt>
                <c:pt idx="103">
                  <c:v>#N/A</c:v>
                </c:pt>
                <c:pt idx="104">
                  <c:v>#N/A</c:v>
                </c:pt>
                <c:pt idx="105">
                  <c:v>#N/A</c:v>
                </c:pt>
                <c:pt idx="106">
                  <c:v>58</c:v>
                </c:pt>
                <c:pt idx="107">
                  <c:v>#N/A</c:v>
                </c:pt>
                <c:pt idx="108">
                  <c:v>#N/A</c:v>
                </c:pt>
                <c:pt idx="109">
                  <c:v>#N/A</c:v>
                </c:pt>
                <c:pt idx="110">
                  <c:v>#N/A</c:v>
                </c:pt>
                <c:pt idx="111">
                  <c:v>#N/A</c:v>
                </c:pt>
                <c:pt idx="112">
                  <c:v>#N/A</c:v>
                </c:pt>
                <c:pt idx="113">
                  <c:v>#N/A</c:v>
                </c:pt>
                <c:pt idx="114">
                  <c:v>#N/A</c:v>
                </c:pt>
                <c:pt idx="115">
                  <c:v>#N/A</c:v>
                </c:pt>
                <c:pt idx="116">
                  <c:v>54</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94</c:v>
                </c:pt>
                <c:pt idx="131">
                  <c:v>65</c:v>
                </c:pt>
                <c:pt idx="132">
                  <c:v>#N/A</c:v>
                </c:pt>
                <c:pt idx="133">
                  <c:v>#N/A</c:v>
                </c:pt>
                <c:pt idx="134">
                  <c:v>53</c:v>
                </c:pt>
                <c:pt idx="135">
                  <c:v>#N/A</c:v>
                </c:pt>
                <c:pt idx="136">
                  <c:v>#N/A</c:v>
                </c:pt>
                <c:pt idx="137">
                  <c:v>#N/A</c:v>
                </c:pt>
                <c:pt idx="138">
                  <c:v>#N/A</c:v>
                </c:pt>
                <c:pt idx="139">
                  <c:v>#N/A</c:v>
                </c:pt>
                <c:pt idx="140">
                  <c:v>62</c:v>
                </c:pt>
                <c:pt idx="141">
                  <c:v>#N/A</c:v>
                </c:pt>
                <c:pt idx="142">
                  <c:v>48</c:v>
                </c:pt>
                <c:pt idx="143">
                  <c:v>#N/A</c:v>
                </c:pt>
                <c:pt idx="144">
                  <c:v>#N/A</c:v>
                </c:pt>
                <c:pt idx="145">
                  <c:v>#N/A</c:v>
                </c:pt>
                <c:pt idx="146">
                  <c:v>#N/A</c:v>
                </c:pt>
                <c:pt idx="147">
                  <c:v>#N/A</c:v>
                </c:pt>
                <c:pt idx="148">
                  <c:v>#N/A</c:v>
                </c:pt>
                <c:pt idx="149">
                  <c:v>#N/A</c:v>
                </c:pt>
                <c:pt idx="150">
                  <c:v>48</c:v>
                </c:pt>
                <c:pt idx="151">
                  <c:v>#N/A</c:v>
                </c:pt>
                <c:pt idx="152">
                  <c:v>#N/A</c:v>
                </c:pt>
                <c:pt idx="153">
                  <c:v>#N/A</c:v>
                </c:pt>
                <c:pt idx="154">
                  <c:v>#N/A</c:v>
                </c:pt>
                <c:pt idx="155">
                  <c:v>68</c:v>
                </c:pt>
                <c:pt idx="156">
                  <c:v>#N/A</c:v>
                </c:pt>
                <c:pt idx="157">
                  <c:v>#N/A</c:v>
                </c:pt>
                <c:pt idx="158">
                  <c:v>#N/A</c:v>
                </c:pt>
                <c:pt idx="159">
                  <c:v>#N/A</c:v>
                </c:pt>
                <c:pt idx="160">
                  <c:v>#N/A</c:v>
                </c:pt>
                <c:pt idx="161">
                  <c:v>#N/A</c:v>
                </c:pt>
                <c:pt idx="162">
                  <c:v>#N/A</c:v>
                </c:pt>
                <c:pt idx="163">
                  <c:v>#N/A</c:v>
                </c:pt>
                <c:pt idx="164">
                  <c:v>#N/A</c:v>
                </c:pt>
                <c:pt idx="165">
                  <c:v>#N/A</c:v>
                </c:pt>
                <c:pt idx="166">
                  <c:v>60</c:v>
                </c:pt>
                <c:pt idx="167">
                  <c:v>#N/A</c:v>
                </c:pt>
                <c:pt idx="168">
                  <c:v>#N/A</c:v>
                </c:pt>
                <c:pt idx="169">
                  <c:v>71</c:v>
                </c:pt>
                <c:pt idx="170">
                  <c:v>#N/A</c:v>
                </c:pt>
                <c:pt idx="171">
                  <c:v>53</c:v>
                </c:pt>
                <c:pt idx="172">
                  <c:v>#N/A</c:v>
                </c:pt>
                <c:pt idx="173">
                  <c:v>#N/A</c:v>
                </c:pt>
                <c:pt idx="174">
                  <c:v>#N/A</c:v>
                </c:pt>
                <c:pt idx="175">
                  <c:v>#N/A</c:v>
                </c:pt>
                <c:pt idx="176">
                  <c:v>#N/A</c:v>
                </c:pt>
                <c:pt idx="177">
                  <c:v>#N/A</c:v>
                </c:pt>
                <c:pt idx="178">
                  <c:v>58</c:v>
                </c:pt>
                <c:pt idx="179">
                  <c:v>47</c:v>
                </c:pt>
                <c:pt idx="180">
                  <c:v>#N/A</c:v>
                </c:pt>
                <c:pt idx="181">
                  <c:v>#N/A</c:v>
                </c:pt>
                <c:pt idx="182">
                  <c:v>#N/A</c:v>
                </c:pt>
                <c:pt idx="183">
                  <c:v>#N/A</c:v>
                </c:pt>
                <c:pt idx="184">
                  <c:v>#N/A</c:v>
                </c:pt>
                <c:pt idx="185">
                  <c:v>63</c:v>
                </c:pt>
                <c:pt idx="186">
                  <c:v>#N/A</c:v>
                </c:pt>
                <c:pt idx="187">
                  <c:v>#N/A</c:v>
                </c:pt>
                <c:pt idx="188">
                  <c:v>#N/A</c:v>
                </c:pt>
                <c:pt idx="189">
                  <c:v>#N/A</c:v>
                </c:pt>
                <c:pt idx="190">
                  <c:v>#N/A</c:v>
                </c:pt>
                <c:pt idx="191">
                  <c:v>47</c:v>
                </c:pt>
                <c:pt idx="192">
                  <c:v>#N/A</c:v>
                </c:pt>
                <c:pt idx="193">
                  <c:v>#N/A</c:v>
                </c:pt>
                <c:pt idx="194">
                  <c:v>#N/A</c:v>
                </c:pt>
                <c:pt idx="195">
                  <c:v>#N/A</c:v>
                </c:pt>
                <c:pt idx="196">
                  <c:v>#N/A</c:v>
                </c:pt>
                <c:pt idx="197">
                  <c:v>#N/A</c:v>
                </c:pt>
                <c:pt idx="198">
                  <c:v>#N/A</c:v>
                </c:pt>
                <c:pt idx="199">
                  <c:v>#N/A</c:v>
                </c:pt>
                <c:pt idx="200">
                  <c:v>49</c:v>
                </c:pt>
                <c:pt idx="201">
                  <c:v>#N/A</c:v>
                </c:pt>
                <c:pt idx="202">
                  <c:v>#N/A</c:v>
                </c:pt>
                <c:pt idx="203">
                  <c:v>#N/A</c:v>
                </c:pt>
                <c:pt idx="204">
                  <c:v>#N/A</c:v>
                </c:pt>
                <c:pt idx="205">
                  <c:v>#N/A</c:v>
                </c:pt>
                <c:pt idx="206">
                  <c:v>#N/A</c:v>
                </c:pt>
                <c:pt idx="207">
                  <c:v>48</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67</c:v>
                </c:pt>
                <c:pt idx="234">
                  <c:v>#N/A</c:v>
                </c:pt>
                <c:pt idx="235">
                  <c:v>#N/A</c:v>
                </c:pt>
                <c:pt idx="236">
                  <c:v>#N/A</c:v>
                </c:pt>
                <c:pt idx="237">
                  <c:v>#N/A</c:v>
                </c:pt>
                <c:pt idx="238">
                  <c:v>#N/A</c:v>
                </c:pt>
                <c:pt idx="239">
                  <c:v>#N/A</c:v>
                </c:pt>
                <c:pt idx="240">
                  <c:v>55</c:v>
                </c:pt>
                <c:pt idx="241">
                  <c:v>#N/A</c:v>
                </c:pt>
                <c:pt idx="242">
                  <c:v>61</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53</c:v>
                </c:pt>
                <c:pt idx="277">
                  <c:v>50</c:v>
                </c:pt>
                <c:pt idx="278">
                  <c:v>#N/A</c:v>
                </c:pt>
                <c:pt idx="279">
                  <c:v>#N/A</c:v>
                </c:pt>
                <c:pt idx="280">
                  <c:v>#N/A</c:v>
                </c:pt>
                <c:pt idx="281">
                  <c:v>#N/A</c:v>
                </c:pt>
                <c:pt idx="282">
                  <c:v>#N/A</c:v>
                </c:pt>
                <c:pt idx="283">
                  <c:v>#N/A</c:v>
                </c:pt>
                <c:pt idx="284">
                  <c:v>#N/A</c:v>
                </c:pt>
                <c:pt idx="285">
                  <c:v>#N/A</c:v>
                </c:pt>
                <c:pt idx="286">
                  <c:v>#N/A</c:v>
                </c:pt>
                <c:pt idx="287">
                  <c:v>#N/A</c:v>
                </c:pt>
                <c:pt idx="288">
                  <c:v>#N/A</c:v>
                </c:pt>
                <c:pt idx="289">
                  <c:v>72</c:v>
                </c:pt>
                <c:pt idx="290">
                  <c:v>#N/A</c:v>
                </c:pt>
                <c:pt idx="291">
                  <c:v>#N/A</c:v>
                </c:pt>
                <c:pt idx="292">
                  <c:v>#N/A</c:v>
                </c:pt>
                <c:pt idx="293">
                  <c:v>#N/A</c:v>
                </c:pt>
                <c:pt idx="294">
                  <c:v>53</c:v>
                </c:pt>
                <c:pt idx="295">
                  <c:v>#N/A</c:v>
                </c:pt>
                <c:pt idx="296">
                  <c:v>#N/A</c:v>
                </c:pt>
                <c:pt idx="297">
                  <c:v>#N/A</c:v>
                </c:pt>
                <c:pt idx="298">
                  <c:v>#N/A</c:v>
                </c:pt>
                <c:pt idx="299">
                  <c:v>#N/A</c:v>
                </c:pt>
                <c:pt idx="300">
                  <c:v>#N/A</c:v>
                </c:pt>
                <c:pt idx="301">
                  <c:v>#N/A</c:v>
                </c:pt>
                <c:pt idx="302">
                  <c:v>#N/A</c:v>
                </c:pt>
                <c:pt idx="303">
                  <c:v>#N/A</c:v>
                </c:pt>
                <c:pt idx="304">
                  <c:v>#N/A</c:v>
                </c:pt>
                <c:pt idx="305">
                  <c:v>#N/A</c:v>
                </c:pt>
                <c:pt idx="306">
                  <c:v>63</c:v>
                </c:pt>
                <c:pt idx="307">
                  <c:v>#N/A</c:v>
                </c:pt>
                <c:pt idx="308">
                  <c:v>#N/A</c:v>
                </c:pt>
                <c:pt idx="309">
                  <c:v>48</c:v>
                </c:pt>
                <c:pt idx="310">
                  <c:v>61</c:v>
                </c:pt>
                <c:pt idx="311">
                  <c:v>#N/A</c:v>
                </c:pt>
                <c:pt idx="312">
                  <c:v>#N/A</c:v>
                </c:pt>
                <c:pt idx="313">
                  <c:v>#N/A</c:v>
                </c:pt>
                <c:pt idx="314">
                  <c:v>#N/A</c:v>
                </c:pt>
                <c:pt idx="315">
                  <c:v>#N/A</c:v>
                </c:pt>
                <c:pt idx="316">
                  <c:v>#N/A</c:v>
                </c:pt>
                <c:pt idx="317">
                  <c:v>#N/A</c:v>
                </c:pt>
                <c:pt idx="318">
                  <c:v>#N/A</c:v>
                </c:pt>
                <c:pt idx="319">
                  <c:v>#N/A</c:v>
                </c:pt>
                <c:pt idx="320">
                  <c:v>#N/A</c:v>
                </c:pt>
                <c:pt idx="321">
                  <c:v>61</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50</c:v>
                </c:pt>
                <c:pt idx="349">
                  <c:v>#N/A</c:v>
                </c:pt>
                <c:pt idx="350">
                  <c:v>45</c:v>
                </c:pt>
                <c:pt idx="351">
                  <c:v>#N/A</c:v>
                </c:pt>
                <c:pt idx="352">
                  <c:v>#N/A</c:v>
                </c:pt>
                <c:pt idx="353">
                  <c:v>#N/A</c:v>
                </c:pt>
                <c:pt idx="354">
                  <c:v>74</c:v>
                </c:pt>
                <c:pt idx="355">
                  <c:v>#N/A</c:v>
                </c:pt>
                <c:pt idx="356">
                  <c:v>#N/A</c:v>
                </c:pt>
                <c:pt idx="357">
                  <c:v>#N/A</c:v>
                </c:pt>
                <c:pt idx="358">
                  <c:v>#N/A</c:v>
                </c:pt>
                <c:pt idx="359">
                  <c:v>#N/A</c:v>
                </c:pt>
                <c:pt idx="360">
                  <c:v>#N/A</c:v>
                </c:pt>
                <c:pt idx="361">
                  <c:v>47</c:v>
                </c:pt>
                <c:pt idx="362">
                  <c:v>#N/A</c:v>
                </c:pt>
                <c:pt idx="363">
                  <c:v>#N/A</c:v>
                </c:pt>
                <c:pt idx="364">
                  <c:v>#N/A</c:v>
                </c:pt>
                <c:pt idx="365">
                  <c:v>#N/A</c:v>
                </c:pt>
                <c:pt idx="366">
                  <c:v>#N/A</c:v>
                </c:pt>
                <c:pt idx="367">
                  <c:v>#N/A</c:v>
                </c:pt>
                <c:pt idx="368">
                  <c:v>#N/A</c:v>
                </c:pt>
                <c:pt idx="369">
                  <c:v>#N/A</c:v>
                </c:pt>
                <c:pt idx="370">
                  <c:v>#N/A</c:v>
                </c:pt>
                <c:pt idx="371">
                  <c:v>45</c:v>
                </c:pt>
                <c:pt idx="372">
                  <c:v>#N/A</c:v>
                </c:pt>
                <c:pt idx="373">
                  <c:v>#N/A</c:v>
                </c:pt>
                <c:pt idx="374">
                  <c:v>#N/A</c:v>
                </c:pt>
                <c:pt idx="375">
                  <c:v>52</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52</c:v>
                </c:pt>
                <c:pt idx="390">
                  <c:v>#N/A</c:v>
                </c:pt>
                <c:pt idx="391">
                  <c:v>#N/A</c:v>
                </c:pt>
                <c:pt idx="392">
                  <c:v>#N/A</c:v>
                </c:pt>
                <c:pt idx="393">
                  <c:v>#N/A</c:v>
                </c:pt>
                <c:pt idx="394">
                  <c:v>#N/A</c:v>
                </c:pt>
                <c:pt idx="395">
                  <c:v>#N/A</c:v>
                </c:pt>
                <c:pt idx="396">
                  <c:v>#N/A</c:v>
                </c:pt>
                <c:pt idx="397">
                  <c:v>62</c:v>
                </c:pt>
                <c:pt idx="398">
                  <c:v>#N/A</c:v>
                </c:pt>
                <c:pt idx="399">
                  <c:v>#N/A</c:v>
                </c:pt>
                <c:pt idx="400">
                  <c:v>#N/A</c:v>
                </c:pt>
                <c:pt idx="401">
                  <c:v>53</c:v>
                </c:pt>
                <c:pt idx="402">
                  <c:v>#N/A</c:v>
                </c:pt>
                <c:pt idx="403">
                  <c:v>#N/A</c:v>
                </c:pt>
                <c:pt idx="404">
                  <c:v>#N/A</c:v>
                </c:pt>
                <c:pt idx="405">
                  <c:v>#N/A</c:v>
                </c:pt>
                <c:pt idx="406">
                  <c:v>52</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58</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56</c:v>
                </c:pt>
                <c:pt idx="443">
                  <c:v>#N/A</c:v>
                </c:pt>
                <c:pt idx="444">
                  <c:v>48</c:v>
                </c:pt>
                <c:pt idx="445">
                  <c:v>#N/A</c:v>
                </c:pt>
                <c:pt idx="446">
                  <c:v>#N/A</c:v>
                </c:pt>
                <c:pt idx="447">
                  <c:v>#N/A</c:v>
                </c:pt>
                <c:pt idx="448">
                  <c:v>#N/A</c:v>
                </c:pt>
                <c:pt idx="449">
                  <c:v>#N/A</c:v>
                </c:pt>
                <c:pt idx="450">
                  <c:v>#N/A</c:v>
                </c:pt>
                <c:pt idx="451">
                  <c:v>#N/A</c:v>
                </c:pt>
                <c:pt idx="452">
                  <c:v>#N/A</c:v>
                </c:pt>
                <c:pt idx="453">
                  <c:v>#N/A</c:v>
                </c:pt>
                <c:pt idx="454">
                  <c:v>#N/A</c:v>
                </c:pt>
                <c:pt idx="455">
                  <c:v>63</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69</c:v>
                </c:pt>
                <c:pt idx="477">
                  <c:v>#N/A</c:v>
                </c:pt>
                <c:pt idx="478">
                  <c:v>70</c:v>
                </c:pt>
                <c:pt idx="479">
                  <c:v>#N/A</c:v>
                </c:pt>
                <c:pt idx="480">
                  <c:v>#N/A</c:v>
                </c:pt>
                <c:pt idx="481">
                  <c:v>#N/A</c:v>
                </c:pt>
                <c:pt idx="482">
                  <c:v>#N/A</c:v>
                </c:pt>
                <c:pt idx="483">
                  <c:v>#N/A</c:v>
                </c:pt>
                <c:pt idx="484">
                  <c:v>#N/A</c:v>
                </c:pt>
                <c:pt idx="485">
                  <c:v>#N/A</c:v>
                </c:pt>
                <c:pt idx="486">
                  <c:v>#N/A</c:v>
                </c:pt>
                <c:pt idx="487">
                  <c:v>#N/A</c:v>
                </c:pt>
                <c:pt idx="488">
                  <c:v>#N/A</c:v>
                </c:pt>
                <c:pt idx="489">
                  <c:v>57</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51</c:v>
                </c:pt>
                <c:pt idx="503">
                  <c:v>#N/A</c:v>
                </c:pt>
                <c:pt idx="504">
                  <c:v>#N/A</c:v>
                </c:pt>
                <c:pt idx="505">
                  <c:v>#N/A</c:v>
                </c:pt>
                <c:pt idx="506">
                  <c:v>47</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59</c:v>
                </c:pt>
                <c:pt idx="524">
                  <c:v>#N/A</c:v>
                </c:pt>
                <c:pt idx="525">
                  <c:v>#N/A</c:v>
                </c:pt>
                <c:pt idx="526">
                  <c:v>55</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41</c:v>
                </c:pt>
                <c:pt idx="542">
                  <c:v>#N/A</c:v>
                </c:pt>
                <c:pt idx="543">
                  <c:v>#N/A</c:v>
                </c:pt>
                <c:pt idx="544">
                  <c:v>#N/A</c:v>
                </c:pt>
                <c:pt idx="545">
                  <c:v>#N/A</c:v>
                </c:pt>
                <c:pt idx="546">
                  <c:v>#N/A</c:v>
                </c:pt>
                <c:pt idx="547">
                  <c:v>#N/A</c:v>
                </c:pt>
                <c:pt idx="548">
                  <c:v>54</c:v>
                </c:pt>
                <c:pt idx="549">
                  <c:v>#N/A</c:v>
                </c:pt>
                <c:pt idx="550">
                  <c:v>#N/A</c:v>
                </c:pt>
                <c:pt idx="551">
                  <c:v>#N/A</c:v>
                </c:pt>
                <c:pt idx="552">
                  <c:v>#N/A</c:v>
                </c:pt>
                <c:pt idx="553">
                  <c:v>#N/A</c:v>
                </c:pt>
                <c:pt idx="554">
                  <c:v>#N/A</c:v>
                </c:pt>
                <c:pt idx="555">
                  <c:v>#N/A</c:v>
                </c:pt>
                <c:pt idx="556">
                  <c:v>60</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45</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50</c:v>
                </c:pt>
                <c:pt idx="604">
                  <c:v>#N/A</c:v>
                </c:pt>
                <c:pt idx="605">
                  <c:v>#N/A</c:v>
                </c:pt>
                <c:pt idx="606">
                  <c:v>#N/A</c:v>
                </c:pt>
                <c:pt idx="607">
                  <c:v>#N/A</c:v>
                </c:pt>
                <c:pt idx="608">
                  <c:v>#N/A</c:v>
                </c:pt>
                <c:pt idx="609">
                  <c:v>#N/A</c:v>
                </c:pt>
                <c:pt idx="610">
                  <c:v>#N/A</c:v>
                </c:pt>
                <c:pt idx="611">
                  <c:v>#N/A</c:v>
                </c:pt>
                <c:pt idx="612">
                  <c:v>#N/A</c:v>
                </c:pt>
                <c:pt idx="613">
                  <c:v>#N/A</c:v>
                </c:pt>
                <c:pt idx="614">
                  <c:v>58</c:v>
                </c:pt>
                <c:pt idx="615">
                  <c:v>#N/A</c:v>
                </c:pt>
                <c:pt idx="616">
                  <c:v>#N/A</c:v>
                </c:pt>
                <c:pt idx="617">
                  <c:v>#N/A</c:v>
                </c:pt>
                <c:pt idx="618">
                  <c:v>#N/A</c:v>
                </c:pt>
                <c:pt idx="619">
                  <c:v>#N/A</c:v>
                </c:pt>
                <c:pt idx="620">
                  <c:v>#N/A</c:v>
                </c:pt>
                <c:pt idx="621">
                  <c:v>42</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55</c:v>
                </c:pt>
                <c:pt idx="637">
                  <c:v>#N/A</c:v>
                </c:pt>
                <c:pt idx="638">
                  <c:v>#N/A</c:v>
                </c:pt>
                <c:pt idx="639">
                  <c:v>#N/A</c:v>
                </c:pt>
                <c:pt idx="640">
                  <c:v>#N/A</c:v>
                </c:pt>
                <c:pt idx="641">
                  <c:v>76</c:v>
                </c:pt>
                <c:pt idx="642">
                  <c:v>#N/A</c:v>
                </c:pt>
                <c:pt idx="643">
                  <c:v>#N/A</c:v>
                </c:pt>
                <c:pt idx="644">
                  <c:v>#N/A</c:v>
                </c:pt>
                <c:pt idx="645">
                  <c:v>#N/A</c:v>
                </c:pt>
                <c:pt idx="646">
                  <c:v>#N/A</c:v>
                </c:pt>
                <c:pt idx="647">
                  <c:v>#N/A</c:v>
                </c:pt>
                <c:pt idx="648">
                  <c:v>#N/A</c:v>
                </c:pt>
                <c:pt idx="649">
                  <c:v>79</c:v>
                </c:pt>
                <c:pt idx="650">
                  <c:v>#N/A</c:v>
                </c:pt>
                <c:pt idx="651">
                  <c:v>#N/A</c:v>
                </c:pt>
                <c:pt idx="652">
                  <c:v>67</c:v>
                </c:pt>
                <c:pt idx="653">
                  <c:v>#N/A</c:v>
                </c:pt>
                <c:pt idx="654">
                  <c:v>#N/A</c:v>
                </c:pt>
                <c:pt idx="655">
                  <c:v>#N/A</c:v>
                </c:pt>
                <c:pt idx="656">
                  <c:v>#N/A</c:v>
                </c:pt>
                <c:pt idx="657">
                  <c:v>#N/A</c:v>
                </c:pt>
                <c:pt idx="658">
                  <c:v>60</c:v>
                </c:pt>
                <c:pt idx="659">
                  <c:v>#N/A</c:v>
                </c:pt>
                <c:pt idx="660">
                  <c:v>#N/A</c:v>
                </c:pt>
                <c:pt idx="661">
                  <c:v>#N/A</c:v>
                </c:pt>
                <c:pt idx="662">
                  <c:v>#N/A</c:v>
                </c:pt>
                <c:pt idx="663">
                  <c:v>#N/A</c:v>
                </c:pt>
                <c:pt idx="664">
                  <c:v>#N/A</c:v>
                </c:pt>
                <c:pt idx="665">
                  <c:v>#N/A</c:v>
                </c:pt>
                <c:pt idx="666">
                  <c:v>47</c:v>
                </c:pt>
                <c:pt idx="667">
                  <c:v>#N/A</c:v>
                </c:pt>
                <c:pt idx="668">
                  <c:v>#N/A</c:v>
                </c:pt>
                <c:pt idx="669">
                  <c:v>#N/A</c:v>
                </c:pt>
                <c:pt idx="670">
                  <c:v>#N/A</c:v>
                </c:pt>
                <c:pt idx="671">
                  <c:v>#N/A</c:v>
                </c:pt>
                <c:pt idx="672">
                  <c:v>#N/A</c:v>
                </c:pt>
                <c:pt idx="673">
                  <c:v>#N/A</c:v>
                </c:pt>
                <c:pt idx="674">
                  <c:v>#N/A</c:v>
                </c:pt>
                <c:pt idx="675">
                  <c:v>#N/A</c:v>
                </c:pt>
                <c:pt idx="676">
                  <c:v>#N/A</c:v>
                </c:pt>
                <c:pt idx="677">
                  <c:v>63</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45</c:v>
                </c:pt>
                <c:pt idx="715">
                  <c:v>#N/A</c:v>
                </c:pt>
                <c:pt idx="716">
                  <c:v>#N/A</c:v>
                </c:pt>
                <c:pt idx="717">
                  <c:v>#N/A</c:v>
                </c:pt>
                <c:pt idx="718">
                  <c:v>39</c:v>
                </c:pt>
                <c:pt idx="719">
                  <c:v>#N/A</c:v>
                </c:pt>
                <c:pt idx="720">
                  <c:v>#N/A</c:v>
                </c:pt>
                <c:pt idx="721">
                  <c:v>#N/A</c:v>
                </c:pt>
                <c:pt idx="722">
                  <c:v>#N/A</c:v>
                </c:pt>
                <c:pt idx="723">
                  <c:v>#N/A</c:v>
                </c:pt>
                <c:pt idx="724">
                  <c:v>#N/A</c:v>
                </c:pt>
                <c:pt idx="725">
                  <c:v>#N/A</c:v>
                </c:pt>
                <c:pt idx="726">
                  <c:v>41</c:v>
                </c:pt>
                <c:pt idx="727">
                  <c:v>#N/A</c:v>
                </c:pt>
                <c:pt idx="728">
                  <c:v>#N/A</c:v>
                </c:pt>
                <c:pt idx="729">
                  <c:v>#N/A</c:v>
                </c:pt>
                <c:pt idx="730">
                  <c:v>#N/A</c:v>
                </c:pt>
                <c:pt idx="731">
                  <c:v>#N/A</c:v>
                </c:pt>
                <c:pt idx="732">
                  <c:v>#N/A</c:v>
                </c:pt>
                <c:pt idx="733">
                  <c:v>#N/A</c:v>
                </c:pt>
                <c:pt idx="734">
                  <c:v>#N/A</c:v>
                </c:pt>
                <c:pt idx="735">
                  <c:v>#N/A</c:v>
                </c:pt>
                <c:pt idx="736">
                  <c:v>#N/A</c:v>
                </c:pt>
                <c:pt idx="737">
                  <c:v>#N/A</c:v>
                </c:pt>
                <c:pt idx="738">
                  <c:v>42</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41</c:v>
                </c:pt>
                <c:pt idx="774">
                  <c:v>#N/A</c:v>
                </c:pt>
                <c:pt idx="775">
                  <c:v>#N/A</c:v>
                </c:pt>
                <c:pt idx="776">
                  <c:v>#N/A</c:v>
                </c:pt>
                <c:pt idx="777">
                  <c:v>#N/A</c:v>
                </c:pt>
                <c:pt idx="778">
                  <c:v>#N/A</c:v>
                </c:pt>
                <c:pt idx="779">
                  <c:v>#N/A</c:v>
                </c:pt>
                <c:pt idx="780">
                  <c:v>#N/A</c:v>
                </c:pt>
                <c:pt idx="781">
                  <c:v>#N/A</c:v>
                </c:pt>
                <c:pt idx="782">
                  <c:v>#N/A</c:v>
                </c:pt>
                <c:pt idx="783">
                  <c:v>67</c:v>
                </c:pt>
                <c:pt idx="784">
                  <c:v>53</c:v>
                </c:pt>
                <c:pt idx="785">
                  <c:v>#N/A</c:v>
                </c:pt>
                <c:pt idx="786">
                  <c:v>#N/A</c:v>
                </c:pt>
                <c:pt idx="787">
                  <c:v>#N/A</c:v>
                </c:pt>
                <c:pt idx="788">
                  <c:v>#N/A</c:v>
                </c:pt>
                <c:pt idx="789">
                  <c:v>#N/A</c:v>
                </c:pt>
                <c:pt idx="790">
                  <c:v>#N/A</c:v>
                </c:pt>
                <c:pt idx="791">
                  <c:v>#N/A</c:v>
                </c:pt>
                <c:pt idx="792">
                  <c:v>#N/A</c:v>
                </c:pt>
                <c:pt idx="793">
                  <c:v>#N/A</c:v>
                </c:pt>
                <c:pt idx="794">
                  <c:v>#N/A</c:v>
                </c:pt>
                <c:pt idx="795">
                  <c:v>#N/A</c:v>
                </c:pt>
                <c:pt idx="796">
                  <c:v>71</c:v>
                </c:pt>
                <c:pt idx="797">
                  <c:v>#N/A</c:v>
                </c:pt>
                <c:pt idx="798">
                  <c:v>#N/A</c:v>
                </c:pt>
                <c:pt idx="799">
                  <c:v>#N/A</c:v>
                </c:pt>
                <c:pt idx="800">
                  <c:v>#N/A</c:v>
                </c:pt>
                <c:pt idx="801">
                  <c:v>#N/A</c:v>
                </c:pt>
                <c:pt idx="802">
                  <c:v>#N/A</c:v>
                </c:pt>
                <c:pt idx="803">
                  <c:v>45</c:v>
                </c:pt>
                <c:pt idx="804">
                  <c:v>#N/A</c:v>
                </c:pt>
                <c:pt idx="805">
                  <c:v>#N/A</c:v>
                </c:pt>
                <c:pt idx="806">
                  <c:v>#N/A</c:v>
                </c:pt>
                <c:pt idx="807">
                  <c:v>#N/A</c:v>
                </c:pt>
                <c:pt idx="808">
                  <c:v>#N/A</c:v>
                </c:pt>
                <c:pt idx="809">
                  <c:v>#N/A</c:v>
                </c:pt>
                <c:pt idx="810">
                  <c:v>#N/A</c:v>
                </c:pt>
                <c:pt idx="811">
                  <c:v>#N/A</c:v>
                </c:pt>
                <c:pt idx="812">
                  <c:v>#N/A</c:v>
                </c:pt>
                <c:pt idx="813">
                  <c:v>49</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67</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61</c:v>
                </c:pt>
                <c:pt idx="849">
                  <c:v>#N/A</c:v>
                </c:pt>
                <c:pt idx="850">
                  <c:v>#N/A</c:v>
                </c:pt>
                <c:pt idx="851">
                  <c:v>#N/A</c:v>
                </c:pt>
                <c:pt idx="852">
                  <c:v>51</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60</c:v>
                </c:pt>
                <c:pt idx="887">
                  <c:v>63</c:v>
                </c:pt>
                <c:pt idx="888">
                  <c:v>67</c:v>
                </c:pt>
                <c:pt idx="889">
                  <c:v>54</c:v>
                </c:pt>
                <c:pt idx="890">
                  <c:v>#N/A</c:v>
                </c:pt>
                <c:pt idx="891">
                  <c:v>#N/A</c:v>
                </c:pt>
                <c:pt idx="892">
                  <c:v>#N/A</c:v>
                </c:pt>
                <c:pt idx="893">
                  <c:v>70</c:v>
                </c:pt>
                <c:pt idx="894">
                  <c:v>52</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51</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41</c:v>
                </c:pt>
                <c:pt idx="931">
                  <c:v>#N/A</c:v>
                </c:pt>
                <c:pt idx="932">
                  <c:v>#N/A</c:v>
                </c:pt>
                <c:pt idx="933">
                  <c:v>#N/A</c:v>
                </c:pt>
                <c:pt idx="934">
                  <c:v>#N/A</c:v>
                </c:pt>
                <c:pt idx="935">
                  <c:v>#N/A</c:v>
                </c:pt>
                <c:pt idx="936">
                  <c:v>#N/A</c:v>
                </c:pt>
                <c:pt idx="937">
                  <c:v>#N/A</c:v>
                </c:pt>
                <c:pt idx="938">
                  <c:v>#N/A</c:v>
                </c:pt>
                <c:pt idx="939">
                  <c:v>#N/A</c:v>
                </c:pt>
                <c:pt idx="940">
                  <c:v>#N/A</c:v>
                </c:pt>
                <c:pt idx="941">
                  <c:v>#N/A</c:v>
                </c:pt>
                <c:pt idx="942">
                  <c:v>69</c:v>
                </c:pt>
                <c:pt idx="943">
                  <c:v>44</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60</c:v>
                </c:pt>
                <c:pt idx="957">
                  <c:v>#N/A</c:v>
                </c:pt>
                <c:pt idx="958">
                  <c:v>46</c:v>
                </c:pt>
                <c:pt idx="959">
                  <c:v>#N/A</c:v>
                </c:pt>
                <c:pt idx="960">
                  <c:v>#N/A</c:v>
                </c:pt>
                <c:pt idx="961">
                  <c:v>#N/A</c:v>
                </c:pt>
                <c:pt idx="962">
                  <c:v>#N/A</c:v>
                </c:pt>
                <c:pt idx="963">
                  <c:v>43</c:v>
                </c:pt>
                <c:pt idx="964">
                  <c:v>#N/A</c:v>
                </c:pt>
                <c:pt idx="965">
                  <c:v>#N/A</c:v>
                </c:pt>
                <c:pt idx="966">
                  <c:v>#N/A</c:v>
                </c:pt>
                <c:pt idx="967">
                  <c:v>#N/A</c:v>
                </c:pt>
                <c:pt idx="968">
                  <c:v>#N/A</c:v>
                </c:pt>
                <c:pt idx="969">
                  <c:v>#N/A</c:v>
                </c:pt>
                <c:pt idx="970">
                  <c:v>#N/A</c:v>
                </c:pt>
                <c:pt idx="971">
                  <c:v>60</c:v>
                </c:pt>
                <c:pt idx="972">
                  <c:v>#N/A</c:v>
                </c:pt>
                <c:pt idx="973">
                  <c:v>#N/A</c:v>
                </c:pt>
                <c:pt idx="974">
                  <c:v>#N/A</c:v>
                </c:pt>
                <c:pt idx="975">
                  <c:v>#N/A</c:v>
                </c:pt>
                <c:pt idx="976">
                  <c:v>#N/A</c:v>
                </c:pt>
                <c:pt idx="977">
                  <c:v>#N/A</c:v>
                </c:pt>
                <c:pt idx="978">
                  <c:v>#N/A</c:v>
                </c:pt>
                <c:pt idx="979">
                  <c:v>#N/A</c:v>
                </c:pt>
                <c:pt idx="980">
                  <c:v>#N/A</c:v>
                </c:pt>
                <c:pt idx="981">
                  <c:v>#N/A</c:v>
                </c:pt>
                <c:pt idx="982">
                  <c:v>51</c:v>
                </c:pt>
                <c:pt idx="983">
                  <c:v>#N/A</c:v>
                </c:pt>
                <c:pt idx="984">
                  <c:v>#N/A</c:v>
                </c:pt>
                <c:pt idx="985">
                  <c:v>#N/A</c:v>
                </c:pt>
                <c:pt idx="986">
                  <c:v>#N/A</c:v>
                </c:pt>
                <c:pt idx="987">
                  <c:v>#N/A</c:v>
                </c:pt>
                <c:pt idx="988">
                  <c:v>#N/A</c:v>
                </c:pt>
                <c:pt idx="989">
                  <c:v>#N/A</c:v>
                </c:pt>
                <c:pt idx="990">
                  <c:v>#N/A</c:v>
                </c:pt>
                <c:pt idx="991">
                  <c:v>#N/A</c:v>
                </c:pt>
                <c:pt idx="992">
                  <c:v>44</c:v>
                </c:pt>
                <c:pt idx="993">
                  <c:v>#N/A</c:v>
                </c:pt>
                <c:pt idx="994">
                  <c:v>#N/A</c:v>
                </c:pt>
                <c:pt idx="995">
                  <c:v>#N/A</c:v>
                </c:pt>
                <c:pt idx="996">
                  <c:v>#N/A</c:v>
                </c:pt>
                <c:pt idx="997">
                  <c:v>#N/A</c:v>
                </c:pt>
                <c:pt idx="998">
                  <c:v>#N/A</c:v>
                </c:pt>
                <c:pt idx="999">
                  <c:v>#N/A</c:v>
                </c:pt>
                <c:pt idx="1000">
                  <c:v>#N/A</c:v>
                </c:pt>
                <c:pt idx="1001">
                  <c:v>#N/A</c:v>
                </c:pt>
                <c:pt idx="1002">
                  <c:v>#N/A</c:v>
                </c:pt>
                <c:pt idx="1003">
                  <c:v>#N/A</c:v>
                </c:pt>
                <c:pt idx="1004">
                  <c:v>62</c:v>
                </c:pt>
                <c:pt idx="1005">
                  <c:v>#N/A</c:v>
                </c:pt>
                <c:pt idx="1006">
                  <c:v>#N/A</c:v>
                </c:pt>
                <c:pt idx="1007">
                  <c:v>#N/A</c:v>
                </c:pt>
                <c:pt idx="1008">
                  <c:v>#N/A</c:v>
                </c:pt>
                <c:pt idx="1009">
                  <c:v>#N/A</c:v>
                </c:pt>
                <c:pt idx="1010">
                  <c:v>#N/A</c:v>
                </c:pt>
                <c:pt idx="1011">
                  <c:v>77</c:v>
                </c:pt>
                <c:pt idx="1012">
                  <c:v>#N/A</c:v>
                </c:pt>
                <c:pt idx="1013">
                  <c:v>#N/A</c:v>
                </c:pt>
                <c:pt idx="1014">
                  <c:v>#N/A</c:v>
                </c:pt>
                <c:pt idx="1015">
                  <c:v>#N/A</c:v>
                </c:pt>
                <c:pt idx="1016">
                  <c:v>42</c:v>
                </c:pt>
                <c:pt idx="1017">
                  <c:v>#N/A</c:v>
                </c:pt>
                <c:pt idx="1018">
                  <c:v>#N/A</c:v>
                </c:pt>
                <c:pt idx="1019">
                  <c:v>#N/A</c:v>
                </c:pt>
                <c:pt idx="1020">
                  <c:v>#N/A</c:v>
                </c:pt>
                <c:pt idx="1021">
                  <c:v>#N/A</c:v>
                </c:pt>
                <c:pt idx="1022">
                  <c:v>#N/A</c:v>
                </c:pt>
                <c:pt idx="1023">
                  <c:v>#N/A</c:v>
                </c:pt>
                <c:pt idx="1024">
                  <c:v>47</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54</c:v>
                </c:pt>
                <c:pt idx="1052">
                  <c:v>#N/A</c:v>
                </c:pt>
                <c:pt idx="1053">
                  <c:v>#N/A</c:v>
                </c:pt>
                <c:pt idx="1054">
                  <c:v>45</c:v>
                </c:pt>
                <c:pt idx="1055">
                  <c:v>65</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63</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52</c:v>
                </c:pt>
                <c:pt idx="1085">
                  <c:v>#N/A</c:v>
                </c:pt>
                <c:pt idx="1086">
                  <c:v>#N/A</c:v>
                </c:pt>
                <c:pt idx="1087">
                  <c:v>#N/A</c:v>
                </c:pt>
                <c:pt idx="1088">
                  <c:v>#N/A</c:v>
                </c:pt>
                <c:pt idx="1089">
                  <c:v>#N/A</c:v>
                </c:pt>
                <c:pt idx="1090">
                  <c:v>#N/A</c:v>
                </c:pt>
                <c:pt idx="1091">
                  <c:v>47</c:v>
                </c:pt>
                <c:pt idx="1092">
                  <c:v>#N/A</c:v>
                </c:pt>
                <c:pt idx="1093">
                  <c:v>#N/A</c:v>
                </c:pt>
                <c:pt idx="1094">
                  <c:v>#N/A</c:v>
                </c:pt>
                <c:pt idx="1095">
                  <c:v>#N/A</c:v>
                </c:pt>
                <c:pt idx="1096">
                  <c:v>#N/A</c:v>
                </c:pt>
                <c:pt idx="1097">
                  <c:v>66</c:v>
                </c:pt>
                <c:pt idx="1098">
                  <c:v>75</c:v>
                </c:pt>
                <c:pt idx="1099">
                  <c:v>#N/A</c:v>
                </c:pt>
                <c:pt idx="1100">
                  <c:v>#N/A</c:v>
                </c:pt>
                <c:pt idx="1101">
                  <c:v>#N/A</c:v>
                </c:pt>
                <c:pt idx="1102">
                  <c:v>60</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60</c:v>
                </c:pt>
                <c:pt idx="1116">
                  <c:v>#N/A</c:v>
                </c:pt>
                <c:pt idx="1117">
                  <c:v>#N/A</c:v>
                </c:pt>
                <c:pt idx="1118">
                  <c:v>#N/A</c:v>
                </c:pt>
                <c:pt idx="1119">
                  <c:v>#N/A</c:v>
                </c:pt>
                <c:pt idx="1120">
                  <c:v>#N/A</c:v>
                </c:pt>
                <c:pt idx="1121">
                  <c:v>#N/A</c:v>
                </c:pt>
                <c:pt idx="1122">
                  <c:v>#N/A</c:v>
                </c:pt>
                <c:pt idx="1123">
                  <c:v>#N/A</c:v>
                </c:pt>
                <c:pt idx="1124">
                  <c:v>59</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47</c:v>
                </c:pt>
                <c:pt idx="1138">
                  <c:v>#N/A</c:v>
                </c:pt>
                <c:pt idx="1139">
                  <c:v>#N/A</c:v>
                </c:pt>
                <c:pt idx="1140">
                  <c:v>#N/A</c:v>
                </c:pt>
                <c:pt idx="1141">
                  <c:v>#N/A</c:v>
                </c:pt>
                <c:pt idx="1142">
                  <c:v>#N/A</c:v>
                </c:pt>
                <c:pt idx="1143">
                  <c:v>#N/A</c:v>
                </c:pt>
                <c:pt idx="1144">
                  <c:v>#N/A</c:v>
                </c:pt>
                <c:pt idx="1145">
                  <c:v>#N/A</c:v>
                </c:pt>
                <c:pt idx="1146">
                  <c:v>#N/A</c:v>
                </c:pt>
                <c:pt idx="1147">
                  <c:v>#N/A</c:v>
                </c:pt>
                <c:pt idx="1148">
                  <c:v>#N/A</c:v>
                </c:pt>
                <c:pt idx="1149">
                  <c:v>69</c:v>
                </c:pt>
                <c:pt idx="1150">
                  <c:v>#N/A</c:v>
                </c:pt>
                <c:pt idx="1151">
                  <c:v>#N/A</c:v>
                </c:pt>
                <c:pt idx="1152">
                  <c:v>#N/A</c:v>
                </c:pt>
                <c:pt idx="1153">
                  <c:v>#N/A</c:v>
                </c:pt>
                <c:pt idx="1154">
                  <c:v>#N/A</c:v>
                </c:pt>
                <c:pt idx="1155">
                  <c:v>#N/A</c:v>
                </c:pt>
                <c:pt idx="1156">
                  <c:v>60</c:v>
                </c:pt>
                <c:pt idx="1157">
                  <c:v>#N/A</c:v>
                </c:pt>
                <c:pt idx="1158">
                  <c:v>#N/A</c:v>
                </c:pt>
                <c:pt idx="1159">
                  <c:v>#N/A</c:v>
                </c:pt>
                <c:pt idx="1160">
                  <c:v>#N/A</c:v>
                </c:pt>
                <c:pt idx="1161">
                  <c:v>47</c:v>
                </c:pt>
                <c:pt idx="1162">
                  <c:v>#N/A</c:v>
                </c:pt>
                <c:pt idx="1163">
                  <c:v>#N/A</c:v>
                </c:pt>
                <c:pt idx="1164">
                  <c:v>#N/A</c:v>
                </c:pt>
                <c:pt idx="1165">
                  <c:v>#N/A</c:v>
                </c:pt>
                <c:pt idx="1166">
                  <c:v>#N/A</c:v>
                </c:pt>
                <c:pt idx="1167">
                  <c:v>42</c:v>
                </c:pt>
                <c:pt idx="1168">
                  <c:v>#N/A</c:v>
                </c:pt>
                <c:pt idx="1169">
                  <c:v>#N/A</c:v>
                </c:pt>
                <c:pt idx="1170">
                  <c:v>#N/A</c:v>
                </c:pt>
                <c:pt idx="1171">
                  <c:v>#N/A</c:v>
                </c:pt>
                <c:pt idx="1172">
                  <c:v>#N/A</c:v>
                </c:pt>
                <c:pt idx="1173">
                  <c:v>#N/A</c:v>
                </c:pt>
                <c:pt idx="1174">
                  <c:v>#N/A</c:v>
                </c:pt>
                <c:pt idx="1175">
                  <c:v>#N/A</c:v>
                </c:pt>
                <c:pt idx="1176">
                  <c:v>#N/A</c:v>
                </c:pt>
                <c:pt idx="1177">
                  <c:v>56</c:v>
                </c:pt>
                <c:pt idx="1178">
                  <c:v>57</c:v>
                </c:pt>
                <c:pt idx="1179">
                  <c:v>#N/A</c:v>
                </c:pt>
                <c:pt idx="1180">
                  <c:v>#N/A</c:v>
                </c:pt>
                <c:pt idx="1181">
                  <c:v>#N/A</c:v>
                </c:pt>
                <c:pt idx="1182">
                  <c:v>#N/A</c:v>
                </c:pt>
                <c:pt idx="1183">
                  <c:v>#N/A</c:v>
                </c:pt>
                <c:pt idx="1184">
                  <c:v>#N/A</c:v>
                </c:pt>
                <c:pt idx="1185">
                  <c:v>#N/A</c:v>
                </c:pt>
                <c:pt idx="1186">
                  <c:v>#N/A</c:v>
                </c:pt>
                <c:pt idx="1187">
                  <c:v>61</c:v>
                </c:pt>
                <c:pt idx="1188">
                  <c:v>44</c:v>
                </c:pt>
                <c:pt idx="1189">
                  <c:v>#N/A</c:v>
                </c:pt>
                <c:pt idx="1190">
                  <c:v>#N/A</c:v>
                </c:pt>
                <c:pt idx="1191">
                  <c:v>59</c:v>
                </c:pt>
                <c:pt idx="1192">
                  <c:v>#N/A</c:v>
                </c:pt>
                <c:pt idx="1193">
                  <c:v>#N/A</c:v>
                </c:pt>
                <c:pt idx="1194">
                  <c:v>#N/A</c:v>
                </c:pt>
                <c:pt idx="1195">
                  <c:v>#N/A</c:v>
                </c:pt>
                <c:pt idx="1196">
                  <c:v>#N/A</c:v>
                </c:pt>
                <c:pt idx="1197">
                  <c:v>#N/A</c:v>
                </c:pt>
                <c:pt idx="1198">
                  <c:v>#N/A</c:v>
                </c:pt>
                <c:pt idx="1199">
                  <c:v>#N/A</c:v>
                </c:pt>
                <c:pt idx="1200">
                  <c:v>#N/A</c:v>
                </c:pt>
              </c:strCache>
            </c:strRef>
          </c:xVal>
          <c:yVal>
            <c:numRef>
              <c:f>riyadh_realestate_dataset!$V:$V</c:f>
              <c:numCache>
                <c:formatCode>General</c:formatCode>
                <c:ptCount val="1048576"/>
                <c:pt idx="0">
                  <c:v>0</c:v>
                </c:pt>
                <c:pt idx="1">
                  <c:v>#N/A</c:v>
                </c:pt>
                <c:pt idx="2">
                  <c:v>#N/A</c:v>
                </c:pt>
                <c:pt idx="3">
                  <c:v>#N/A</c:v>
                </c:pt>
                <c:pt idx="4">
                  <c:v>#N/A</c:v>
                </c:pt>
                <c:pt idx="5">
                  <c:v>#N/A</c:v>
                </c:pt>
                <c:pt idx="6">
                  <c:v>#N/A</c:v>
                </c:pt>
                <c:pt idx="7">
                  <c:v>#N/A</c:v>
                </c:pt>
                <c:pt idx="8">
                  <c:v>#N/A</c:v>
                </c:pt>
                <c:pt idx="9">
                  <c:v>#N/A</c:v>
                </c:pt>
                <c:pt idx="10">
                  <c:v>#N/A</c:v>
                </c:pt>
                <c:pt idx="11">
                  <c:v>#N/A</c:v>
                </c:pt>
                <c:pt idx="12">
                  <c:v>#N/A</c:v>
                </c:pt>
                <c:pt idx="13">
                  <c:v>381000</c:v>
                </c:pt>
                <c:pt idx="14">
                  <c:v>#N/A</c:v>
                </c:pt>
                <c:pt idx="15">
                  <c:v>#N/A</c:v>
                </c:pt>
                <c:pt idx="16">
                  <c:v>#N/A</c:v>
                </c:pt>
                <c:pt idx="17">
                  <c:v>#N/A</c:v>
                </c:pt>
                <c:pt idx="18">
                  <c:v>#N/A</c:v>
                </c:pt>
                <c:pt idx="19">
                  <c:v>#N/A</c:v>
                </c:pt>
                <c:pt idx="20">
                  <c:v>#N/A</c:v>
                </c:pt>
                <c:pt idx="21">
                  <c:v>#N/A</c:v>
                </c:pt>
                <c:pt idx="22">
                  <c:v>#N/A</c:v>
                </c:pt>
                <c:pt idx="23">
                  <c:v>#N/A</c:v>
                </c:pt>
                <c:pt idx="24">
                  <c:v>#N/A</c:v>
                </c:pt>
                <c:pt idx="25">
                  <c:v>#N/A</c:v>
                </c:pt>
                <c:pt idx="26">
                  <c:v>286000</c:v>
                </c:pt>
                <c:pt idx="27">
                  <c:v>#N/A</c:v>
                </c:pt>
                <c:pt idx="28">
                  <c:v>#N/A</c:v>
                </c:pt>
                <c:pt idx="29">
                  <c:v>#N/A</c:v>
                </c:pt>
                <c:pt idx="30">
                  <c:v>#N/A</c:v>
                </c:pt>
                <c:pt idx="31">
                  <c:v>218000</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198000</c:v>
                </c:pt>
                <c:pt idx="62">
                  <c:v>#N/A</c:v>
                </c:pt>
                <c:pt idx="63">
                  <c:v>#N/A</c:v>
                </c:pt>
                <c:pt idx="64">
                  <c:v>#N/A</c:v>
                </c:pt>
                <c:pt idx="65">
                  <c:v>#N/A</c:v>
                </c:pt>
                <c:pt idx="66">
                  <c:v>#N/A</c:v>
                </c:pt>
                <c:pt idx="67">
                  <c:v>#N/A</c:v>
                </c:pt>
                <c:pt idx="68">
                  <c:v>#N/A</c:v>
                </c:pt>
                <c:pt idx="69">
                  <c:v>#N/A</c:v>
                </c:pt>
                <c:pt idx="70">
                  <c:v>#N/A</c:v>
                </c:pt>
                <c:pt idx="71">
                  <c:v>#N/A</c:v>
                </c:pt>
                <c:pt idx="72">
                  <c:v>#N/A</c:v>
                </c:pt>
                <c:pt idx="73">
                  <c:v>309000</c:v>
                </c:pt>
                <c:pt idx="74">
                  <c:v>#N/A</c:v>
                </c:pt>
                <c:pt idx="75">
                  <c:v>#N/A</c:v>
                </c:pt>
                <c:pt idx="76">
                  <c:v>#N/A</c:v>
                </c:pt>
                <c:pt idx="77">
                  <c:v>#N/A</c:v>
                </c:pt>
                <c:pt idx="78">
                  <c:v>#N/A</c:v>
                </c:pt>
                <c:pt idx="79">
                  <c:v>143000</c:v>
                </c:pt>
                <c:pt idx="80">
                  <c:v>#N/A</c:v>
                </c:pt>
                <c:pt idx="81">
                  <c:v>#N/A</c:v>
                </c:pt>
                <c:pt idx="82">
                  <c:v>272000</c:v>
                </c:pt>
                <c:pt idx="83">
                  <c:v>#N/A</c:v>
                </c:pt>
                <c:pt idx="84">
                  <c:v>#N/A</c:v>
                </c:pt>
                <c:pt idx="85">
                  <c:v>355000</c:v>
                </c:pt>
                <c:pt idx="86">
                  <c:v>#N/A</c:v>
                </c:pt>
                <c:pt idx="87">
                  <c:v>#N/A</c:v>
                </c:pt>
                <c:pt idx="88">
                  <c:v>#N/A</c:v>
                </c:pt>
                <c:pt idx="89">
                  <c:v>#N/A</c:v>
                </c:pt>
                <c:pt idx="90">
                  <c:v>#N/A</c:v>
                </c:pt>
                <c:pt idx="91">
                  <c:v>#N/A</c:v>
                </c:pt>
                <c:pt idx="92">
                  <c:v>#N/A</c:v>
                </c:pt>
                <c:pt idx="93">
                  <c:v>#N/A</c:v>
                </c:pt>
                <c:pt idx="94">
                  <c:v>#N/A</c:v>
                </c:pt>
                <c:pt idx="95">
                  <c:v>#N/A</c:v>
                </c:pt>
                <c:pt idx="96">
                  <c:v>247000</c:v>
                </c:pt>
                <c:pt idx="97">
                  <c:v>#N/A</c:v>
                </c:pt>
                <c:pt idx="98">
                  <c:v>#N/A</c:v>
                </c:pt>
                <c:pt idx="99">
                  <c:v>#N/A</c:v>
                </c:pt>
                <c:pt idx="100">
                  <c:v>#N/A</c:v>
                </c:pt>
                <c:pt idx="101">
                  <c:v>#N/A</c:v>
                </c:pt>
                <c:pt idx="102">
                  <c:v>#N/A</c:v>
                </c:pt>
                <c:pt idx="103">
                  <c:v>#N/A</c:v>
                </c:pt>
                <c:pt idx="104">
                  <c:v>#N/A</c:v>
                </c:pt>
                <c:pt idx="105">
                  <c:v>#N/A</c:v>
                </c:pt>
                <c:pt idx="106">
                  <c:v>203000</c:v>
                </c:pt>
                <c:pt idx="107">
                  <c:v>#N/A</c:v>
                </c:pt>
                <c:pt idx="108">
                  <c:v>#N/A</c:v>
                </c:pt>
                <c:pt idx="109">
                  <c:v>#N/A</c:v>
                </c:pt>
                <c:pt idx="110">
                  <c:v>#N/A</c:v>
                </c:pt>
                <c:pt idx="111">
                  <c:v>#N/A</c:v>
                </c:pt>
                <c:pt idx="112">
                  <c:v>#N/A</c:v>
                </c:pt>
                <c:pt idx="113">
                  <c:v>#N/A</c:v>
                </c:pt>
                <c:pt idx="114">
                  <c:v>#N/A</c:v>
                </c:pt>
                <c:pt idx="115">
                  <c:v>#N/A</c:v>
                </c:pt>
                <c:pt idx="116">
                  <c:v>234000</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516000</c:v>
                </c:pt>
                <c:pt idx="131">
                  <c:v>299000</c:v>
                </c:pt>
                <c:pt idx="132">
                  <c:v>#N/A</c:v>
                </c:pt>
                <c:pt idx="133">
                  <c:v>#N/A</c:v>
                </c:pt>
                <c:pt idx="134">
                  <c:v>252000</c:v>
                </c:pt>
                <c:pt idx="135">
                  <c:v>#N/A</c:v>
                </c:pt>
                <c:pt idx="136">
                  <c:v>#N/A</c:v>
                </c:pt>
                <c:pt idx="137">
                  <c:v>#N/A</c:v>
                </c:pt>
                <c:pt idx="138">
                  <c:v>#N/A</c:v>
                </c:pt>
                <c:pt idx="139">
                  <c:v>#N/A</c:v>
                </c:pt>
                <c:pt idx="140">
                  <c:v>301000</c:v>
                </c:pt>
                <c:pt idx="141">
                  <c:v>#N/A</c:v>
                </c:pt>
                <c:pt idx="142">
                  <c:v>215000</c:v>
                </c:pt>
                <c:pt idx="143">
                  <c:v>#N/A</c:v>
                </c:pt>
                <c:pt idx="144">
                  <c:v>#N/A</c:v>
                </c:pt>
                <c:pt idx="145">
                  <c:v>#N/A</c:v>
                </c:pt>
                <c:pt idx="146">
                  <c:v>#N/A</c:v>
                </c:pt>
                <c:pt idx="147">
                  <c:v>#N/A</c:v>
                </c:pt>
                <c:pt idx="148">
                  <c:v>#N/A</c:v>
                </c:pt>
                <c:pt idx="149">
                  <c:v>#N/A</c:v>
                </c:pt>
                <c:pt idx="150">
                  <c:v>262000</c:v>
                </c:pt>
                <c:pt idx="151">
                  <c:v>#N/A</c:v>
                </c:pt>
                <c:pt idx="152">
                  <c:v>#N/A</c:v>
                </c:pt>
                <c:pt idx="153">
                  <c:v>#N/A</c:v>
                </c:pt>
                <c:pt idx="154">
                  <c:v>#N/A</c:v>
                </c:pt>
                <c:pt idx="155">
                  <c:v>307000</c:v>
                </c:pt>
                <c:pt idx="156">
                  <c:v>#N/A</c:v>
                </c:pt>
                <c:pt idx="157">
                  <c:v>#N/A</c:v>
                </c:pt>
                <c:pt idx="158">
                  <c:v>#N/A</c:v>
                </c:pt>
                <c:pt idx="159">
                  <c:v>#N/A</c:v>
                </c:pt>
                <c:pt idx="160">
                  <c:v>#N/A</c:v>
                </c:pt>
                <c:pt idx="161">
                  <c:v>#N/A</c:v>
                </c:pt>
                <c:pt idx="162">
                  <c:v>#N/A</c:v>
                </c:pt>
                <c:pt idx="163">
                  <c:v>#N/A</c:v>
                </c:pt>
                <c:pt idx="164">
                  <c:v>#N/A</c:v>
                </c:pt>
                <c:pt idx="165">
                  <c:v>#N/A</c:v>
                </c:pt>
                <c:pt idx="166">
                  <c:v>197000</c:v>
                </c:pt>
                <c:pt idx="167">
                  <c:v>#N/A</c:v>
                </c:pt>
                <c:pt idx="168">
                  <c:v>#N/A</c:v>
                </c:pt>
                <c:pt idx="169">
                  <c:v>355000</c:v>
                </c:pt>
                <c:pt idx="170">
                  <c:v>#N/A</c:v>
                </c:pt>
                <c:pt idx="171">
                  <c:v>234000</c:v>
                </c:pt>
                <c:pt idx="172">
                  <c:v>#N/A</c:v>
                </c:pt>
                <c:pt idx="173">
                  <c:v>#N/A</c:v>
                </c:pt>
                <c:pt idx="174">
                  <c:v>#N/A</c:v>
                </c:pt>
                <c:pt idx="175">
                  <c:v>#N/A</c:v>
                </c:pt>
                <c:pt idx="176">
                  <c:v>#N/A</c:v>
                </c:pt>
                <c:pt idx="177">
                  <c:v>#N/A</c:v>
                </c:pt>
                <c:pt idx="178">
                  <c:v>221000</c:v>
                </c:pt>
                <c:pt idx="179">
                  <c:v>282000</c:v>
                </c:pt>
                <c:pt idx="180">
                  <c:v>#N/A</c:v>
                </c:pt>
                <c:pt idx="181">
                  <c:v>#N/A</c:v>
                </c:pt>
                <c:pt idx="182">
                  <c:v>#N/A</c:v>
                </c:pt>
                <c:pt idx="183">
                  <c:v>#N/A</c:v>
                </c:pt>
                <c:pt idx="184">
                  <c:v>#N/A</c:v>
                </c:pt>
                <c:pt idx="185">
                  <c:v>238000</c:v>
                </c:pt>
                <c:pt idx="186">
                  <c:v>#N/A</c:v>
                </c:pt>
                <c:pt idx="187">
                  <c:v>#N/A</c:v>
                </c:pt>
                <c:pt idx="188">
                  <c:v>#N/A</c:v>
                </c:pt>
                <c:pt idx="189">
                  <c:v>#N/A</c:v>
                </c:pt>
                <c:pt idx="190">
                  <c:v>#N/A</c:v>
                </c:pt>
                <c:pt idx="191">
                  <c:v>174000</c:v>
                </c:pt>
                <c:pt idx="192">
                  <c:v>#N/A</c:v>
                </c:pt>
                <c:pt idx="193">
                  <c:v>#N/A</c:v>
                </c:pt>
                <c:pt idx="194">
                  <c:v>#N/A</c:v>
                </c:pt>
                <c:pt idx="195">
                  <c:v>#N/A</c:v>
                </c:pt>
                <c:pt idx="196">
                  <c:v>#N/A</c:v>
                </c:pt>
                <c:pt idx="197">
                  <c:v>#N/A</c:v>
                </c:pt>
                <c:pt idx="198">
                  <c:v>#N/A</c:v>
                </c:pt>
                <c:pt idx="199">
                  <c:v>#N/A</c:v>
                </c:pt>
                <c:pt idx="200">
                  <c:v>246000</c:v>
                </c:pt>
                <c:pt idx="201">
                  <c:v>#N/A</c:v>
                </c:pt>
                <c:pt idx="202">
                  <c:v>#N/A</c:v>
                </c:pt>
                <c:pt idx="203">
                  <c:v>#N/A</c:v>
                </c:pt>
                <c:pt idx="204">
                  <c:v>#N/A</c:v>
                </c:pt>
                <c:pt idx="205">
                  <c:v>#N/A</c:v>
                </c:pt>
                <c:pt idx="206">
                  <c:v>#N/A</c:v>
                </c:pt>
                <c:pt idx="207">
                  <c:v>242000</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262000</c:v>
                </c:pt>
                <c:pt idx="234">
                  <c:v>#N/A</c:v>
                </c:pt>
                <c:pt idx="235">
                  <c:v>#N/A</c:v>
                </c:pt>
                <c:pt idx="236">
                  <c:v>#N/A</c:v>
                </c:pt>
                <c:pt idx="237">
                  <c:v>#N/A</c:v>
                </c:pt>
                <c:pt idx="238">
                  <c:v>#N/A</c:v>
                </c:pt>
                <c:pt idx="239">
                  <c:v>#N/A</c:v>
                </c:pt>
                <c:pt idx="240">
                  <c:v>276000</c:v>
                </c:pt>
                <c:pt idx="241">
                  <c:v>#N/A</c:v>
                </c:pt>
                <c:pt idx="242">
                  <c:v>256000</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258000</c:v>
                </c:pt>
                <c:pt idx="277">
                  <c:v>320000</c:v>
                </c:pt>
                <c:pt idx="278">
                  <c:v>#N/A</c:v>
                </c:pt>
                <c:pt idx="279">
                  <c:v>#N/A</c:v>
                </c:pt>
                <c:pt idx="280">
                  <c:v>#N/A</c:v>
                </c:pt>
                <c:pt idx="281">
                  <c:v>#N/A</c:v>
                </c:pt>
                <c:pt idx="282">
                  <c:v>#N/A</c:v>
                </c:pt>
                <c:pt idx="283">
                  <c:v>#N/A</c:v>
                </c:pt>
                <c:pt idx="284">
                  <c:v>#N/A</c:v>
                </c:pt>
                <c:pt idx="285">
                  <c:v>#N/A</c:v>
                </c:pt>
                <c:pt idx="286">
                  <c:v>#N/A</c:v>
                </c:pt>
                <c:pt idx="287">
                  <c:v>#N/A</c:v>
                </c:pt>
                <c:pt idx="288">
                  <c:v>#N/A</c:v>
                </c:pt>
                <c:pt idx="289">
                  <c:v>357000</c:v>
                </c:pt>
                <c:pt idx="290">
                  <c:v>#N/A</c:v>
                </c:pt>
                <c:pt idx="291">
                  <c:v>#N/A</c:v>
                </c:pt>
                <c:pt idx="292">
                  <c:v>#N/A</c:v>
                </c:pt>
                <c:pt idx="293">
                  <c:v>#N/A</c:v>
                </c:pt>
                <c:pt idx="294">
                  <c:v>301000</c:v>
                </c:pt>
                <c:pt idx="295">
                  <c:v>#N/A</c:v>
                </c:pt>
                <c:pt idx="296">
                  <c:v>#N/A</c:v>
                </c:pt>
                <c:pt idx="297">
                  <c:v>#N/A</c:v>
                </c:pt>
                <c:pt idx="298">
                  <c:v>#N/A</c:v>
                </c:pt>
                <c:pt idx="299">
                  <c:v>#N/A</c:v>
                </c:pt>
                <c:pt idx="300">
                  <c:v>#N/A</c:v>
                </c:pt>
                <c:pt idx="301">
                  <c:v>#N/A</c:v>
                </c:pt>
                <c:pt idx="302">
                  <c:v>#N/A</c:v>
                </c:pt>
                <c:pt idx="303">
                  <c:v>#N/A</c:v>
                </c:pt>
                <c:pt idx="304">
                  <c:v>#N/A</c:v>
                </c:pt>
                <c:pt idx="305">
                  <c:v>#N/A</c:v>
                </c:pt>
                <c:pt idx="306">
                  <c:v>280000</c:v>
                </c:pt>
                <c:pt idx="307">
                  <c:v>#N/A</c:v>
                </c:pt>
                <c:pt idx="308">
                  <c:v>#N/A</c:v>
                </c:pt>
                <c:pt idx="309">
                  <c:v>202000</c:v>
                </c:pt>
                <c:pt idx="310">
                  <c:v>194000</c:v>
                </c:pt>
                <c:pt idx="311">
                  <c:v>#N/A</c:v>
                </c:pt>
                <c:pt idx="312">
                  <c:v>#N/A</c:v>
                </c:pt>
                <c:pt idx="313">
                  <c:v>#N/A</c:v>
                </c:pt>
                <c:pt idx="314">
                  <c:v>#N/A</c:v>
                </c:pt>
                <c:pt idx="315">
                  <c:v>#N/A</c:v>
                </c:pt>
                <c:pt idx="316">
                  <c:v>#N/A</c:v>
                </c:pt>
                <c:pt idx="317">
                  <c:v>#N/A</c:v>
                </c:pt>
                <c:pt idx="318">
                  <c:v>#N/A</c:v>
                </c:pt>
                <c:pt idx="319">
                  <c:v>#N/A</c:v>
                </c:pt>
                <c:pt idx="320">
                  <c:v>#N/A</c:v>
                </c:pt>
                <c:pt idx="321">
                  <c:v>384000</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278000</c:v>
                </c:pt>
                <c:pt idx="349">
                  <c:v>#N/A</c:v>
                </c:pt>
                <c:pt idx="350">
                  <c:v>171000</c:v>
                </c:pt>
                <c:pt idx="351">
                  <c:v>#N/A</c:v>
                </c:pt>
                <c:pt idx="352">
                  <c:v>#N/A</c:v>
                </c:pt>
                <c:pt idx="353">
                  <c:v>#N/A</c:v>
                </c:pt>
                <c:pt idx="354">
                  <c:v>251000</c:v>
                </c:pt>
                <c:pt idx="355">
                  <c:v>#N/A</c:v>
                </c:pt>
                <c:pt idx="356">
                  <c:v>#N/A</c:v>
                </c:pt>
                <c:pt idx="357">
                  <c:v>#N/A</c:v>
                </c:pt>
                <c:pt idx="358">
                  <c:v>#N/A</c:v>
                </c:pt>
                <c:pt idx="359">
                  <c:v>#N/A</c:v>
                </c:pt>
                <c:pt idx="360">
                  <c:v>#N/A</c:v>
                </c:pt>
                <c:pt idx="361">
                  <c:v>230000</c:v>
                </c:pt>
                <c:pt idx="362">
                  <c:v>#N/A</c:v>
                </c:pt>
                <c:pt idx="363">
                  <c:v>#N/A</c:v>
                </c:pt>
                <c:pt idx="364">
                  <c:v>#N/A</c:v>
                </c:pt>
                <c:pt idx="365">
                  <c:v>#N/A</c:v>
                </c:pt>
                <c:pt idx="366">
                  <c:v>#N/A</c:v>
                </c:pt>
                <c:pt idx="367">
                  <c:v>#N/A</c:v>
                </c:pt>
                <c:pt idx="368">
                  <c:v>#N/A</c:v>
                </c:pt>
                <c:pt idx="369">
                  <c:v>#N/A</c:v>
                </c:pt>
                <c:pt idx="370">
                  <c:v>#N/A</c:v>
                </c:pt>
                <c:pt idx="371">
                  <c:v>251000</c:v>
                </c:pt>
                <c:pt idx="372">
                  <c:v>#N/A</c:v>
                </c:pt>
                <c:pt idx="373">
                  <c:v>#N/A</c:v>
                </c:pt>
                <c:pt idx="374">
                  <c:v>#N/A</c:v>
                </c:pt>
                <c:pt idx="375">
                  <c:v>172000</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173000</c:v>
                </c:pt>
                <c:pt idx="390">
                  <c:v>#N/A</c:v>
                </c:pt>
                <c:pt idx="391">
                  <c:v>#N/A</c:v>
                </c:pt>
                <c:pt idx="392">
                  <c:v>#N/A</c:v>
                </c:pt>
                <c:pt idx="393">
                  <c:v>#N/A</c:v>
                </c:pt>
                <c:pt idx="394">
                  <c:v>#N/A</c:v>
                </c:pt>
                <c:pt idx="395">
                  <c:v>#N/A</c:v>
                </c:pt>
                <c:pt idx="396">
                  <c:v>#N/A</c:v>
                </c:pt>
                <c:pt idx="397">
                  <c:v>276000</c:v>
                </c:pt>
                <c:pt idx="398">
                  <c:v>#N/A</c:v>
                </c:pt>
                <c:pt idx="399">
                  <c:v>#N/A</c:v>
                </c:pt>
                <c:pt idx="400">
                  <c:v>#N/A</c:v>
                </c:pt>
                <c:pt idx="401">
                  <c:v>208000</c:v>
                </c:pt>
                <c:pt idx="402">
                  <c:v>#N/A</c:v>
                </c:pt>
                <c:pt idx="403">
                  <c:v>#N/A</c:v>
                </c:pt>
                <c:pt idx="404">
                  <c:v>#N/A</c:v>
                </c:pt>
                <c:pt idx="405">
                  <c:v>#N/A</c:v>
                </c:pt>
                <c:pt idx="406">
                  <c:v>260000</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227000</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253000</c:v>
                </c:pt>
                <c:pt idx="443">
                  <c:v>#N/A</c:v>
                </c:pt>
                <c:pt idx="444">
                  <c:v>137000</c:v>
                </c:pt>
                <c:pt idx="445">
                  <c:v>#N/A</c:v>
                </c:pt>
                <c:pt idx="446">
                  <c:v>#N/A</c:v>
                </c:pt>
                <c:pt idx="447">
                  <c:v>#N/A</c:v>
                </c:pt>
                <c:pt idx="448">
                  <c:v>#N/A</c:v>
                </c:pt>
                <c:pt idx="449">
                  <c:v>#N/A</c:v>
                </c:pt>
                <c:pt idx="450">
                  <c:v>#N/A</c:v>
                </c:pt>
                <c:pt idx="451">
                  <c:v>#N/A</c:v>
                </c:pt>
                <c:pt idx="452">
                  <c:v>#N/A</c:v>
                </c:pt>
                <c:pt idx="453">
                  <c:v>#N/A</c:v>
                </c:pt>
                <c:pt idx="454">
                  <c:v>#N/A</c:v>
                </c:pt>
                <c:pt idx="455">
                  <c:v>329000</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252000</c:v>
                </c:pt>
                <c:pt idx="477">
                  <c:v>#N/A</c:v>
                </c:pt>
                <c:pt idx="478">
                  <c:v>383000</c:v>
                </c:pt>
                <c:pt idx="479">
                  <c:v>#N/A</c:v>
                </c:pt>
                <c:pt idx="480">
                  <c:v>#N/A</c:v>
                </c:pt>
                <c:pt idx="481">
                  <c:v>#N/A</c:v>
                </c:pt>
                <c:pt idx="482">
                  <c:v>#N/A</c:v>
                </c:pt>
                <c:pt idx="483">
                  <c:v>#N/A</c:v>
                </c:pt>
                <c:pt idx="484">
                  <c:v>#N/A</c:v>
                </c:pt>
                <c:pt idx="485">
                  <c:v>#N/A</c:v>
                </c:pt>
                <c:pt idx="486">
                  <c:v>#N/A</c:v>
                </c:pt>
                <c:pt idx="487">
                  <c:v>#N/A</c:v>
                </c:pt>
                <c:pt idx="488">
                  <c:v>#N/A</c:v>
                </c:pt>
                <c:pt idx="489">
                  <c:v>275000</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255000</c:v>
                </c:pt>
                <c:pt idx="503">
                  <c:v>#N/A</c:v>
                </c:pt>
                <c:pt idx="504">
                  <c:v>#N/A</c:v>
                </c:pt>
                <c:pt idx="505">
                  <c:v>#N/A</c:v>
                </c:pt>
                <c:pt idx="506">
                  <c:v>168000</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282000</c:v>
                </c:pt>
                <c:pt idx="524">
                  <c:v>#N/A</c:v>
                </c:pt>
                <c:pt idx="525">
                  <c:v>#N/A</c:v>
                </c:pt>
                <c:pt idx="526">
                  <c:v>272000</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144000</c:v>
                </c:pt>
                <c:pt idx="542">
                  <c:v>#N/A</c:v>
                </c:pt>
                <c:pt idx="543">
                  <c:v>#N/A</c:v>
                </c:pt>
                <c:pt idx="544">
                  <c:v>#N/A</c:v>
                </c:pt>
                <c:pt idx="545">
                  <c:v>#N/A</c:v>
                </c:pt>
                <c:pt idx="546">
                  <c:v>#N/A</c:v>
                </c:pt>
                <c:pt idx="547">
                  <c:v>#N/A</c:v>
                </c:pt>
                <c:pt idx="548">
                  <c:v>178000</c:v>
                </c:pt>
                <c:pt idx="549">
                  <c:v>#N/A</c:v>
                </c:pt>
                <c:pt idx="550">
                  <c:v>#N/A</c:v>
                </c:pt>
                <c:pt idx="551">
                  <c:v>#N/A</c:v>
                </c:pt>
                <c:pt idx="552">
                  <c:v>#N/A</c:v>
                </c:pt>
                <c:pt idx="553">
                  <c:v>#N/A</c:v>
                </c:pt>
                <c:pt idx="554">
                  <c:v>#N/A</c:v>
                </c:pt>
                <c:pt idx="555">
                  <c:v>#N/A</c:v>
                </c:pt>
                <c:pt idx="556">
                  <c:v>209000</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156000</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237000</c:v>
                </c:pt>
                <c:pt idx="604">
                  <c:v>#N/A</c:v>
                </c:pt>
                <c:pt idx="605">
                  <c:v>#N/A</c:v>
                </c:pt>
                <c:pt idx="606">
                  <c:v>#N/A</c:v>
                </c:pt>
                <c:pt idx="607">
                  <c:v>#N/A</c:v>
                </c:pt>
                <c:pt idx="608">
                  <c:v>#N/A</c:v>
                </c:pt>
                <c:pt idx="609">
                  <c:v>#N/A</c:v>
                </c:pt>
                <c:pt idx="610">
                  <c:v>#N/A</c:v>
                </c:pt>
                <c:pt idx="611">
                  <c:v>#N/A</c:v>
                </c:pt>
                <c:pt idx="612">
                  <c:v>#N/A</c:v>
                </c:pt>
                <c:pt idx="613">
                  <c:v>#N/A</c:v>
                </c:pt>
                <c:pt idx="614">
                  <c:v>229000</c:v>
                </c:pt>
                <c:pt idx="615">
                  <c:v>#N/A</c:v>
                </c:pt>
                <c:pt idx="616">
                  <c:v>#N/A</c:v>
                </c:pt>
                <c:pt idx="617">
                  <c:v>#N/A</c:v>
                </c:pt>
                <c:pt idx="618">
                  <c:v>#N/A</c:v>
                </c:pt>
                <c:pt idx="619">
                  <c:v>#N/A</c:v>
                </c:pt>
                <c:pt idx="620">
                  <c:v>#N/A</c:v>
                </c:pt>
                <c:pt idx="621">
                  <c:v>253000</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258000</c:v>
                </c:pt>
                <c:pt idx="637">
                  <c:v>#N/A</c:v>
                </c:pt>
                <c:pt idx="638">
                  <c:v>#N/A</c:v>
                </c:pt>
                <c:pt idx="639">
                  <c:v>#N/A</c:v>
                </c:pt>
                <c:pt idx="640">
                  <c:v>#N/A</c:v>
                </c:pt>
                <c:pt idx="641">
                  <c:v>312000</c:v>
                </c:pt>
                <c:pt idx="642">
                  <c:v>#N/A</c:v>
                </c:pt>
                <c:pt idx="643">
                  <c:v>#N/A</c:v>
                </c:pt>
                <c:pt idx="644">
                  <c:v>#N/A</c:v>
                </c:pt>
                <c:pt idx="645">
                  <c:v>#N/A</c:v>
                </c:pt>
                <c:pt idx="646">
                  <c:v>#N/A</c:v>
                </c:pt>
                <c:pt idx="647">
                  <c:v>#N/A</c:v>
                </c:pt>
                <c:pt idx="648">
                  <c:v>#N/A</c:v>
                </c:pt>
                <c:pt idx="649">
                  <c:v>362000</c:v>
                </c:pt>
                <c:pt idx="650">
                  <c:v>#N/A</c:v>
                </c:pt>
                <c:pt idx="651">
                  <c:v>#N/A</c:v>
                </c:pt>
                <c:pt idx="652">
                  <c:v>424000</c:v>
                </c:pt>
                <c:pt idx="653">
                  <c:v>#N/A</c:v>
                </c:pt>
                <c:pt idx="654">
                  <c:v>#N/A</c:v>
                </c:pt>
                <c:pt idx="655">
                  <c:v>#N/A</c:v>
                </c:pt>
                <c:pt idx="656">
                  <c:v>#N/A</c:v>
                </c:pt>
                <c:pt idx="657">
                  <c:v>#N/A</c:v>
                </c:pt>
                <c:pt idx="658">
                  <c:v>248000</c:v>
                </c:pt>
                <c:pt idx="659">
                  <c:v>#N/A</c:v>
                </c:pt>
                <c:pt idx="660">
                  <c:v>#N/A</c:v>
                </c:pt>
                <c:pt idx="661">
                  <c:v>#N/A</c:v>
                </c:pt>
                <c:pt idx="662">
                  <c:v>#N/A</c:v>
                </c:pt>
                <c:pt idx="663">
                  <c:v>#N/A</c:v>
                </c:pt>
                <c:pt idx="664">
                  <c:v>#N/A</c:v>
                </c:pt>
                <c:pt idx="665">
                  <c:v>#N/A</c:v>
                </c:pt>
                <c:pt idx="666">
                  <c:v>155000</c:v>
                </c:pt>
                <c:pt idx="667">
                  <c:v>#N/A</c:v>
                </c:pt>
                <c:pt idx="668">
                  <c:v>#N/A</c:v>
                </c:pt>
                <c:pt idx="669">
                  <c:v>#N/A</c:v>
                </c:pt>
                <c:pt idx="670">
                  <c:v>#N/A</c:v>
                </c:pt>
                <c:pt idx="671">
                  <c:v>#N/A</c:v>
                </c:pt>
                <c:pt idx="672">
                  <c:v>#N/A</c:v>
                </c:pt>
                <c:pt idx="673">
                  <c:v>#N/A</c:v>
                </c:pt>
                <c:pt idx="674">
                  <c:v>#N/A</c:v>
                </c:pt>
                <c:pt idx="675">
                  <c:v>#N/A</c:v>
                </c:pt>
                <c:pt idx="676">
                  <c:v>#N/A</c:v>
                </c:pt>
                <c:pt idx="677">
                  <c:v>237000</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158000</c:v>
                </c:pt>
                <c:pt idx="715">
                  <c:v>#N/A</c:v>
                </c:pt>
                <c:pt idx="716">
                  <c:v>#N/A</c:v>
                </c:pt>
                <c:pt idx="717">
                  <c:v>#N/A</c:v>
                </c:pt>
                <c:pt idx="718">
                  <c:v>231000</c:v>
                </c:pt>
                <c:pt idx="719">
                  <c:v>#N/A</c:v>
                </c:pt>
                <c:pt idx="720">
                  <c:v>#N/A</c:v>
                </c:pt>
                <c:pt idx="721">
                  <c:v>#N/A</c:v>
                </c:pt>
                <c:pt idx="722">
                  <c:v>#N/A</c:v>
                </c:pt>
                <c:pt idx="723">
                  <c:v>#N/A</c:v>
                </c:pt>
                <c:pt idx="724">
                  <c:v>#N/A</c:v>
                </c:pt>
                <c:pt idx="725">
                  <c:v>#N/A</c:v>
                </c:pt>
                <c:pt idx="726">
                  <c:v>144000</c:v>
                </c:pt>
                <c:pt idx="727">
                  <c:v>#N/A</c:v>
                </c:pt>
                <c:pt idx="728">
                  <c:v>#N/A</c:v>
                </c:pt>
                <c:pt idx="729">
                  <c:v>#N/A</c:v>
                </c:pt>
                <c:pt idx="730">
                  <c:v>#N/A</c:v>
                </c:pt>
                <c:pt idx="731">
                  <c:v>#N/A</c:v>
                </c:pt>
                <c:pt idx="732">
                  <c:v>#N/A</c:v>
                </c:pt>
                <c:pt idx="733">
                  <c:v>#N/A</c:v>
                </c:pt>
                <c:pt idx="734">
                  <c:v>#N/A</c:v>
                </c:pt>
                <c:pt idx="735">
                  <c:v>#N/A</c:v>
                </c:pt>
                <c:pt idx="736">
                  <c:v>#N/A</c:v>
                </c:pt>
                <c:pt idx="737">
                  <c:v>#N/A</c:v>
                </c:pt>
                <c:pt idx="738">
                  <c:v>189000</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156000</c:v>
                </c:pt>
                <c:pt idx="774">
                  <c:v>#N/A</c:v>
                </c:pt>
                <c:pt idx="775">
                  <c:v>#N/A</c:v>
                </c:pt>
                <c:pt idx="776">
                  <c:v>#N/A</c:v>
                </c:pt>
                <c:pt idx="777">
                  <c:v>#N/A</c:v>
                </c:pt>
                <c:pt idx="778">
                  <c:v>#N/A</c:v>
                </c:pt>
                <c:pt idx="779">
                  <c:v>#N/A</c:v>
                </c:pt>
                <c:pt idx="780">
                  <c:v>#N/A</c:v>
                </c:pt>
                <c:pt idx="781">
                  <c:v>#N/A</c:v>
                </c:pt>
                <c:pt idx="782">
                  <c:v>#N/A</c:v>
                </c:pt>
                <c:pt idx="783">
                  <c:v>312000</c:v>
                </c:pt>
                <c:pt idx="784">
                  <c:v>288000</c:v>
                </c:pt>
                <c:pt idx="785">
                  <c:v>#N/A</c:v>
                </c:pt>
                <c:pt idx="786">
                  <c:v>#N/A</c:v>
                </c:pt>
                <c:pt idx="787">
                  <c:v>#N/A</c:v>
                </c:pt>
                <c:pt idx="788">
                  <c:v>#N/A</c:v>
                </c:pt>
                <c:pt idx="789">
                  <c:v>#N/A</c:v>
                </c:pt>
                <c:pt idx="790">
                  <c:v>#N/A</c:v>
                </c:pt>
                <c:pt idx="791">
                  <c:v>#N/A</c:v>
                </c:pt>
                <c:pt idx="792">
                  <c:v>#N/A</c:v>
                </c:pt>
                <c:pt idx="793">
                  <c:v>#N/A</c:v>
                </c:pt>
                <c:pt idx="794">
                  <c:v>#N/A</c:v>
                </c:pt>
                <c:pt idx="795">
                  <c:v>#N/A</c:v>
                </c:pt>
                <c:pt idx="796">
                  <c:v>250000</c:v>
                </c:pt>
                <c:pt idx="797">
                  <c:v>#N/A</c:v>
                </c:pt>
                <c:pt idx="798">
                  <c:v>#N/A</c:v>
                </c:pt>
                <c:pt idx="799">
                  <c:v>#N/A</c:v>
                </c:pt>
                <c:pt idx="800">
                  <c:v>#N/A</c:v>
                </c:pt>
                <c:pt idx="801">
                  <c:v>#N/A</c:v>
                </c:pt>
                <c:pt idx="802">
                  <c:v>#N/A</c:v>
                </c:pt>
                <c:pt idx="803">
                  <c:v>171000</c:v>
                </c:pt>
                <c:pt idx="804">
                  <c:v>#N/A</c:v>
                </c:pt>
                <c:pt idx="805">
                  <c:v>#N/A</c:v>
                </c:pt>
                <c:pt idx="806">
                  <c:v>#N/A</c:v>
                </c:pt>
                <c:pt idx="807">
                  <c:v>#N/A</c:v>
                </c:pt>
                <c:pt idx="808">
                  <c:v>#N/A</c:v>
                </c:pt>
                <c:pt idx="809">
                  <c:v>#N/A</c:v>
                </c:pt>
                <c:pt idx="810">
                  <c:v>#N/A</c:v>
                </c:pt>
                <c:pt idx="811">
                  <c:v>#N/A</c:v>
                </c:pt>
                <c:pt idx="812">
                  <c:v>#N/A</c:v>
                </c:pt>
                <c:pt idx="813">
                  <c:v>205000</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226000</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325000</c:v>
                </c:pt>
                <c:pt idx="849">
                  <c:v>#N/A</c:v>
                </c:pt>
                <c:pt idx="850">
                  <c:v>#N/A</c:v>
                </c:pt>
                <c:pt idx="851">
                  <c:v>#N/A</c:v>
                </c:pt>
                <c:pt idx="852">
                  <c:v>208000</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227000</c:v>
                </c:pt>
                <c:pt idx="887">
                  <c:v>326000</c:v>
                </c:pt>
                <c:pt idx="888">
                  <c:v>357000</c:v>
                </c:pt>
                <c:pt idx="889">
                  <c:v>241000</c:v>
                </c:pt>
                <c:pt idx="890">
                  <c:v>#N/A</c:v>
                </c:pt>
                <c:pt idx="891">
                  <c:v>#N/A</c:v>
                </c:pt>
                <c:pt idx="892">
                  <c:v>#N/A</c:v>
                </c:pt>
                <c:pt idx="893">
                  <c:v>199000</c:v>
                </c:pt>
                <c:pt idx="894">
                  <c:v>193000</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196000</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173000</c:v>
                </c:pt>
                <c:pt idx="931">
                  <c:v>#N/A</c:v>
                </c:pt>
                <c:pt idx="932">
                  <c:v>#N/A</c:v>
                </c:pt>
                <c:pt idx="933">
                  <c:v>#N/A</c:v>
                </c:pt>
                <c:pt idx="934">
                  <c:v>#N/A</c:v>
                </c:pt>
                <c:pt idx="935">
                  <c:v>#N/A</c:v>
                </c:pt>
                <c:pt idx="936">
                  <c:v>#N/A</c:v>
                </c:pt>
                <c:pt idx="937">
                  <c:v>#N/A</c:v>
                </c:pt>
                <c:pt idx="938">
                  <c:v>#N/A</c:v>
                </c:pt>
                <c:pt idx="939">
                  <c:v>#N/A</c:v>
                </c:pt>
                <c:pt idx="940">
                  <c:v>#N/A</c:v>
                </c:pt>
                <c:pt idx="941">
                  <c:v>#N/A</c:v>
                </c:pt>
                <c:pt idx="942">
                  <c:v>286000</c:v>
                </c:pt>
                <c:pt idx="943">
                  <c:v>139000</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185000</c:v>
                </c:pt>
                <c:pt idx="957">
                  <c:v>#N/A</c:v>
                </c:pt>
                <c:pt idx="958">
                  <c:v>233000</c:v>
                </c:pt>
                <c:pt idx="959">
                  <c:v>#N/A</c:v>
                </c:pt>
                <c:pt idx="960">
                  <c:v>#N/A</c:v>
                </c:pt>
                <c:pt idx="961">
                  <c:v>#N/A</c:v>
                </c:pt>
                <c:pt idx="962">
                  <c:v>#N/A</c:v>
                </c:pt>
                <c:pt idx="963">
                  <c:v>132000</c:v>
                </c:pt>
                <c:pt idx="964">
                  <c:v>#N/A</c:v>
                </c:pt>
                <c:pt idx="965">
                  <c:v>#N/A</c:v>
                </c:pt>
                <c:pt idx="966">
                  <c:v>#N/A</c:v>
                </c:pt>
                <c:pt idx="967">
                  <c:v>#N/A</c:v>
                </c:pt>
                <c:pt idx="968">
                  <c:v>#N/A</c:v>
                </c:pt>
                <c:pt idx="969">
                  <c:v>#N/A</c:v>
                </c:pt>
                <c:pt idx="970">
                  <c:v>#N/A</c:v>
                </c:pt>
                <c:pt idx="971">
                  <c:v>436000</c:v>
                </c:pt>
                <c:pt idx="972">
                  <c:v>#N/A</c:v>
                </c:pt>
                <c:pt idx="973">
                  <c:v>#N/A</c:v>
                </c:pt>
                <c:pt idx="974">
                  <c:v>#N/A</c:v>
                </c:pt>
                <c:pt idx="975">
                  <c:v>#N/A</c:v>
                </c:pt>
                <c:pt idx="976">
                  <c:v>#N/A</c:v>
                </c:pt>
                <c:pt idx="977">
                  <c:v>#N/A</c:v>
                </c:pt>
                <c:pt idx="978">
                  <c:v>#N/A</c:v>
                </c:pt>
                <c:pt idx="979">
                  <c:v>#N/A</c:v>
                </c:pt>
                <c:pt idx="980">
                  <c:v>#N/A</c:v>
                </c:pt>
                <c:pt idx="981">
                  <c:v>#N/A</c:v>
                </c:pt>
                <c:pt idx="982">
                  <c:v>335000</c:v>
                </c:pt>
                <c:pt idx="983">
                  <c:v>#N/A</c:v>
                </c:pt>
                <c:pt idx="984">
                  <c:v>#N/A</c:v>
                </c:pt>
                <c:pt idx="985">
                  <c:v>#N/A</c:v>
                </c:pt>
                <c:pt idx="986">
                  <c:v>#N/A</c:v>
                </c:pt>
                <c:pt idx="987">
                  <c:v>#N/A</c:v>
                </c:pt>
                <c:pt idx="988">
                  <c:v>#N/A</c:v>
                </c:pt>
                <c:pt idx="989">
                  <c:v>#N/A</c:v>
                </c:pt>
                <c:pt idx="990">
                  <c:v>#N/A</c:v>
                </c:pt>
                <c:pt idx="991">
                  <c:v>#N/A</c:v>
                </c:pt>
                <c:pt idx="992">
                  <c:v>125000</c:v>
                </c:pt>
                <c:pt idx="993">
                  <c:v>#N/A</c:v>
                </c:pt>
                <c:pt idx="994">
                  <c:v>#N/A</c:v>
                </c:pt>
                <c:pt idx="995">
                  <c:v>#N/A</c:v>
                </c:pt>
                <c:pt idx="996">
                  <c:v>#N/A</c:v>
                </c:pt>
                <c:pt idx="997">
                  <c:v>#N/A</c:v>
                </c:pt>
                <c:pt idx="998">
                  <c:v>#N/A</c:v>
                </c:pt>
                <c:pt idx="999">
                  <c:v>#N/A</c:v>
                </c:pt>
                <c:pt idx="1000">
                  <c:v>#N/A</c:v>
                </c:pt>
                <c:pt idx="1001">
                  <c:v>#N/A</c:v>
                </c:pt>
                <c:pt idx="1002">
                  <c:v>#N/A</c:v>
                </c:pt>
                <c:pt idx="1003">
                  <c:v>#N/A</c:v>
                </c:pt>
                <c:pt idx="1004">
                  <c:v>296000</c:v>
                </c:pt>
                <c:pt idx="1005">
                  <c:v>#N/A</c:v>
                </c:pt>
                <c:pt idx="1006">
                  <c:v>#N/A</c:v>
                </c:pt>
                <c:pt idx="1007">
                  <c:v>#N/A</c:v>
                </c:pt>
                <c:pt idx="1008">
                  <c:v>#N/A</c:v>
                </c:pt>
                <c:pt idx="1009">
                  <c:v>#N/A</c:v>
                </c:pt>
                <c:pt idx="1010">
                  <c:v>#N/A</c:v>
                </c:pt>
                <c:pt idx="1011">
                  <c:v>406000</c:v>
                </c:pt>
                <c:pt idx="1012">
                  <c:v>#N/A</c:v>
                </c:pt>
                <c:pt idx="1013">
                  <c:v>#N/A</c:v>
                </c:pt>
                <c:pt idx="1014">
                  <c:v>#N/A</c:v>
                </c:pt>
                <c:pt idx="1015">
                  <c:v>#N/A</c:v>
                </c:pt>
                <c:pt idx="1016">
                  <c:v>153000</c:v>
                </c:pt>
                <c:pt idx="1017">
                  <c:v>#N/A</c:v>
                </c:pt>
                <c:pt idx="1018">
                  <c:v>#N/A</c:v>
                </c:pt>
                <c:pt idx="1019">
                  <c:v>#N/A</c:v>
                </c:pt>
                <c:pt idx="1020">
                  <c:v>#N/A</c:v>
                </c:pt>
                <c:pt idx="1021">
                  <c:v>#N/A</c:v>
                </c:pt>
                <c:pt idx="1022">
                  <c:v>#N/A</c:v>
                </c:pt>
                <c:pt idx="1023">
                  <c:v>#N/A</c:v>
                </c:pt>
                <c:pt idx="1024">
                  <c:v>153000</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214000</c:v>
                </c:pt>
                <c:pt idx="1052">
                  <c:v>#N/A</c:v>
                </c:pt>
                <c:pt idx="1053">
                  <c:v>#N/A</c:v>
                </c:pt>
                <c:pt idx="1054">
                  <c:v>232000</c:v>
                </c:pt>
                <c:pt idx="1055">
                  <c:v>276000</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325000</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358000</c:v>
                </c:pt>
                <c:pt idx="1085">
                  <c:v>#N/A</c:v>
                </c:pt>
                <c:pt idx="1086">
                  <c:v>#N/A</c:v>
                </c:pt>
                <c:pt idx="1087">
                  <c:v>#N/A</c:v>
                </c:pt>
                <c:pt idx="1088">
                  <c:v>#N/A</c:v>
                </c:pt>
                <c:pt idx="1089">
                  <c:v>#N/A</c:v>
                </c:pt>
                <c:pt idx="1090">
                  <c:v>#N/A</c:v>
                </c:pt>
                <c:pt idx="1091">
                  <c:v>283000</c:v>
                </c:pt>
                <c:pt idx="1092">
                  <c:v>#N/A</c:v>
                </c:pt>
                <c:pt idx="1093">
                  <c:v>#N/A</c:v>
                </c:pt>
                <c:pt idx="1094">
                  <c:v>#N/A</c:v>
                </c:pt>
                <c:pt idx="1095">
                  <c:v>#N/A</c:v>
                </c:pt>
                <c:pt idx="1096">
                  <c:v>#N/A</c:v>
                </c:pt>
                <c:pt idx="1097">
                  <c:v>327000</c:v>
                </c:pt>
                <c:pt idx="1098">
                  <c:v>232000</c:v>
                </c:pt>
                <c:pt idx="1099">
                  <c:v>#N/A</c:v>
                </c:pt>
                <c:pt idx="1100">
                  <c:v>#N/A</c:v>
                </c:pt>
                <c:pt idx="1101">
                  <c:v>#N/A</c:v>
                </c:pt>
                <c:pt idx="1102">
                  <c:v>262000</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227000</c:v>
                </c:pt>
                <c:pt idx="1116">
                  <c:v>#N/A</c:v>
                </c:pt>
                <c:pt idx="1117">
                  <c:v>#N/A</c:v>
                </c:pt>
                <c:pt idx="1118">
                  <c:v>#N/A</c:v>
                </c:pt>
                <c:pt idx="1119">
                  <c:v>#N/A</c:v>
                </c:pt>
                <c:pt idx="1120">
                  <c:v>#N/A</c:v>
                </c:pt>
                <c:pt idx="1121">
                  <c:v>#N/A</c:v>
                </c:pt>
                <c:pt idx="1122">
                  <c:v>#N/A</c:v>
                </c:pt>
                <c:pt idx="1123">
                  <c:v>#N/A</c:v>
                </c:pt>
                <c:pt idx="1124">
                  <c:v>282000</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264000</c:v>
                </c:pt>
                <c:pt idx="1138">
                  <c:v>#N/A</c:v>
                </c:pt>
                <c:pt idx="1139">
                  <c:v>#N/A</c:v>
                </c:pt>
                <c:pt idx="1140">
                  <c:v>#N/A</c:v>
                </c:pt>
                <c:pt idx="1141">
                  <c:v>#N/A</c:v>
                </c:pt>
                <c:pt idx="1142">
                  <c:v>#N/A</c:v>
                </c:pt>
                <c:pt idx="1143">
                  <c:v>#N/A</c:v>
                </c:pt>
                <c:pt idx="1144">
                  <c:v>#N/A</c:v>
                </c:pt>
                <c:pt idx="1145">
                  <c:v>#N/A</c:v>
                </c:pt>
                <c:pt idx="1146">
                  <c:v>#N/A</c:v>
                </c:pt>
                <c:pt idx="1147">
                  <c:v>#N/A</c:v>
                </c:pt>
                <c:pt idx="1148">
                  <c:v>#N/A</c:v>
                </c:pt>
                <c:pt idx="1149">
                  <c:v>215000</c:v>
                </c:pt>
                <c:pt idx="1150">
                  <c:v>#N/A</c:v>
                </c:pt>
                <c:pt idx="1151">
                  <c:v>#N/A</c:v>
                </c:pt>
                <c:pt idx="1152">
                  <c:v>#N/A</c:v>
                </c:pt>
                <c:pt idx="1153">
                  <c:v>#N/A</c:v>
                </c:pt>
                <c:pt idx="1154">
                  <c:v>#N/A</c:v>
                </c:pt>
                <c:pt idx="1155">
                  <c:v>#N/A</c:v>
                </c:pt>
                <c:pt idx="1156">
                  <c:v>247000</c:v>
                </c:pt>
                <c:pt idx="1157">
                  <c:v>#N/A</c:v>
                </c:pt>
                <c:pt idx="1158">
                  <c:v>#N/A</c:v>
                </c:pt>
                <c:pt idx="1159">
                  <c:v>#N/A</c:v>
                </c:pt>
                <c:pt idx="1160">
                  <c:v>#N/A</c:v>
                </c:pt>
                <c:pt idx="1161">
                  <c:v>166000</c:v>
                </c:pt>
                <c:pt idx="1162">
                  <c:v>#N/A</c:v>
                </c:pt>
                <c:pt idx="1163">
                  <c:v>#N/A</c:v>
                </c:pt>
                <c:pt idx="1164">
                  <c:v>#N/A</c:v>
                </c:pt>
                <c:pt idx="1165">
                  <c:v>#N/A</c:v>
                </c:pt>
                <c:pt idx="1166">
                  <c:v>#N/A</c:v>
                </c:pt>
                <c:pt idx="1167">
                  <c:v>155000</c:v>
                </c:pt>
                <c:pt idx="1168">
                  <c:v>#N/A</c:v>
                </c:pt>
                <c:pt idx="1169">
                  <c:v>#N/A</c:v>
                </c:pt>
                <c:pt idx="1170">
                  <c:v>#N/A</c:v>
                </c:pt>
                <c:pt idx="1171">
                  <c:v>#N/A</c:v>
                </c:pt>
                <c:pt idx="1172">
                  <c:v>#N/A</c:v>
                </c:pt>
                <c:pt idx="1173">
                  <c:v>#N/A</c:v>
                </c:pt>
                <c:pt idx="1174">
                  <c:v>#N/A</c:v>
                </c:pt>
                <c:pt idx="1175">
                  <c:v>#N/A</c:v>
                </c:pt>
                <c:pt idx="1176">
                  <c:v>#N/A</c:v>
                </c:pt>
                <c:pt idx="1177">
                  <c:v>313000</c:v>
                </c:pt>
                <c:pt idx="1178">
                  <c:v>278000</c:v>
                </c:pt>
                <c:pt idx="1179">
                  <c:v>#N/A</c:v>
                </c:pt>
                <c:pt idx="1180">
                  <c:v>#N/A</c:v>
                </c:pt>
                <c:pt idx="1181">
                  <c:v>#N/A</c:v>
                </c:pt>
                <c:pt idx="1182">
                  <c:v>#N/A</c:v>
                </c:pt>
                <c:pt idx="1183">
                  <c:v>#N/A</c:v>
                </c:pt>
                <c:pt idx="1184">
                  <c:v>#N/A</c:v>
                </c:pt>
                <c:pt idx="1185">
                  <c:v>#N/A</c:v>
                </c:pt>
                <c:pt idx="1186">
                  <c:v>#N/A</c:v>
                </c:pt>
                <c:pt idx="1187">
                  <c:v>311000</c:v>
                </c:pt>
                <c:pt idx="1188">
                  <c:v>232000</c:v>
                </c:pt>
                <c:pt idx="1189">
                  <c:v>#N/A</c:v>
                </c:pt>
                <c:pt idx="1190">
                  <c:v>#N/A</c:v>
                </c:pt>
                <c:pt idx="1191">
                  <c:v>215000</c:v>
                </c:pt>
                <c:pt idx="1192">
                  <c:v>#N/A</c:v>
                </c:pt>
                <c:pt idx="1193">
                  <c:v>#N/A</c:v>
                </c:pt>
                <c:pt idx="1194">
                  <c:v>#N/A</c:v>
                </c:pt>
                <c:pt idx="1195">
                  <c:v>#N/A</c:v>
                </c:pt>
                <c:pt idx="1196">
                  <c:v>#N/A</c:v>
                </c:pt>
                <c:pt idx="1197">
                  <c:v>#N/A</c:v>
                </c:pt>
                <c:pt idx="1198">
                  <c:v>#N/A</c:v>
                </c:pt>
                <c:pt idx="1199">
                  <c:v>#N/A</c:v>
                </c:pt>
                <c:pt idx="1200">
                  <c:v>#N/A</c:v>
                </c:pt>
              </c:numCache>
            </c:numRef>
          </c:yVal>
          <c:smooth val="0"/>
          <c:extLst>
            <c:ext xmlns:c16="http://schemas.microsoft.com/office/drawing/2014/chart" uri="{C3380CC4-5D6E-409C-BE32-E72D297353CC}">
              <c16:uniqueId val="{00000003-E68E-A849-803B-7832E31AC732}"/>
            </c:ext>
          </c:extLst>
        </c:ser>
        <c:ser>
          <c:idx val="4"/>
          <c:order val="4"/>
          <c:tx>
            <c:v>Floor</c:v>
          </c:tx>
          <c:spPr>
            <a:ln w="25400" cap="rnd">
              <a:noFill/>
              <a:round/>
            </a:ln>
            <a:effectLst/>
          </c:spPr>
          <c:marker>
            <c:symbol val="circle"/>
            <c:size val="5"/>
            <c:spPr>
              <a:solidFill>
                <a:schemeClr val="accent5"/>
              </a:solidFill>
              <a:ln w="9525">
                <a:solidFill>
                  <a:schemeClr val="accent5"/>
                </a:solidFill>
              </a:ln>
              <a:effectLst/>
            </c:spPr>
          </c:marker>
          <c:xVal>
            <c:strRef>
              <c:f>riyadh_realestate_dataset!$Y:$Y</c:f>
              <c:strCache>
                <c:ptCount val="1201"/>
                <c:pt idx="0">
                  <c:v>floor_area</c:v>
                </c:pt>
                <c:pt idx="1">
                  <c:v>#N/A</c:v>
                </c:pt>
                <c:pt idx="2">
                  <c:v>#N/A</c:v>
                </c:pt>
                <c:pt idx="3">
                  <c:v>#N/A</c:v>
                </c:pt>
                <c:pt idx="4">
                  <c:v>#N/A</c:v>
                </c:pt>
                <c:pt idx="5">
                  <c:v>#N/A</c:v>
                </c:pt>
                <c:pt idx="6">
                  <c:v>#N/A</c:v>
                </c:pt>
                <c:pt idx="7">
                  <c:v>#N/A</c:v>
                </c:pt>
                <c:pt idx="8">
                  <c:v>#N/A</c:v>
                </c:pt>
                <c:pt idx="9">
                  <c:v>#N/A</c:v>
                </c:pt>
                <c:pt idx="10">
                  <c:v>#N/A</c:v>
                </c:pt>
                <c:pt idx="11">
                  <c:v>#N/A</c:v>
                </c:pt>
                <c:pt idx="12">
                  <c:v>369</c:v>
                </c:pt>
                <c:pt idx="13">
                  <c:v>#N/A</c:v>
                </c:pt>
                <c:pt idx="14">
                  <c:v>#N/A</c:v>
                </c:pt>
                <c:pt idx="15">
                  <c:v>317</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327</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340</c:v>
                </c:pt>
                <c:pt idx="64">
                  <c:v>374</c:v>
                </c:pt>
                <c:pt idx="65">
                  <c:v>365</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354</c:v>
                </c:pt>
                <c:pt idx="81">
                  <c:v>#N/A</c:v>
                </c:pt>
                <c:pt idx="82">
                  <c:v>#N/A</c:v>
                </c:pt>
                <c:pt idx="83">
                  <c:v>#N/A</c:v>
                </c:pt>
                <c:pt idx="84">
                  <c:v>#N/A</c:v>
                </c:pt>
                <c:pt idx="85">
                  <c:v>#N/A</c:v>
                </c:pt>
                <c:pt idx="86">
                  <c:v>#N/A</c:v>
                </c:pt>
                <c:pt idx="87">
                  <c:v>#N/A</c:v>
                </c:pt>
                <c:pt idx="88">
                  <c:v>361</c:v>
                </c:pt>
                <c:pt idx="89">
                  <c:v>#N/A</c:v>
                </c:pt>
                <c:pt idx="90">
                  <c:v>#N/A</c:v>
                </c:pt>
                <c:pt idx="91">
                  <c:v>381</c:v>
                </c:pt>
                <c:pt idx="92">
                  <c:v>368</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351</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304</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343</c:v>
                </c:pt>
                <c:pt idx="147">
                  <c:v>#N/A</c:v>
                </c:pt>
                <c:pt idx="148">
                  <c:v>#N/A</c:v>
                </c:pt>
                <c:pt idx="149">
                  <c:v>322</c:v>
                </c:pt>
                <c:pt idx="150">
                  <c:v>#N/A</c:v>
                </c:pt>
                <c:pt idx="151">
                  <c:v>#N/A</c:v>
                </c:pt>
                <c:pt idx="152">
                  <c:v>#N/A</c:v>
                </c:pt>
                <c:pt idx="153">
                  <c:v>477</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401</c:v>
                </c:pt>
                <c:pt idx="177">
                  <c:v>#N/A</c:v>
                </c:pt>
                <c:pt idx="178">
                  <c:v>#N/A</c:v>
                </c:pt>
                <c:pt idx="179">
                  <c:v>#N/A</c:v>
                </c:pt>
                <c:pt idx="180">
                  <c:v>#N/A</c:v>
                </c:pt>
                <c:pt idx="181">
                  <c:v>#N/A</c:v>
                </c:pt>
                <c:pt idx="182">
                  <c:v>#N/A</c:v>
                </c:pt>
                <c:pt idx="183">
                  <c:v>#N/A</c:v>
                </c:pt>
                <c:pt idx="184">
                  <c:v>#N/A</c:v>
                </c:pt>
                <c:pt idx="185">
                  <c:v>#N/A</c:v>
                </c:pt>
                <c:pt idx="186">
                  <c:v>#N/A</c:v>
                </c:pt>
                <c:pt idx="187">
                  <c:v>#N/A</c:v>
                </c:pt>
                <c:pt idx="188">
                  <c:v>351</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349</c:v>
                </c:pt>
                <c:pt idx="212">
                  <c:v>#N/A</c:v>
                </c:pt>
                <c:pt idx="213">
                  <c:v>369</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460</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407</c:v>
                </c:pt>
                <c:pt idx="267">
                  <c:v>#N/A</c:v>
                </c:pt>
                <c:pt idx="268">
                  <c:v>#N/A</c:v>
                </c:pt>
                <c:pt idx="269">
                  <c:v>#N/A</c:v>
                </c:pt>
                <c:pt idx="270">
                  <c:v>#N/A</c:v>
                </c:pt>
                <c:pt idx="271">
                  <c:v>#N/A</c:v>
                </c:pt>
                <c:pt idx="272">
                  <c:v>352</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355</c:v>
                </c:pt>
                <c:pt idx="292">
                  <c:v>#N/A</c:v>
                </c:pt>
                <c:pt idx="293">
                  <c:v>#N/A</c:v>
                </c:pt>
                <c:pt idx="294">
                  <c:v>#N/A</c:v>
                </c:pt>
                <c:pt idx="295">
                  <c:v>#N/A</c:v>
                </c:pt>
                <c:pt idx="296">
                  <c:v>#N/A</c:v>
                </c:pt>
                <c:pt idx="297">
                  <c:v>#N/A</c:v>
                </c:pt>
                <c:pt idx="298">
                  <c:v>#N/A</c:v>
                </c:pt>
                <c:pt idx="299">
                  <c:v>#N/A</c:v>
                </c:pt>
                <c:pt idx="300">
                  <c:v>#N/A</c:v>
                </c:pt>
                <c:pt idx="301">
                  <c:v>353</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315</c:v>
                </c:pt>
                <c:pt idx="319">
                  <c:v>#N/A</c:v>
                </c:pt>
                <c:pt idx="320">
                  <c:v>#N/A</c:v>
                </c:pt>
                <c:pt idx="321">
                  <c:v>#N/A</c:v>
                </c:pt>
                <c:pt idx="322">
                  <c:v>#N/A</c:v>
                </c:pt>
                <c:pt idx="323">
                  <c:v>#N/A</c:v>
                </c:pt>
                <c:pt idx="324">
                  <c:v>#N/A</c:v>
                </c:pt>
                <c:pt idx="325">
                  <c:v>#N/A</c:v>
                </c:pt>
                <c:pt idx="326">
                  <c:v>#N/A</c:v>
                </c:pt>
                <c:pt idx="327">
                  <c:v>#N/A</c:v>
                </c:pt>
                <c:pt idx="328">
                  <c:v>#N/A</c:v>
                </c:pt>
                <c:pt idx="329">
                  <c:v>#N/A</c:v>
                </c:pt>
                <c:pt idx="330">
                  <c:v>325</c:v>
                </c:pt>
                <c:pt idx="331">
                  <c:v>#N/A</c:v>
                </c:pt>
                <c:pt idx="332">
                  <c:v>#N/A</c:v>
                </c:pt>
                <c:pt idx="333">
                  <c:v>#N/A</c:v>
                </c:pt>
                <c:pt idx="334">
                  <c:v>#N/A</c:v>
                </c:pt>
                <c:pt idx="335">
                  <c:v>#N/A</c:v>
                </c:pt>
                <c:pt idx="336">
                  <c:v>#N/A</c:v>
                </c:pt>
                <c:pt idx="337">
                  <c:v>#N/A</c:v>
                </c:pt>
                <c:pt idx="338">
                  <c:v>#N/A</c:v>
                </c:pt>
                <c:pt idx="339">
                  <c:v>261</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418</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386</c:v>
                </c:pt>
                <c:pt idx="406">
                  <c:v>#N/A</c:v>
                </c:pt>
                <c:pt idx="407">
                  <c:v>#N/A</c:v>
                </c:pt>
                <c:pt idx="408">
                  <c:v>#N/A</c:v>
                </c:pt>
                <c:pt idx="409">
                  <c:v>#N/A</c:v>
                </c:pt>
                <c:pt idx="410">
                  <c:v>#N/A</c:v>
                </c:pt>
                <c:pt idx="411">
                  <c:v>#N/A</c:v>
                </c:pt>
                <c:pt idx="412">
                  <c:v>#N/A</c:v>
                </c:pt>
                <c:pt idx="413">
                  <c:v>#N/A</c:v>
                </c:pt>
                <c:pt idx="414">
                  <c:v>#N/A</c:v>
                </c:pt>
                <c:pt idx="415">
                  <c:v>317</c:v>
                </c:pt>
                <c:pt idx="416">
                  <c:v>#N/A</c:v>
                </c:pt>
                <c:pt idx="417">
                  <c:v>#N/A</c:v>
                </c:pt>
                <c:pt idx="418">
                  <c:v>#N/A</c:v>
                </c:pt>
                <c:pt idx="419">
                  <c:v>#N/A</c:v>
                </c:pt>
                <c:pt idx="420">
                  <c:v>#N/A</c:v>
                </c:pt>
                <c:pt idx="421">
                  <c:v>#N/A</c:v>
                </c:pt>
                <c:pt idx="422">
                  <c:v>#N/A</c:v>
                </c:pt>
                <c:pt idx="423">
                  <c:v>318</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319</c:v>
                </c:pt>
                <c:pt idx="465">
                  <c:v>#N/A</c:v>
                </c:pt>
                <c:pt idx="466">
                  <c:v>331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348</c:v>
                </c:pt>
                <c:pt idx="508">
                  <c:v>#N/A</c:v>
                </c:pt>
                <c:pt idx="509">
                  <c:v>#N/A</c:v>
                </c:pt>
                <c:pt idx="510">
                  <c:v>#N/A</c:v>
                </c:pt>
                <c:pt idx="511">
                  <c:v>#N/A</c:v>
                </c:pt>
                <c:pt idx="512">
                  <c:v>#N/A</c:v>
                </c:pt>
                <c:pt idx="513">
                  <c:v>#N/A</c:v>
                </c:pt>
                <c:pt idx="514">
                  <c:v>#N/A</c:v>
                </c:pt>
                <c:pt idx="515">
                  <c:v>#N/A</c:v>
                </c:pt>
                <c:pt idx="516">
                  <c:v>#N/A</c:v>
                </c:pt>
                <c:pt idx="517">
                  <c:v>#N/A</c:v>
                </c:pt>
                <c:pt idx="518">
                  <c:v>#N/A</c:v>
                </c:pt>
                <c:pt idx="519">
                  <c:v>433</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346</c:v>
                </c:pt>
                <c:pt idx="541">
                  <c:v>#N/A</c:v>
                </c:pt>
                <c:pt idx="542">
                  <c:v>#N/A</c:v>
                </c:pt>
                <c:pt idx="543">
                  <c:v>#N/A</c:v>
                </c:pt>
                <c:pt idx="544">
                  <c:v>#N/A</c:v>
                </c:pt>
                <c:pt idx="545">
                  <c:v>#N/A</c:v>
                </c:pt>
                <c:pt idx="546">
                  <c:v>#N/A</c:v>
                </c:pt>
                <c:pt idx="547">
                  <c:v>#N/A</c:v>
                </c:pt>
                <c:pt idx="548">
                  <c:v>#N/A</c:v>
                </c:pt>
                <c:pt idx="549">
                  <c:v>#N/A</c:v>
                </c:pt>
                <c:pt idx="550">
                  <c:v>308</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376</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415</c:v>
                </c:pt>
                <c:pt idx="608">
                  <c:v>#N/A</c:v>
                </c:pt>
                <c:pt idx="609">
                  <c:v>#N/A</c:v>
                </c:pt>
                <c:pt idx="610">
                  <c:v>#N/A</c:v>
                </c:pt>
                <c:pt idx="611">
                  <c:v>#N/A</c:v>
                </c:pt>
                <c:pt idx="612">
                  <c:v>433</c:v>
                </c:pt>
                <c:pt idx="613">
                  <c:v>#N/A</c:v>
                </c:pt>
                <c:pt idx="614">
                  <c:v>#N/A</c:v>
                </c:pt>
                <c:pt idx="615">
                  <c:v>#N/A</c:v>
                </c:pt>
                <c:pt idx="616">
                  <c:v>#N/A</c:v>
                </c:pt>
                <c:pt idx="617">
                  <c:v>#N/A</c:v>
                </c:pt>
                <c:pt idx="618">
                  <c:v>#N/A</c:v>
                </c:pt>
                <c:pt idx="619">
                  <c:v>#N/A</c:v>
                </c:pt>
                <c:pt idx="620">
                  <c:v>#N/A</c:v>
                </c:pt>
                <c:pt idx="621">
                  <c:v>#N/A</c:v>
                </c:pt>
                <c:pt idx="622">
                  <c:v>#N/A</c:v>
                </c:pt>
                <c:pt idx="623">
                  <c:v>#N/A</c:v>
                </c:pt>
                <c:pt idx="624">
                  <c:v>379</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447</c:v>
                </c:pt>
                <c:pt idx="658">
                  <c:v>#N/A</c:v>
                </c:pt>
                <c:pt idx="659">
                  <c:v>#N/A</c:v>
                </c:pt>
                <c:pt idx="660">
                  <c:v>#N/A</c:v>
                </c:pt>
                <c:pt idx="661">
                  <c:v>#N/A</c:v>
                </c:pt>
                <c:pt idx="662">
                  <c:v>#N/A</c:v>
                </c:pt>
                <c:pt idx="663">
                  <c:v>#N/A</c:v>
                </c:pt>
                <c:pt idx="664">
                  <c:v>351</c:v>
                </c:pt>
                <c:pt idx="665">
                  <c:v>#N/A</c:v>
                </c:pt>
                <c:pt idx="666">
                  <c:v>#N/A</c:v>
                </c:pt>
                <c:pt idx="667">
                  <c:v>#N/A</c:v>
                </c:pt>
                <c:pt idx="668">
                  <c:v>#N/A</c:v>
                </c:pt>
                <c:pt idx="669">
                  <c:v>#N/A</c:v>
                </c:pt>
                <c:pt idx="670">
                  <c:v>#N/A</c:v>
                </c:pt>
                <c:pt idx="671">
                  <c:v>#N/A</c:v>
                </c:pt>
                <c:pt idx="672">
                  <c:v>#N/A</c:v>
                </c:pt>
                <c:pt idx="673">
                  <c:v>#N/A</c:v>
                </c:pt>
                <c:pt idx="674">
                  <c:v>#N/A</c:v>
                </c:pt>
                <c:pt idx="675">
                  <c:v>#N/A</c:v>
                </c:pt>
                <c:pt idx="676">
                  <c:v>384</c:v>
                </c:pt>
                <c:pt idx="677">
                  <c:v>#N/A</c:v>
                </c:pt>
                <c:pt idx="678">
                  <c:v>#N/A</c:v>
                </c:pt>
                <c:pt idx="679">
                  <c:v>#N/A</c:v>
                </c:pt>
                <c:pt idx="680">
                  <c:v>#N/A</c:v>
                </c:pt>
                <c:pt idx="681">
                  <c:v>#N/A</c:v>
                </c:pt>
                <c:pt idx="682">
                  <c:v>#N/A</c:v>
                </c:pt>
                <c:pt idx="683">
                  <c:v>#N/A</c:v>
                </c:pt>
                <c:pt idx="684">
                  <c:v>#N/A</c:v>
                </c:pt>
                <c:pt idx="685">
                  <c:v>#N/A</c:v>
                </c:pt>
                <c:pt idx="686">
                  <c:v>#N/A</c:v>
                </c:pt>
                <c:pt idx="687">
                  <c:v>356</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300</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304</c:v>
                </c:pt>
                <c:pt idx="717">
                  <c:v>#N/A</c:v>
                </c:pt>
                <c:pt idx="718">
                  <c:v>#N/A</c:v>
                </c:pt>
                <c:pt idx="719">
                  <c:v>#N/A</c:v>
                </c:pt>
                <c:pt idx="720">
                  <c:v>#N/A</c:v>
                </c:pt>
                <c:pt idx="721">
                  <c:v>450</c:v>
                </c:pt>
                <c:pt idx="722">
                  <c:v>#N/A</c:v>
                </c:pt>
                <c:pt idx="723">
                  <c:v>#N/A</c:v>
                </c:pt>
                <c:pt idx="724">
                  <c:v>355</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339</c:v>
                </c:pt>
                <c:pt idx="757">
                  <c:v>#N/A</c:v>
                </c:pt>
                <c:pt idx="758">
                  <c:v>#N/A</c:v>
                </c:pt>
                <c:pt idx="759">
                  <c:v>#N/A</c:v>
                </c:pt>
                <c:pt idx="760">
                  <c:v>#N/A</c:v>
                </c:pt>
                <c:pt idx="761">
                  <c:v>#N/A</c:v>
                </c:pt>
                <c:pt idx="762">
                  <c:v>386</c:v>
                </c:pt>
                <c:pt idx="763">
                  <c:v>#N/A</c:v>
                </c:pt>
                <c:pt idx="764">
                  <c:v>#N/A</c:v>
                </c:pt>
                <c:pt idx="765">
                  <c:v>#N/A</c:v>
                </c:pt>
                <c:pt idx="766">
                  <c:v>330</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268</c:v>
                </c:pt>
                <c:pt idx="788">
                  <c:v>#N/A</c:v>
                </c:pt>
                <c:pt idx="789">
                  <c:v>#N/A</c:v>
                </c:pt>
                <c:pt idx="790">
                  <c:v>#N/A</c:v>
                </c:pt>
                <c:pt idx="791">
                  <c:v>391</c:v>
                </c:pt>
                <c:pt idx="792">
                  <c:v>321</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335</c:v>
                </c:pt>
                <c:pt idx="811">
                  <c:v>#N/A</c:v>
                </c:pt>
                <c:pt idx="812">
                  <c:v>#N/A</c:v>
                </c:pt>
                <c:pt idx="813">
                  <c:v>#N/A</c:v>
                </c:pt>
                <c:pt idx="814">
                  <c:v>406</c:v>
                </c:pt>
                <c:pt idx="815">
                  <c:v>#N/A</c:v>
                </c:pt>
                <c:pt idx="816">
                  <c:v>#N/A</c:v>
                </c:pt>
                <c:pt idx="817">
                  <c:v>#N/A</c:v>
                </c:pt>
                <c:pt idx="818">
                  <c:v>#N/A</c:v>
                </c:pt>
                <c:pt idx="819">
                  <c:v>287</c:v>
                </c:pt>
                <c:pt idx="820">
                  <c:v>#N/A</c:v>
                </c:pt>
                <c:pt idx="821">
                  <c:v>#N/A</c:v>
                </c:pt>
                <c:pt idx="822">
                  <c:v>#N/A</c:v>
                </c:pt>
                <c:pt idx="823">
                  <c:v>#N/A</c:v>
                </c:pt>
                <c:pt idx="824">
                  <c:v>#N/A</c:v>
                </c:pt>
                <c:pt idx="825">
                  <c:v>#N/A</c:v>
                </c:pt>
                <c:pt idx="826">
                  <c:v>#N/A</c:v>
                </c:pt>
                <c:pt idx="827">
                  <c:v>#N/A</c:v>
                </c:pt>
                <c:pt idx="828">
                  <c:v>#N/A</c:v>
                </c:pt>
                <c:pt idx="829">
                  <c:v>#N/A</c:v>
                </c:pt>
                <c:pt idx="830">
                  <c:v>#N/A</c:v>
                </c:pt>
                <c:pt idx="831">
                  <c:v>374</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313</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350</c:v>
                </c:pt>
                <c:pt idx="865">
                  <c:v>#N/A</c:v>
                </c:pt>
                <c:pt idx="866">
                  <c:v>407</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314</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256</c:v>
                </c:pt>
                <c:pt idx="900">
                  <c:v>318</c:v>
                </c:pt>
                <c:pt idx="901">
                  <c:v>#N/A</c:v>
                </c:pt>
                <c:pt idx="902">
                  <c:v>#N/A</c:v>
                </c:pt>
                <c:pt idx="903">
                  <c:v>#N/A</c:v>
                </c:pt>
                <c:pt idx="904">
                  <c:v>#N/A</c:v>
                </c:pt>
                <c:pt idx="905">
                  <c:v>#N/A</c:v>
                </c:pt>
                <c:pt idx="906">
                  <c:v>#N/A</c:v>
                </c:pt>
                <c:pt idx="907">
                  <c:v>289</c:v>
                </c:pt>
                <c:pt idx="908">
                  <c:v>#N/A</c:v>
                </c:pt>
                <c:pt idx="909">
                  <c:v>#N/A</c:v>
                </c:pt>
                <c:pt idx="910">
                  <c:v>#N/A</c:v>
                </c:pt>
                <c:pt idx="911">
                  <c:v>286</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403</c:v>
                </c:pt>
                <c:pt idx="926">
                  <c:v>#N/A</c:v>
                </c:pt>
                <c:pt idx="927">
                  <c:v>#N/A</c:v>
                </c:pt>
                <c:pt idx="928">
                  <c:v>#N/A</c:v>
                </c:pt>
                <c:pt idx="929">
                  <c:v>#N/A</c:v>
                </c:pt>
                <c:pt idx="930">
                  <c:v>#N/A</c:v>
                </c:pt>
                <c:pt idx="931">
                  <c:v>#N/A</c:v>
                </c:pt>
                <c:pt idx="932">
                  <c:v>#N/A</c:v>
                </c:pt>
                <c:pt idx="933">
                  <c:v>#N/A</c:v>
                </c:pt>
                <c:pt idx="934">
                  <c:v>#N/A</c:v>
                </c:pt>
                <c:pt idx="935">
                  <c:v>#N/A</c:v>
                </c:pt>
                <c:pt idx="936">
                  <c:v>#N/A</c:v>
                </c:pt>
                <c:pt idx="937">
                  <c:v>330</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343</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417</c:v>
                </c:pt>
                <c:pt idx="975">
                  <c:v>#N/A</c:v>
                </c:pt>
                <c:pt idx="976">
                  <c:v>#N/A</c:v>
                </c:pt>
                <c:pt idx="977">
                  <c:v>#N/A</c:v>
                </c:pt>
                <c:pt idx="978">
                  <c:v>#N/A</c:v>
                </c:pt>
                <c:pt idx="979">
                  <c:v>#N/A</c:v>
                </c:pt>
                <c:pt idx="980">
                  <c:v>345</c:v>
                </c:pt>
                <c:pt idx="981">
                  <c:v>#N/A</c:v>
                </c:pt>
                <c:pt idx="982">
                  <c:v>#N/A</c:v>
                </c:pt>
                <c:pt idx="983">
                  <c:v>#N/A</c:v>
                </c:pt>
                <c:pt idx="984">
                  <c:v>387</c:v>
                </c:pt>
                <c:pt idx="985">
                  <c:v>#N/A</c:v>
                </c:pt>
                <c:pt idx="986">
                  <c:v>#N/A</c:v>
                </c:pt>
                <c:pt idx="987">
                  <c:v>#N/A</c:v>
                </c:pt>
                <c:pt idx="988">
                  <c:v>460</c:v>
                </c:pt>
                <c:pt idx="989">
                  <c:v>#N/A</c:v>
                </c:pt>
                <c:pt idx="990">
                  <c:v>#N/A</c:v>
                </c:pt>
                <c:pt idx="991">
                  <c:v>#N/A</c:v>
                </c:pt>
                <c:pt idx="992">
                  <c:v>#N/A</c:v>
                </c:pt>
                <c:pt idx="993">
                  <c:v>407</c:v>
                </c:pt>
                <c:pt idx="994">
                  <c:v>#N/A</c:v>
                </c:pt>
                <c:pt idx="995">
                  <c:v>#N/A</c:v>
                </c:pt>
                <c:pt idx="996">
                  <c:v>#N/A</c:v>
                </c:pt>
                <c:pt idx="997">
                  <c:v>#N/A</c:v>
                </c:pt>
                <c:pt idx="998">
                  <c:v>#N/A</c:v>
                </c:pt>
                <c:pt idx="999">
                  <c:v>#N/A</c:v>
                </c:pt>
                <c:pt idx="1000">
                  <c:v>#N/A</c:v>
                </c:pt>
                <c:pt idx="1001">
                  <c:v>409</c:v>
                </c:pt>
                <c:pt idx="1002">
                  <c:v>#N/A</c:v>
                </c:pt>
                <c:pt idx="1003">
                  <c:v>#N/A</c:v>
                </c:pt>
                <c:pt idx="1004">
                  <c:v>#N/A</c:v>
                </c:pt>
                <c:pt idx="1005">
                  <c:v>#N/A</c:v>
                </c:pt>
                <c:pt idx="1006">
                  <c:v>#N/A</c:v>
                </c:pt>
                <c:pt idx="1007">
                  <c:v>#N/A</c:v>
                </c:pt>
                <c:pt idx="1008">
                  <c:v>#N/A</c:v>
                </c:pt>
                <c:pt idx="1009">
                  <c:v>355</c:v>
                </c:pt>
                <c:pt idx="1010">
                  <c:v>#N/A</c:v>
                </c:pt>
                <c:pt idx="1011">
                  <c:v>#N/A</c:v>
                </c:pt>
                <c:pt idx="1012">
                  <c:v>#N/A</c:v>
                </c:pt>
                <c:pt idx="1013">
                  <c:v>#N/A</c:v>
                </c:pt>
                <c:pt idx="1014">
                  <c:v>#N/A</c:v>
                </c:pt>
                <c:pt idx="1015">
                  <c:v>#N/A</c:v>
                </c:pt>
                <c:pt idx="1016">
                  <c:v>#N/A</c:v>
                </c:pt>
                <c:pt idx="1017">
                  <c:v>324</c:v>
                </c:pt>
                <c:pt idx="1018">
                  <c:v>#N/A</c:v>
                </c:pt>
                <c:pt idx="1019">
                  <c:v>#N/A</c:v>
                </c:pt>
                <c:pt idx="1020">
                  <c:v>#N/A</c:v>
                </c:pt>
                <c:pt idx="1021">
                  <c:v>#N/A</c:v>
                </c:pt>
                <c:pt idx="1022">
                  <c:v>#N/A</c:v>
                </c:pt>
                <c:pt idx="1023">
                  <c:v>#N/A</c:v>
                </c:pt>
                <c:pt idx="1024">
                  <c:v>#N/A</c:v>
                </c:pt>
                <c:pt idx="1025">
                  <c:v>237</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314</c:v>
                </c:pt>
                <c:pt idx="1075">
                  <c:v>#N/A</c:v>
                </c:pt>
                <c:pt idx="1076">
                  <c:v>#N/A</c:v>
                </c:pt>
                <c:pt idx="1077">
                  <c:v>#N/A</c:v>
                </c:pt>
                <c:pt idx="1078">
                  <c:v>#N/A</c:v>
                </c:pt>
                <c:pt idx="1079">
                  <c:v>#N/A</c:v>
                </c:pt>
                <c:pt idx="1080">
                  <c:v>#N/A</c:v>
                </c:pt>
                <c:pt idx="1081">
                  <c:v>334</c:v>
                </c:pt>
                <c:pt idx="1082">
                  <c:v>#N/A</c:v>
                </c:pt>
                <c:pt idx="1083">
                  <c:v>392</c:v>
                </c:pt>
                <c:pt idx="1084">
                  <c:v>#N/A</c:v>
                </c:pt>
                <c:pt idx="1085">
                  <c:v>#N/A</c:v>
                </c:pt>
                <c:pt idx="1086">
                  <c:v>#N/A</c:v>
                </c:pt>
                <c:pt idx="1087">
                  <c:v>#N/A</c:v>
                </c:pt>
                <c:pt idx="1088">
                  <c:v>#N/A</c:v>
                </c:pt>
                <c:pt idx="1089">
                  <c:v>#N/A</c:v>
                </c:pt>
                <c:pt idx="1090">
                  <c:v>#N/A</c:v>
                </c:pt>
                <c:pt idx="1091">
                  <c:v>#N/A</c:v>
                </c:pt>
                <c:pt idx="1092">
                  <c:v>#N/A</c:v>
                </c:pt>
                <c:pt idx="1093">
                  <c:v>#N/A</c:v>
                </c:pt>
                <c:pt idx="1094">
                  <c:v>#N/A</c:v>
                </c:pt>
                <c:pt idx="1095">
                  <c:v>474</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174</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332</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strCache>
            </c:strRef>
          </c:xVal>
          <c:yVal>
            <c:numRef>
              <c:f>riyadh_realestate_dataset!$X:$X</c:f>
              <c:numCache>
                <c:formatCode>General</c:formatCode>
                <c:ptCount val="1048576"/>
                <c:pt idx="0">
                  <c:v>0</c:v>
                </c:pt>
                <c:pt idx="1">
                  <c:v>#N/A</c:v>
                </c:pt>
                <c:pt idx="2">
                  <c:v>#N/A</c:v>
                </c:pt>
                <c:pt idx="3">
                  <c:v>#N/A</c:v>
                </c:pt>
                <c:pt idx="4">
                  <c:v>#N/A</c:v>
                </c:pt>
                <c:pt idx="5">
                  <c:v>#N/A</c:v>
                </c:pt>
                <c:pt idx="6">
                  <c:v>#N/A</c:v>
                </c:pt>
                <c:pt idx="7">
                  <c:v>#N/A</c:v>
                </c:pt>
                <c:pt idx="8">
                  <c:v>#N/A</c:v>
                </c:pt>
                <c:pt idx="9">
                  <c:v>#N/A</c:v>
                </c:pt>
                <c:pt idx="10">
                  <c:v>#N/A</c:v>
                </c:pt>
                <c:pt idx="11">
                  <c:v>#N/A</c:v>
                </c:pt>
                <c:pt idx="12">
                  <c:v>939000</c:v>
                </c:pt>
                <c:pt idx="13">
                  <c:v>#N/A</c:v>
                </c:pt>
                <c:pt idx="14">
                  <c:v>#N/A</c:v>
                </c:pt>
                <c:pt idx="15">
                  <c:v>815000</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933000</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1018000</c:v>
                </c:pt>
                <c:pt idx="64">
                  <c:v>688000</c:v>
                </c:pt>
                <c:pt idx="65">
                  <c:v>818000</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751000</c:v>
                </c:pt>
                <c:pt idx="81">
                  <c:v>#N/A</c:v>
                </c:pt>
                <c:pt idx="82">
                  <c:v>#N/A</c:v>
                </c:pt>
                <c:pt idx="83">
                  <c:v>#N/A</c:v>
                </c:pt>
                <c:pt idx="84">
                  <c:v>#N/A</c:v>
                </c:pt>
                <c:pt idx="85">
                  <c:v>#N/A</c:v>
                </c:pt>
                <c:pt idx="86">
                  <c:v>#N/A</c:v>
                </c:pt>
                <c:pt idx="87">
                  <c:v>#N/A</c:v>
                </c:pt>
                <c:pt idx="88">
                  <c:v>1538000</c:v>
                </c:pt>
                <c:pt idx="89">
                  <c:v>#N/A</c:v>
                </c:pt>
                <c:pt idx="90">
                  <c:v>#N/A</c:v>
                </c:pt>
                <c:pt idx="91">
                  <c:v>1371000</c:v>
                </c:pt>
                <c:pt idx="92">
                  <c:v>932000</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908000</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766000</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975000</c:v>
                </c:pt>
                <c:pt idx="147">
                  <c:v>#N/A</c:v>
                </c:pt>
                <c:pt idx="148">
                  <c:v>#N/A</c:v>
                </c:pt>
                <c:pt idx="149">
                  <c:v>889000</c:v>
                </c:pt>
                <c:pt idx="150">
                  <c:v>#N/A</c:v>
                </c:pt>
                <c:pt idx="151">
                  <c:v>#N/A</c:v>
                </c:pt>
                <c:pt idx="152">
                  <c:v>#N/A</c:v>
                </c:pt>
                <c:pt idx="153">
                  <c:v>1280000</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1444000</c:v>
                </c:pt>
                <c:pt idx="177">
                  <c:v>#N/A</c:v>
                </c:pt>
                <c:pt idx="178">
                  <c:v>#N/A</c:v>
                </c:pt>
                <c:pt idx="179">
                  <c:v>#N/A</c:v>
                </c:pt>
                <c:pt idx="180">
                  <c:v>#N/A</c:v>
                </c:pt>
                <c:pt idx="181">
                  <c:v>#N/A</c:v>
                </c:pt>
                <c:pt idx="182">
                  <c:v>#N/A</c:v>
                </c:pt>
                <c:pt idx="183">
                  <c:v>#N/A</c:v>
                </c:pt>
                <c:pt idx="184">
                  <c:v>#N/A</c:v>
                </c:pt>
                <c:pt idx="185">
                  <c:v>#N/A</c:v>
                </c:pt>
                <c:pt idx="186">
                  <c:v>#N/A</c:v>
                </c:pt>
                <c:pt idx="187">
                  <c:v>#N/A</c:v>
                </c:pt>
                <c:pt idx="188">
                  <c:v>1217000</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786000</c:v>
                </c:pt>
                <c:pt idx="212">
                  <c:v>#N/A</c:v>
                </c:pt>
                <c:pt idx="213">
                  <c:v>930000</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1625000</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1246000</c:v>
                </c:pt>
                <c:pt idx="267">
                  <c:v>#N/A</c:v>
                </c:pt>
                <c:pt idx="268">
                  <c:v>#N/A</c:v>
                </c:pt>
                <c:pt idx="269">
                  <c:v>#N/A</c:v>
                </c:pt>
                <c:pt idx="270">
                  <c:v>#N/A</c:v>
                </c:pt>
                <c:pt idx="271">
                  <c:v>#N/A</c:v>
                </c:pt>
                <c:pt idx="272">
                  <c:v>1040000</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1196000</c:v>
                </c:pt>
                <c:pt idx="292">
                  <c:v>#N/A</c:v>
                </c:pt>
                <c:pt idx="293">
                  <c:v>#N/A</c:v>
                </c:pt>
                <c:pt idx="294">
                  <c:v>#N/A</c:v>
                </c:pt>
                <c:pt idx="295">
                  <c:v>#N/A</c:v>
                </c:pt>
                <c:pt idx="296">
                  <c:v>#N/A</c:v>
                </c:pt>
                <c:pt idx="297">
                  <c:v>#N/A</c:v>
                </c:pt>
                <c:pt idx="298">
                  <c:v>#N/A</c:v>
                </c:pt>
                <c:pt idx="299">
                  <c:v>#N/A</c:v>
                </c:pt>
                <c:pt idx="300">
                  <c:v>#N/A</c:v>
                </c:pt>
                <c:pt idx="301">
                  <c:v>892000</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1031000</c:v>
                </c:pt>
                <c:pt idx="319">
                  <c:v>#N/A</c:v>
                </c:pt>
                <c:pt idx="320">
                  <c:v>#N/A</c:v>
                </c:pt>
                <c:pt idx="321">
                  <c:v>#N/A</c:v>
                </c:pt>
                <c:pt idx="322">
                  <c:v>#N/A</c:v>
                </c:pt>
                <c:pt idx="323">
                  <c:v>#N/A</c:v>
                </c:pt>
                <c:pt idx="324">
                  <c:v>#N/A</c:v>
                </c:pt>
                <c:pt idx="325">
                  <c:v>#N/A</c:v>
                </c:pt>
                <c:pt idx="326">
                  <c:v>#N/A</c:v>
                </c:pt>
                <c:pt idx="327">
                  <c:v>#N/A</c:v>
                </c:pt>
                <c:pt idx="328">
                  <c:v>#N/A</c:v>
                </c:pt>
                <c:pt idx="329">
                  <c:v>#N/A</c:v>
                </c:pt>
                <c:pt idx="330">
                  <c:v>782000</c:v>
                </c:pt>
                <c:pt idx="331">
                  <c:v>#N/A</c:v>
                </c:pt>
                <c:pt idx="332">
                  <c:v>#N/A</c:v>
                </c:pt>
                <c:pt idx="333">
                  <c:v>#N/A</c:v>
                </c:pt>
                <c:pt idx="334">
                  <c:v>#N/A</c:v>
                </c:pt>
                <c:pt idx="335">
                  <c:v>#N/A</c:v>
                </c:pt>
                <c:pt idx="336">
                  <c:v>#N/A</c:v>
                </c:pt>
                <c:pt idx="337">
                  <c:v>#N/A</c:v>
                </c:pt>
                <c:pt idx="338">
                  <c:v>#N/A</c:v>
                </c:pt>
                <c:pt idx="339">
                  <c:v>500000</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1224000</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1045000</c:v>
                </c:pt>
                <c:pt idx="406">
                  <c:v>#N/A</c:v>
                </c:pt>
                <c:pt idx="407">
                  <c:v>#N/A</c:v>
                </c:pt>
                <c:pt idx="408">
                  <c:v>#N/A</c:v>
                </c:pt>
                <c:pt idx="409">
                  <c:v>#N/A</c:v>
                </c:pt>
                <c:pt idx="410">
                  <c:v>#N/A</c:v>
                </c:pt>
                <c:pt idx="411">
                  <c:v>#N/A</c:v>
                </c:pt>
                <c:pt idx="412">
                  <c:v>#N/A</c:v>
                </c:pt>
                <c:pt idx="413">
                  <c:v>#N/A</c:v>
                </c:pt>
                <c:pt idx="414">
                  <c:v>#N/A</c:v>
                </c:pt>
                <c:pt idx="415">
                  <c:v>805000</c:v>
                </c:pt>
                <c:pt idx="416">
                  <c:v>#N/A</c:v>
                </c:pt>
                <c:pt idx="417">
                  <c:v>#N/A</c:v>
                </c:pt>
                <c:pt idx="418">
                  <c:v>#N/A</c:v>
                </c:pt>
                <c:pt idx="419">
                  <c:v>#N/A</c:v>
                </c:pt>
                <c:pt idx="420">
                  <c:v>#N/A</c:v>
                </c:pt>
                <c:pt idx="421">
                  <c:v>#N/A</c:v>
                </c:pt>
                <c:pt idx="422">
                  <c:v>#N/A</c:v>
                </c:pt>
                <c:pt idx="423">
                  <c:v>1054000</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1298000</c:v>
                </c:pt>
                <c:pt idx="465">
                  <c:v>#N/A</c:v>
                </c:pt>
                <c:pt idx="466">
                  <c:v>593000</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1078000</c:v>
                </c:pt>
                <c:pt idx="508">
                  <c:v>#N/A</c:v>
                </c:pt>
                <c:pt idx="509">
                  <c:v>#N/A</c:v>
                </c:pt>
                <c:pt idx="510">
                  <c:v>#N/A</c:v>
                </c:pt>
                <c:pt idx="511">
                  <c:v>#N/A</c:v>
                </c:pt>
                <c:pt idx="512">
                  <c:v>#N/A</c:v>
                </c:pt>
                <c:pt idx="513">
                  <c:v>#N/A</c:v>
                </c:pt>
                <c:pt idx="514">
                  <c:v>#N/A</c:v>
                </c:pt>
                <c:pt idx="515">
                  <c:v>#N/A</c:v>
                </c:pt>
                <c:pt idx="516">
                  <c:v>#N/A</c:v>
                </c:pt>
                <c:pt idx="517">
                  <c:v>#N/A</c:v>
                </c:pt>
                <c:pt idx="518">
                  <c:v>#N/A</c:v>
                </c:pt>
                <c:pt idx="519">
                  <c:v>794000</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698000</c:v>
                </c:pt>
                <c:pt idx="541">
                  <c:v>#N/A</c:v>
                </c:pt>
                <c:pt idx="542">
                  <c:v>#N/A</c:v>
                </c:pt>
                <c:pt idx="543">
                  <c:v>#N/A</c:v>
                </c:pt>
                <c:pt idx="544">
                  <c:v>#N/A</c:v>
                </c:pt>
                <c:pt idx="545">
                  <c:v>#N/A</c:v>
                </c:pt>
                <c:pt idx="546">
                  <c:v>#N/A</c:v>
                </c:pt>
                <c:pt idx="547">
                  <c:v>#N/A</c:v>
                </c:pt>
                <c:pt idx="548">
                  <c:v>#N/A</c:v>
                </c:pt>
                <c:pt idx="549">
                  <c:v>#N/A</c:v>
                </c:pt>
                <c:pt idx="550">
                  <c:v>933000</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737000</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1358000</c:v>
                </c:pt>
                <c:pt idx="608">
                  <c:v>#N/A</c:v>
                </c:pt>
                <c:pt idx="609">
                  <c:v>#N/A</c:v>
                </c:pt>
                <c:pt idx="610">
                  <c:v>#N/A</c:v>
                </c:pt>
                <c:pt idx="611">
                  <c:v>#N/A</c:v>
                </c:pt>
                <c:pt idx="612">
                  <c:v>912000</c:v>
                </c:pt>
                <c:pt idx="613">
                  <c:v>#N/A</c:v>
                </c:pt>
                <c:pt idx="614">
                  <c:v>#N/A</c:v>
                </c:pt>
                <c:pt idx="615">
                  <c:v>#N/A</c:v>
                </c:pt>
                <c:pt idx="616">
                  <c:v>#N/A</c:v>
                </c:pt>
                <c:pt idx="617">
                  <c:v>#N/A</c:v>
                </c:pt>
                <c:pt idx="618">
                  <c:v>#N/A</c:v>
                </c:pt>
                <c:pt idx="619">
                  <c:v>#N/A</c:v>
                </c:pt>
                <c:pt idx="620">
                  <c:v>#N/A</c:v>
                </c:pt>
                <c:pt idx="621">
                  <c:v>#N/A</c:v>
                </c:pt>
                <c:pt idx="622">
                  <c:v>#N/A</c:v>
                </c:pt>
                <c:pt idx="623">
                  <c:v>#N/A</c:v>
                </c:pt>
                <c:pt idx="624">
                  <c:v>1003000</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1808000</c:v>
                </c:pt>
                <c:pt idx="658">
                  <c:v>#N/A</c:v>
                </c:pt>
                <c:pt idx="659">
                  <c:v>#N/A</c:v>
                </c:pt>
                <c:pt idx="660">
                  <c:v>#N/A</c:v>
                </c:pt>
                <c:pt idx="661">
                  <c:v>#N/A</c:v>
                </c:pt>
                <c:pt idx="662">
                  <c:v>#N/A</c:v>
                </c:pt>
                <c:pt idx="663">
                  <c:v>#N/A</c:v>
                </c:pt>
                <c:pt idx="664">
                  <c:v>854000</c:v>
                </c:pt>
                <c:pt idx="665">
                  <c:v>#N/A</c:v>
                </c:pt>
                <c:pt idx="666">
                  <c:v>#N/A</c:v>
                </c:pt>
                <c:pt idx="667">
                  <c:v>#N/A</c:v>
                </c:pt>
                <c:pt idx="668">
                  <c:v>#N/A</c:v>
                </c:pt>
                <c:pt idx="669">
                  <c:v>#N/A</c:v>
                </c:pt>
                <c:pt idx="670">
                  <c:v>#N/A</c:v>
                </c:pt>
                <c:pt idx="671">
                  <c:v>#N/A</c:v>
                </c:pt>
                <c:pt idx="672">
                  <c:v>#N/A</c:v>
                </c:pt>
                <c:pt idx="673">
                  <c:v>#N/A</c:v>
                </c:pt>
                <c:pt idx="674">
                  <c:v>#N/A</c:v>
                </c:pt>
                <c:pt idx="675">
                  <c:v>#N/A</c:v>
                </c:pt>
                <c:pt idx="676">
                  <c:v>984000</c:v>
                </c:pt>
                <c:pt idx="677">
                  <c:v>#N/A</c:v>
                </c:pt>
                <c:pt idx="678">
                  <c:v>#N/A</c:v>
                </c:pt>
                <c:pt idx="679">
                  <c:v>#N/A</c:v>
                </c:pt>
                <c:pt idx="680">
                  <c:v>#N/A</c:v>
                </c:pt>
                <c:pt idx="681">
                  <c:v>#N/A</c:v>
                </c:pt>
                <c:pt idx="682">
                  <c:v>#N/A</c:v>
                </c:pt>
                <c:pt idx="683">
                  <c:v>#N/A</c:v>
                </c:pt>
                <c:pt idx="684">
                  <c:v>#N/A</c:v>
                </c:pt>
                <c:pt idx="685">
                  <c:v>#N/A</c:v>
                </c:pt>
                <c:pt idx="686">
                  <c:v>#N/A</c:v>
                </c:pt>
                <c:pt idx="687">
                  <c:v>697000</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857000</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1127000</c:v>
                </c:pt>
                <c:pt idx="717">
                  <c:v>#N/A</c:v>
                </c:pt>
                <c:pt idx="718">
                  <c:v>#N/A</c:v>
                </c:pt>
                <c:pt idx="719">
                  <c:v>#N/A</c:v>
                </c:pt>
                <c:pt idx="720">
                  <c:v>#N/A</c:v>
                </c:pt>
                <c:pt idx="721">
                  <c:v>1283000</c:v>
                </c:pt>
                <c:pt idx="722">
                  <c:v>#N/A</c:v>
                </c:pt>
                <c:pt idx="723">
                  <c:v>#N/A</c:v>
                </c:pt>
                <c:pt idx="724">
                  <c:v>880000</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937000</c:v>
                </c:pt>
                <c:pt idx="757">
                  <c:v>#N/A</c:v>
                </c:pt>
                <c:pt idx="758">
                  <c:v>#N/A</c:v>
                </c:pt>
                <c:pt idx="759">
                  <c:v>#N/A</c:v>
                </c:pt>
                <c:pt idx="760">
                  <c:v>#N/A</c:v>
                </c:pt>
                <c:pt idx="761">
                  <c:v>#N/A</c:v>
                </c:pt>
                <c:pt idx="762">
                  <c:v>863000</c:v>
                </c:pt>
                <c:pt idx="763">
                  <c:v>#N/A</c:v>
                </c:pt>
                <c:pt idx="764">
                  <c:v>#N/A</c:v>
                </c:pt>
                <c:pt idx="765">
                  <c:v>#N/A</c:v>
                </c:pt>
                <c:pt idx="766">
                  <c:v>1119000</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809000</c:v>
                </c:pt>
                <c:pt idx="788">
                  <c:v>#N/A</c:v>
                </c:pt>
                <c:pt idx="789">
                  <c:v>#N/A</c:v>
                </c:pt>
                <c:pt idx="790">
                  <c:v>#N/A</c:v>
                </c:pt>
                <c:pt idx="791">
                  <c:v>1086000</c:v>
                </c:pt>
                <c:pt idx="792">
                  <c:v>736000</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1401000</c:v>
                </c:pt>
                <c:pt idx="811">
                  <c:v>#N/A</c:v>
                </c:pt>
                <c:pt idx="812">
                  <c:v>#N/A</c:v>
                </c:pt>
                <c:pt idx="813">
                  <c:v>#N/A</c:v>
                </c:pt>
                <c:pt idx="814">
                  <c:v>966000</c:v>
                </c:pt>
                <c:pt idx="815">
                  <c:v>#N/A</c:v>
                </c:pt>
                <c:pt idx="816">
                  <c:v>#N/A</c:v>
                </c:pt>
                <c:pt idx="817">
                  <c:v>#N/A</c:v>
                </c:pt>
                <c:pt idx="818">
                  <c:v>#N/A</c:v>
                </c:pt>
                <c:pt idx="819">
                  <c:v>963000</c:v>
                </c:pt>
                <c:pt idx="820">
                  <c:v>#N/A</c:v>
                </c:pt>
                <c:pt idx="821">
                  <c:v>#N/A</c:v>
                </c:pt>
                <c:pt idx="822">
                  <c:v>#N/A</c:v>
                </c:pt>
                <c:pt idx="823">
                  <c:v>#N/A</c:v>
                </c:pt>
                <c:pt idx="824">
                  <c:v>#N/A</c:v>
                </c:pt>
                <c:pt idx="825">
                  <c:v>#N/A</c:v>
                </c:pt>
                <c:pt idx="826">
                  <c:v>#N/A</c:v>
                </c:pt>
                <c:pt idx="827">
                  <c:v>#N/A</c:v>
                </c:pt>
                <c:pt idx="828">
                  <c:v>#N/A</c:v>
                </c:pt>
                <c:pt idx="829">
                  <c:v>#N/A</c:v>
                </c:pt>
                <c:pt idx="830">
                  <c:v>#N/A</c:v>
                </c:pt>
                <c:pt idx="831">
                  <c:v>871000</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812000</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683000</c:v>
                </c:pt>
                <c:pt idx="865">
                  <c:v>#N/A</c:v>
                </c:pt>
                <c:pt idx="866">
                  <c:v>1171000</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555000</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644000</c:v>
                </c:pt>
                <c:pt idx="900">
                  <c:v>994000</c:v>
                </c:pt>
                <c:pt idx="901">
                  <c:v>#N/A</c:v>
                </c:pt>
                <c:pt idx="902">
                  <c:v>#N/A</c:v>
                </c:pt>
                <c:pt idx="903">
                  <c:v>#N/A</c:v>
                </c:pt>
                <c:pt idx="904">
                  <c:v>#N/A</c:v>
                </c:pt>
                <c:pt idx="905">
                  <c:v>#N/A</c:v>
                </c:pt>
                <c:pt idx="906">
                  <c:v>#N/A</c:v>
                </c:pt>
                <c:pt idx="907">
                  <c:v>676000</c:v>
                </c:pt>
                <c:pt idx="908">
                  <c:v>#N/A</c:v>
                </c:pt>
                <c:pt idx="909">
                  <c:v>#N/A</c:v>
                </c:pt>
                <c:pt idx="910">
                  <c:v>#N/A</c:v>
                </c:pt>
                <c:pt idx="911">
                  <c:v>875000</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813000</c:v>
                </c:pt>
                <c:pt idx="926">
                  <c:v>#N/A</c:v>
                </c:pt>
                <c:pt idx="927">
                  <c:v>#N/A</c:v>
                </c:pt>
                <c:pt idx="928">
                  <c:v>#N/A</c:v>
                </c:pt>
                <c:pt idx="929">
                  <c:v>#N/A</c:v>
                </c:pt>
                <c:pt idx="930">
                  <c:v>#N/A</c:v>
                </c:pt>
                <c:pt idx="931">
                  <c:v>#N/A</c:v>
                </c:pt>
                <c:pt idx="932">
                  <c:v>#N/A</c:v>
                </c:pt>
                <c:pt idx="933">
                  <c:v>#N/A</c:v>
                </c:pt>
                <c:pt idx="934">
                  <c:v>#N/A</c:v>
                </c:pt>
                <c:pt idx="935">
                  <c:v>#N/A</c:v>
                </c:pt>
                <c:pt idx="936">
                  <c:v>#N/A</c:v>
                </c:pt>
                <c:pt idx="937">
                  <c:v>693000</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1031000</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1350000</c:v>
                </c:pt>
                <c:pt idx="975">
                  <c:v>#N/A</c:v>
                </c:pt>
                <c:pt idx="976">
                  <c:v>#N/A</c:v>
                </c:pt>
                <c:pt idx="977">
                  <c:v>#N/A</c:v>
                </c:pt>
                <c:pt idx="978">
                  <c:v>#N/A</c:v>
                </c:pt>
                <c:pt idx="979">
                  <c:v>#N/A</c:v>
                </c:pt>
                <c:pt idx="980">
                  <c:v>886000</c:v>
                </c:pt>
                <c:pt idx="981">
                  <c:v>#N/A</c:v>
                </c:pt>
                <c:pt idx="982">
                  <c:v>#N/A</c:v>
                </c:pt>
                <c:pt idx="983">
                  <c:v>#N/A</c:v>
                </c:pt>
                <c:pt idx="984">
                  <c:v>1181000</c:v>
                </c:pt>
                <c:pt idx="985">
                  <c:v>#N/A</c:v>
                </c:pt>
                <c:pt idx="986">
                  <c:v>#N/A</c:v>
                </c:pt>
                <c:pt idx="987">
                  <c:v>#N/A</c:v>
                </c:pt>
                <c:pt idx="988">
                  <c:v>1560000</c:v>
                </c:pt>
                <c:pt idx="989">
                  <c:v>#N/A</c:v>
                </c:pt>
                <c:pt idx="990">
                  <c:v>#N/A</c:v>
                </c:pt>
                <c:pt idx="991">
                  <c:v>#N/A</c:v>
                </c:pt>
                <c:pt idx="992">
                  <c:v>#N/A</c:v>
                </c:pt>
                <c:pt idx="993">
                  <c:v>1041000</c:v>
                </c:pt>
                <c:pt idx="994">
                  <c:v>#N/A</c:v>
                </c:pt>
                <c:pt idx="995">
                  <c:v>#N/A</c:v>
                </c:pt>
                <c:pt idx="996">
                  <c:v>#N/A</c:v>
                </c:pt>
                <c:pt idx="997">
                  <c:v>#N/A</c:v>
                </c:pt>
                <c:pt idx="998">
                  <c:v>#N/A</c:v>
                </c:pt>
                <c:pt idx="999">
                  <c:v>#N/A</c:v>
                </c:pt>
                <c:pt idx="1000">
                  <c:v>#N/A</c:v>
                </c:pt>
                <c:pt idx="1001">
                  <c:v>947000</c:v>
                </c:pt>
                <c:pt idx="1002">
                  <c:v>#N/A</c:v>
                </c:pt>
                <c:pt idx="1003">
                  <c:v>#N/A</c:v>
                </c:pt>
                <c:pt idx="1004">
                  <c:v>#N/A</c:v>
                </c:pt>
                <c:pt idx="1005">
                  <c:v>#N/A</c:v>
                </c:pt>
                <c:pt idx="1006">
                  <c:v>#N/A</c:v>
                </c:pt>
                <c:pt idx="1007">
                  <c:v>#N/A</c:v>
                </c:pt>
                <c:pt idx="1008">
                  <c:v>#N/A</c:v>
                </c:pt>
                <c:pt idx="1009">
                  <c:v>997000</c:v>
                </c:pt>
                <c:pt idx="1010">
                  <c:v>#N/A</c:v>
                </c:pt>
                <c:pt idx="1011">
                  <c:v>#N/A</c:v>
                </c:pt>
                <c:pt idx="1012">
                  <c:v>#N/A</c:v>
                </c:pt>
                <c:pt idx="1013">
                  <c:v>#N/A</c:v>
                </c:pt>
                <c:pt idx="1014">
                  <c:v>#N/A</c:v>
                </c:pt>
                <c:pt idx="1015">
                  <c:v>#N/A</c:v>
                </c:pt>
                <c:pt idx="1016">
                  <c:v>#N/A</c:v>
                </c:pt>
                <c:pt idx="1017">
                  <c:v>770000</c:v>
                </c:pt>
                <c:pt idx="1018">
                  <c:v>#N/A</c:v>
                </c:pt>
                <c:pt idx="1019">
                  <c:v>#N/A</c:v>
                </c:pt>
                <c:pt idx="1020">
                  <c:v>#N/A</c:v>
                </c:pt>
                <c:pt idx="1021">
                  <c:v>#N/A</c:v>
                </c:pt>
                <c:pt idx="1022">
                  <c:v>#N/A</c:v>
                </c:pt>
                <c:pt idx="1023">
                  <c:v>#N/A</c:v>
                </c:pt>
                <c:pt idx="1024">
                  <c:v>#N/A</c:v>
                </c:pt>
                <c:pt idx="1025">
                  <c:v>531000</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590000</c:v>
                </c:pt>
                <c:pt idx="1075">
                  <c:v>#N/A</c:v>
                </c:pt>
                <c:pt idx="1076">
                  <c:v>#N/A</c:v>
                </c:pt>
                <c:pt idx="1077">
                  <c:v>#N/A</c:v>
                </c:pt>
                <c:pt idx="1078">
                  <c:v>#N/A</c:v>
                </c:pt>
                <c:pt idx="1079">
                  <c:v>#N/A</c:v>
                </c:pt>
                <c:pt idx="1080">
                  <c:v>#N/A</c:v>
                </c:pt>
                <c:pt idx="1081">
                  <c:v>849000</c:v>
                </c:pt>
                <c:pt idx="1082">
                  <c:v>#N/A</c:v>
                </c:pt>
                <c:pt idx="1083">
                  <c:v>977000</c:v>
                </c:pt>
                <c:pt idx="1084">
                  <c:v>#N/A</c:v>
                </c:pt>
                <c:pt idx="1085">
                  <c:v>#N/A</c:v>
                </c:pt>
                <c:pt idx="1086">
                  <c:v>#N/A</c:v>
                </c:pt>
                <c:pt idx="1087">
                  <c:v>#N/A</c:v>
                </c:pt>
                <c:pt idx="1088">
                  <c:v>#N/A</c:v>
                </c:pt>
                <c:pt idx="1089">
                  <c:v>#N/A</c:v>
                </c:pt>
                <c:pt idx="1090">
                  <c:v>#N/A</c:v>
                </c:pt>
                <c:pt idx="1091">
                  <c:v>#N/A</c:v>
                </c:pt>
                <c:pt idx="1092">
                  <c:v>#N/A</c:v>
                </c:pt>
                <c:pt idx="1093">
                  <c:v>#N/A</c:v>
                </c:pt>
                <c:pt idx="1094">
                  <c:v>#N/A</c:v>
                </c:pt>
                <c:pt idx="1095">
                  <c:v>1213000</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358000</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1187000</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numCache>
            </c:numRef>
          </c:yVal>
          <c:smooth val="0"/>
          <c:extLst>
            <c:ext xmlns:c16="http://schemas.microsoft.com/office/drawing/2014/chart" uri="{C3380CC4-5D6E-409C-BE32-E72D297353CC}">
              <c16:uniqueId val="{00000004-E68E-A849-803B-7832E31AC732}"/>
            </c:ext>
          </c:extLst>
        </c:ser>
        <c:dLbls>
          <c:showLegendKey val="0"/>
          <c:showVal val="0"/>
          <c:showCatName val="0"/>
          <c:showSerName val="0"/>
          <c:showPercent val="0"/>
          <c:showBubbleSize val="0"/>
        </c:dLbls>
        <c:axId val="1214719983"/>
        <c:axId val="1387196703"/>
      </c:scatterChart>
      <c:valAx>
        <c:axId val="1214719983"/>
        <c:scaling>
          <c:orientation val="minMax"/>
          <c:max val="7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t>Property Area (sqm)</a:t>
                </a:r>
                <a:endParaRPr lang="en-US" sz="12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387196703"/>
        <c:crosses val="autoZero"/>
        <c:crossBetween val="midCat"/>
      </c:valAx>
      <c:valAx>
        <c:axId val="1387196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t>Sale Price (SAR)</a:t>
                </a:r>
                <a:endParaRPr lang="en-US" sz="12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SAR&quot;\ #,##0,,&quot;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214719983"/>
        <c:crosses val="autoZero"/>
        <c:crossBetween val="midCat"/>
      </c:valAx>
      <c:spPr>
        <a:noFill/>
        <a:ln>
          <a:noFill/>
        </a:ln>
        <a:effectLst/>
      </c:spPr>
    </c:plotArea>
    <c:legend>
      <c:legendPos val="r"/>
      <c:layout>
        <c:manualLayout>
          <c:xMode val="edge"/>
          <c:yMode val="edge"/>
          <c:x val="0.83613125687448719"/>
          <c:y val="5.3365435404817745E-2"/>
          <c:w val="0.13468028626262263"/>
          <c:h val="0.3394994103997869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[riyadh_realestate_dataset_charts.xlsx]Price trend By Year!PivotTable2</c:name>
    <c:fmtId val="6"/>
  </c:pivotSource>
  <c:chart>
    <c:autoTitleDeleted val="1"/>
    <c:pivotFmts>
      <c:pivotFmt>
        <c:idx val="0"/>
        <c:spPr>
          <a:solidFill>
            <a:schemeClr val="accent1"/>
          </a:solidFill>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'Price trend By Year'!$B$3</c:f>
              <c:strCache>
                <c:ptCount val="1"/>
                <c:pt idx="0">
                  <c:v>Total</c:v>
                </c:pt>
              </c:strCache>
            </c:strRef>
          </c:tx>
          <c:spPr>
            <a:ln w="28575" cap="rnd">
              <a:solidFill>
                <a:schemeClr val="accent3">
                  <a:lumMod val="60000"/>
                  <a:lumOff val="40000"/>
                </a:schemeClr>
              </a:solidFill>
              <a:round/>
            </a:ln>
            <a:effectLst/>
          </c:spPr>
          <c:marker>
            <c:symbol val="none"/>
          </c:marker>
          <c:trendline>
            <c:spPr>
              <a:ln w="19050" cap="rnd">
                <a:solidFill>
                  <a:schemeClr val="accent1"/>
                </a:solidFill>
                <a:prstDash val="sysDot"/>
              </a:ln>
              <a:effectLst/>
            </c:spPr>
            <c:trendlineType val="linear"/>
            <c:dispRSqr val="0"/>
            <c:dispEq val="0"/>
          </c:trendline>
          <c:cat>
            <c:strRef>
              <c:f>'Price trend By Year'!$A$4:$A$9</c:f>
              <c:strCache>
                <c:ptCount val="5"/>
                <c:pt idx="0">
                  <c:v>2021</c:v>
                </c:pt>
                <c:pt idx="1">
                  <c:v>2022</c:v>
                </c:pt>
                <c:pt idx="2">
                  <c:v>2023</c:v>
                </c:pt>
                <c:pt idx="3">
                  <c:v>2024</c:v>
                </c:pt>
                <c:pt idx="4">
                  <c:v>(blank)</c:v>
                </c:pt>
              </c:strCache>
            </c:strRef>
          </c:cat>
          <c:val>
            <c:numRef>
              <c:f>'Price trend By Year'!$B$4:$B$9</c:f>
              <c:numCache>
                <c:formatCode>General</c:formatCode>
                <c:ptCount val="5"/>
                <c:pt idx="0">
                  <c:v>310063000</c:v>
                </c:pt>
                <c:pt idx="1">
                  <c:v>296095000</c:v>
                </c:pt>
                <c:pt idx="2">
                  <c:v>311993000</c:v>
                </c:pt>
                <c:pt idx="3">
                  <c:v>372325000</c:v>
                </c:pt>
              </c:numCache>
            </c:numRef>
          </c:val>
          <c:smooth val="0"/>
          <c:extLst>
            <c:ext xmlns:c16="http://schemas.microsoft.com/office/drawing/2014/chart" uri="{C3380CC4-5D6E-409C-BE32-E72D297353CC}">
              <c16:uniqueId val="{00000000-885C-F64C-96DE-05449F7C96A2}"/>
            </c:ext>
          </c:extLst>
        </c:ser>
        <c:dLbls>
          <c:showLegendKey val="0"/>
          <c:showVal val="0"/>
          <c:showCatName val="0"/>
          <c:showSerName val="0"/>
          <c:showPercent val="0"/>
          <c:showBubbleSize val="0"/>
        </c:dLbls>
        <c:smooth val="0"/>
        <c:axId val="1005072240"/>
        <c:axId val="1006180160"/>
      </c:lineChart>
      <c:catAx>
        <c:axId val="1005072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chemeClr val="accent2">
                        <a:lumMod val="75000"/>
                      </a:schemeClr>
                    </a:solidFill>
                  </a:rPr>
                  <a:t>Year</a:t>
                </a:r>
                <a:endParaRPr lang="en-US">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5">
                <a:lumMod val="7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SA"/>
          </a:p>
        </c:txPr>
        <c:crossAx val="1006180160"/>
        <c:crosses val="autoZero"/>
        <c:auto val="1"/>
        <c:lblAlgn val="ctr"/>
        <c:lblOffset val="100"/>
        <c:noMultiLvlLbl val="0"/>
      </c:catAx>
      <c:valAx>
        <c:axId val="1006180160"/>
        <c:scaling>
          <c:orientation val="minMax"/>
          <c:min val="280000002"/>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chemeClr val="accent2">
                        <a:lumMod val="75000"/>
                      </a:schemeClr>
                    </a:solidFill>
                  </a:rPr>
                  <a:t>Price Increase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quot;SAR&quot;\ 0.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SA"/>
          </a:p>
        </c:txPr>
        <c:crossAx val="1005072240"/>
        <c:crosses val="autoZero"/>
        <c:crossBetween val="between"/>
        <c:dispUnits>
          <c:builtInUnit val="hundred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[riyadh_realestate_dataset_charts.xlsx]Price by Prop Type!PivotTable3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by Prop Type'!$B$3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'Price by Prop Type'!$A$4:$A$10</c:f>
              <c:strCache>
                <c:ptCount val="6"/>
                <c:pt idx="0">
                  <c:v>Apartment</c:v>
                </c:pt>
                <c:pt idx="1">
                  <c:v>Duplex</c:v>
                </c:pt>
                <c:pt idx="2">
                  <c:v>Floor</c:v>
                </c:pt>
                <c:pt idx="3">
                  <c:v>Studio</c:v>
                </c:pt>
                <c:pt idx="4">
                  <c:v>Villa</c:v>
                </c:pt>
                <c:pt idx="5">
                  <c:v>(blank)</c:v>
                </c:pt>
              </c:strCache>
            </c:strRef>
          </c:cat>
          <c:val>
            <c:numRef>
              <c:f>'Price by Prop Type'!$B$4:$B$10</c:f>
              <c:numCache>
                <c:formatCode>General</c:formatCode>
                <c:ptCount val="6"/>
                <c:pt idx="0">
                  <c:v>232629000</c:v>
                </c:pt>
                <c:pt idx="1">
                  <c:v>221340000</c:v>
                </c:pt>
                <c:pt idx="2">
                  <c:v>82467000</c:v>
                </c:pt>
                <c:pt idx="3">
                  <c:v>31850000</c:v>
                </c:pt>
                <c:pt idx="4">
                  <c:v>722190000</c:v>
                </c:pt>
              </c:numCache>
            </c:numRef>
          </c:val>
          <c:extLst>
            <c:ext xmlns:c16="http://schemas.microsoft.com/office/drawing/2014/chart" uri="{C3380CC4-5D6E-409C-BE32-E72D297353CC}">
              <c16:uniqueId val="{00000000-061E-7549-B788-21F2A10EA8B8}"/>
            </c:ext>
          </c:extLst>
        </c:ser>
        <c:dLbls>
          <c:showLegendKey val="0"/>
          <c:showVal val="0"/>
          <c:showCatName val="0"/>
          <c:showSerName val="0"/>
          <c:showPercent val="0"/>
          <c:showBubbleSize val="0"/>
        </c:dLbls>
        <c:gapWidth val="219"/>
        <c:axId val="1185475839"/>
        <c:axId val="1185658383"/>
      </c:barChart>
      <c:catAx>
        <c:axId val="118547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6">
                    <a:lumMod val="50000"/>
                  </a:schemeClr>
                </a:solidFill>
                <a:latin typeface="+mn-lt"/>
                <a:ea typeface="+mn-ea"/>
                <a:cs typeface="+mn-cs"/>
              </a:defRPr>
            </a:pPr>
            <a:endParaRPr lang="en-SA"/>
          </a:p>
        </c:txPr>
        <c:crossAx val="1185658383"/>
        <c:crosses val="autoZero"/>
        <c:auto val="1"/>
        <c:lblAlgn val="ctr"/>
        <c:lblOffset val="100"/>
        <c:noMultiLvlLbl val="0"/>
      </c:catAx>
      <c:valAx>
        <c:axId val="1185658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rgbClr val="EC7533"/>
                    </a:solidFill>
                    <a:latin typeface="+mn-lt"/>
                    <a:ea typeface="+mn-ea"/>
                    <a:cs typeface="+mn-cs"/>
                  </a:defRPr>
                </a:pPr>
                <a:r>
                  <a:rPr lang="en-US" sz="1200">
                    <a:solidFill>
                      <a:srgbClr val="EC7533"/>
                    </a:solidFill>
                  </a:rPr>
                  <a:t>Price</a:t>
                </a:r>
              </a:p>
            </c:rich>
          </c:tx>
          <c:overlay val="0"/>
          <c:spPr>
            <a:noFill/>
            <a:ln>
              <a:noFill/>
            </a:ln>
            <a:effectLst/>
          </c:spPr>
          <c:txPr>
            <a:bodyPr rot="0" spcFirstLastPara="1" vertOverflow="ellipsis" vert="horz" wrap="square" anchor="ctr" anchorCtr="1"/>
            <a:lstStyle/>
            <a:p>
              <a:pPr>
                <a:defRPr sz="1200" b="0" i="0" u="none" strike="noStrike" kern="1200" baseline="0">
                  <a:solidFill>
                    <a:srgbClr val="EC7533"/>
                  </a:solidFill>
                  <a:latin typeface="+mn-lt"/>
                  <a:ea typeface="+mn-ea"/>
                  <a:cs typeface="+mn-cs"/>
                </a:defRPr>
              </a:pPr>
              <a:endParaRPr lang="en-S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185475839"/>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[riyadh_realestate_dataset_charts.xlsx]Property type distribution!PivotTable5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bg2">
                  <a:lumMod val="90000"/>
                </a:schemeClr>
              </a:outerShdw>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a:outerShdw blurRad="50800" dist="50800" dir="5400000" algn="ctr" rotWithShape="0">
                <a:schemeClr val="bg2">
                  <a:lumMod val="90000"/>
                </a:schemeClr>
              </a:outerShdw>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15:layout>
                <c:manualLayout>
                  <c:w val="7.1999999999999995E-2"/>
                  <c:h val="6.1472700527818641E-2"/>
                </c:manualLayout>
              </c15:layout>
            </c:ext>
          </c:extLst>
        </c:dLbl>
      </c:pivotFmt>
      <c:pivotFmt>
        <c:idx val="2"/>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bg2">
                  <a:lumMod val="90000"/>
                </a:schemeClr>
              </a:outerShdw>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a:outerShdw blurRad="50800" dist="50800" dir="5400000" algn="ctr" rotWithShape="0">
                <a:schemeClr val="bg2">
                  <a:lumMod val="90000"/>
                </a:schemeClr>
              </a:outerShdw>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15:layout>
                <c:manualLayout>
                  <c:w val="7.1999999999999995E-2"/>
                  <c:h val="6.1472700527818641E-2"/>
                </c:manualLayout>
              </c15:layout>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bg2">
                  <a:lumMod val="90000"/>
                </a:schemeClr>
              </a:outerShdw>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a:outerShdw blurRad="50800" dist="50800" dir="5400000" algn="ctr" rotWithShape="0">
                <a:schemeClr val="bg2">
                  <a:lumMod val="90000"/>
                </a:schemeClr>
              </a:outerShdw>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15:layout>
                <c:manualLayout>
                  <c:w val="7.1999999999999995E-2"/>
                  <c:h val="6.1472700527818641E-2"/>
                </c:manualLayout>
              </c15:layout>
            </c:ext>
          </c:extLst>
        </c:dLbl>
      </c:pivotFmt>
      <c:pivotFmt>
        <c:idx val="11"/>
        <c:spPr>
          <a:solidFill>
            <a:schemeClr val="accent1"/>
          </a:solidFill>
          <a:ln w="19050">
            <a:solidFill>
              <a:schemeClr val="lt1"/>
            </a:solidFill>
          </a:ln>
          <a:effectLst/>
        </c:spPr>
      </c:pivotFmt>
      <c:pivotFmt>
        <c:idx val="12"/>
        <c:spPr>
          <a:solidFill>
            <a:srgbClr val="FFCF6F"/>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6">
              <a:lumMod val="75000"/>
            </a:schemeClr>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'Property type distribution'!$B$3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B5-D342-A265-66623E0187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B5-D342-A265-66623E0187CA}"/>
              </c:ext>
            </c:extLst>
          </c:dPt>
          <c:dPt>
            <c:idx val="2"/>
            <c:bubble3D val="0"/>
            <c:spPr>
              <a:solidFill>
                <a:srgbClr val="FFCF6F"/>
              </a:solidFill>
              <a:ln w="19050">
                <a:solidFill>
                  <a:schemeClr val="lt1"/>
                </a:solidFill>
              </a:ln>
              <a:effectLst/>
            </c:spPr>
            <c:extLst>
              <c:ext xmlns:c16="http://schemas.microsoft.com/office/drawing/2014/chart" uri="{C3380CC4-5D6E-409C-BE32-E72D297353CC}">
                <c16:uniqueId val="{00000005-F1B5-D342-A265-66623E0187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B5-D342-A265-66623E0187CA}"/>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F1B5-D342-A265-66623E0187C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1B5-D342-A265-66623E0187CA}"/>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7.1999999999999995E-2"/>
                      <c:h val="6.1472700527818641E-2"/>
                    </c:manualLayout>
                  </c15:layout>
                </c:ext>
                <c:ext xmlns:c16="http://schemas.microsoft.com/office/drawing/2014/chart" uri="{C3380CC4-5D6E-409C-BE32-E72D297353CC}">
                  <c16:uniqueId val="{00000001-F1B5-D342-A265-66623E0187CA}"/>
                </c:ext>
              </c:extLst>
            </c:dLbl>
            <c:spPr>
              <a:noFill/>
              <a:ln>
                <a:noFill/>
              </a:ln>
              <a:effectLst>
                <a:outerShdw blurRad="50800" dist="50800" dir="5400000" algn="ctr" rotWithShape="0">
                  <a:schemeClr val="bg2">
                    <a:lumMod val="90000"/>
                  </a:schemeClr>
                </a:outerShdw>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SA"/>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'Property type distribution'!$A$4:$A$10</c:f>
              <c:strCache>
                <c:ptCount val="6"/>
                <c:pt idx="0">
                  <c:v>Apartment</c:v>
                </c:pt>
                <c:pt idx="1">
                  <c:v>Duplex</c:v>
                </c:pt>
                <c:pt idx="2">
                  <c:v>Floor</c:v>
                </c:pt>
                <c:pt idx="3">
                  <c:v>Studio</c:v>
                </c:pt>
                <c:pt idx="4">
                  <c:v>Villa</c:v>
                </c:pt>
                <c:pt idx="5">
                  <c:v>(blank)</c:v>
                </c:pt>
              </c:strCache>
            </c:strRef>
          </c:cat>
          <c:val>
            <c:numRef>
              <c:f>'Property type distribution'!$B$4:$B$10</c:f>
              <c:numCache>
                <c:formatCode>General</c:formatCode>
                <c:ptCount val="6"/>
                <c:pt idx="0">
                  <c:v>467</c:v>
                </c:pt>
                <c:pt idx="1">
                  <c:v>195</c:v>
                </c:pt>
                <c:pt idx="2">
                  <c:v>85</c:v>
                </c:pt>
                <c:pt idx="3">
                  <c:v>127</c:v>
                </c:pt>
                <c:pt idx="4">
                  <c:v>326</c:v>
                </c:pt>
              </c:numCache>
            </c:numRef>
          </c:val>
          <c:extLst>
            <c:ext xmlns:c16="http://schemas.microsoft.com/office/drawing/2014/chart" uri="{C3380CC4-5D6E-409C-BE32-E72D297353CC}">
              <c16:uniqueId val="{0000000C-F1B5-D342-A265-66623E0187CA}"/>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[riyadh_realestate_dataset_charts.xlsx]Top 10 districts by avg price!PivotTable4</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60000"/>
              <a:lumOff val="40000"/>
            </a:schemeClr>
          </a:solidFill>
          <a:ln>
            <a:noFill/>
          </a:ln>
          <a:effectLst/>
        </c:spPr>
      </c:pivotFmt>
      <c:pivotFmt>
        <c:idx val="3"/>
        <c:spPr>
          <a:solidFill>
            <a:srgbClr val="EC7533"/>
          </a:solidFill>
          <a:ln>
            <a:noFill/>
          </a:ln>
          <a:effectLst/>
        </c:spPr>
      </c:pivotFmt>
      <c:pivotFmt>
        <c:idx val="4"/>
        <c:spPr>
          <a:solidFill>
            <a:schemeClr val="accent1">
              <a:lumMod val="60000"/>
              <a:lumOff val="40000"/>
            </a:schemeClr>
          </a:solidFill>
          <a:ln>
            <a:noFill/>
          </a:ln>
          <a:effectLst/>
        </c:spPr>
      </c:pivotFmt>
      <c:pivotFmt>
        <c:idx val="5"/>
        <c:spPr>
          <a:solidFill>
            <a:srgbClr val="EC7533"/>
          </a:solidFill>
          <a:ln>
            <a:noFill/>
          </a:ln>
          <a:effectLst/>
        </c:spPr>
      </c:pivotFmt>
      <c:pivotFmt>
        <c:idx val="6"/>
        <c:spPr>
          <a:solidFill>
            <a:srgbClr val="FFC000"/>
          </a:solidFill>
          <a:ln>
            <a:noFill/>
          </a:ln>
          <a:effectLst/>
        </c:spPr>
      </c:pivotFmt>
      <c:pivotFmt>
        <c:idx val="7"/>
        <c:spPr>
          <a:solidFill>
            <a:srgbClr val="FFC000"/>
          </a:solidFill>
          <a:ln>
            <a:noFill/>
          </a:ln>
          <a:effectLst/>
        </c:spPr>
      </c:pivotFmt>
      <c:pivotFmt>
        <c:idx val="8"/>
        <c:spPr>
          <a:solidFill>
            <a:srgbClr val="FFC000"/>
          </a:solidFill>
          <a:ln>
            <a:noFill/>
          </a:ln>
          <a:effectLst/>
        </c:spPr>
      </c:pivotFmt>
      <c:pivotFmt>
        <c:idx val="9"/>
        <c:spPr>
          <a:solidFill>
            <a:srgbClr val="FFC000"/>
          </a:solidFill>
          <a:ln>
            <a:noFill/>
          </a:ln>
          <a:effectLst/>
        </c:spPr>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rgbClr val="FFC000"/>
          </a:solidFill>
          <a:ln>
            <a:noFill/>
          </a:ln>
          <a:effectLst/>
        </c:spPr>
      </c:pivotFmt>
      <c:pivotFmt>
        <c:idx val="12"/>
        <c:spPr>
          <a:solidFill>
            <a:srgbClr val="FFC000"/>
          </a:solidFill>
          <a:ln>
            <a:noFill/>
          </a:ln>
          <a:effectLst/>
        </c:spPr>
      </c:pivotFmt>
      <c:pivotFmt>
        <c:idx val="13"/>
        <c:spPr>
          <a:solidFill>
            <a:srgbClr val="FFC000"/>
          </a:solidFill>
          <a:ln>
            <a:noFill/>
          </a:ln>
          <a:effectLst/>
        </c:spPr>
      </c:pivotFmt>
      <c:pivotFmt>
        <c:idx val="14"/>
        <c:spPr>
          <a:solidFill>
            <a:srgbClr val="FFC000"/>
          </a:solidFill>
          <a:ln>
            <a:noFill/>
          </a:ln>
          <a:effectLst/>
        </c:spPr>
      </c:pivotFmt>
      <c:pivotFmt>
        <c:idx val="15"/>
        <c:spPr>
          <a:solidFill>
            <a:schemeClr val="accent1">
              <a:lumMod val="60000"/>
              <a:lumOff val="40000"/>
            </a:schemeClr>
          </a:solidFill>
          <a:ln>
            <a:noFill/>
          </a:ln>
          <a:effectLst/>
        </c:spPr>
      </c:pivotFmt>
      <c:pivotFmt>
        <c:idx val="16"/>
        <c:spPr>
          <a:solidFill>
            <a:srgbClr val="EC7533"/>
          </a:solidFill>
          <a:ln>
            <a:noFill/>
          </a:ln>
          <a:effectLst/>
        </c:spPr>
      </c:pivotFmt>
      <c:pivotFmt>
        <c:idx val="17"/>
        <c:spPr>
          <a:solidFill>
            <a:srgbClr val="EC7533"/>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60000"/>
              <a:lumOff val="40000"/>
            </a:schemeClr>
          </a:solidFill>
          <a:ln>
            <a:noFill/>
          </a:ln>
          <a:effectLst/>
        </c:spPr>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rgbClr val="FFC000"/>
          </a:solidFill>
          <a:ln>
            <a:noFill/>
          </a:ln>
          <a:effectLst/>
        </c:spPr>
      </c:pivotFmt>
      <c:pivotFmt>
        <c:idx val="22"/>
        <c:spPr>
          <a:solidFill>
            <a:srgbClr val="FFC000"/>
          </a:solidFill>
          <a:ln>
            <a:noFill/>
          </a:ln>
          <a:effectLst/>
        </c:spPr>
      </c:pivotFmt>
      <c:pivotFmt>
        <c:idx val="23"/>
        <c:spPr>
          <a:solidFill>
            <a:srgbClr val="FFC000"/>
          </a:solidFill>
          <a:ln>
            <a:noFill/>
          </a:ln>
          <a:effectLst/>
        </c:spPr>
      </c:pivotFmt>
      <c:pivotFmt>
        <c:idx val="24"/>
        <c:spPr>
          <a:solidFill>
            <a:srgbClr val="FFC000"/>
          </a:solidFill>
          <a:ln>
            <a:noFill/>
          </a:ln>
          <a:effectLst/>
        </c:spPr>
      </c:pivotFmt>
      <c:pivotFmt>
        <c:idx val="25"/>
        <c:spPr>
          <a:solidFill>
            <a:schemeClr val="accent1">
              <a:lumMod val="60000"/>
              <a:lumOff val="40000"/>
            </a:schemeClr>
          </a:solidFill>
          <a:ln>
            <a:noFill/>
          </a:ln>
          <a:effectLst/>
        </c:spPr>
      </c:pivotFmt>
      <c:pivotFmt>
        <c:idx val="26"/>
        <c:spPr>
          <a:solidFill>
            <a:srgbClr val="EC7533"/>
          </a:solidFill>
          <a:ln>
            <a:noFill/>
          </a:ln>
          <a:effectLst/>
        </c:spPr>
      </c:pivotFmt>
      <c:pivotFmt>
        <c:idx val="27"/>
        <c:spPr>
          <a:solidFill>
            <a:srgbClr val="EC7533"/>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60000"/>
              <a:lumOff val="40000"/>
            </a:schemeClr>
          </a:solidFill>
          <a:ln>
            <a:noFill/>
          </a:ln>
          <a:effectLst/>
        </c:spPr>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FFC000"/>
          </a:solidFill>
          <a:ln>
            <a:noFill/>
          </a:ln>
          <a:effectLst/>
        </c:spPr>
      </c:pivotFmt>
      <c:pivotFmt>
        <c:idx val="32"/>
        <c:spPr>
          <a:solidFill>
            <a:srgbClr val="FFC000"/>
          </a:solidFill>
          <a:ln>
            <a:noFill/>
          </a:ln>
          <a:effectLst/>
        </c:spPr>
      </c:pivotFmt>
      <c:pivotFmt>
        <c:idx val="33"/>
        <c:spPr>
          <a:solidFill>
            <a:srgbClr val="FFC000"/>
          </a:solidFill>
          <a:ln>
            <a:noFill/>
          </a:ln>
          <a:effectLst/>
        </c:spPr>
      </c:pivotFmt>
      <c:pivotFmt>
        <c:idx val="34"/>
        <c:spPr>
          <a:solidFill>
            <a:srgbClr val="FFC000"/>
          </a:solidFill>
          <a:ln>
            <a:noFill/>
          </a:ln>
          <a:effectLst/>
        </c:spPr>
      </c:pivotFmt>
      <c:pivotFmt>
        <c:idx val="35"/>
        <c:spPr>
          <a:solidFill>
            <a:schemeClr val="accent1">
              <a:lumMod val="60000"/>
              <a:lumOff val="40000"/>
            </a:schemeClr>
          </a:solidFill>
          <a:ln>
            <a:noFill/>
          </a:ln>
          <a:effectLst/>
        </c:spPr>
      </c:pivotFmt>
      <c:pivotFmt>
        <c:idx val="36"/>
        <c:spPr>
          <a:solidFill>
            <a:srgbClr val="EC7533"/>
          </a:solidFill>
          <a:ln>
            <a:noFill/>
          </a:ln>
          <a:effectLst/>
        </c:spPr>
      </c:pivotFmt>
      <c:pivotFmt>
        <c:idx val="37"/>
        <c:spPr>
          <a:solidFill>
            <a:srgbClr val="EC7533"/>
          </a:solidFill>
          <a:ln>
            <a:noFill/>
          </a:ln>
          <a:effectLst/>
        </c:spPr>
      </c:pivotFmt>
      <c:pivotFmt>
        <c:idx val="38"/>
        <c:spPr>
          <a:solidFill>
            <a:schemeClr val="accent1">
              <a:lumMod val="60000"/>
              <a:lumOff val="40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lumMod val="60000"/>
              <a:lumOff val="40000"/>
            </a:schemeClr>
          </a:solidFill>
          <a:ln>
            <a:noFill/>
          </a:ln>
          <a:effectLst/>
        </c:spPr>
      </c:pivotFmt>
      <c:pivotFmt>
        <c:idx val="4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2"/>
        <c:spPr>
          <a:solidFill>
            <a:srgbClr val="FFC000"/>
          </a:solidFill>
          <a:ln>
            <a:noFill/>
          </a:ln>
          <a:effectLst/>
        </c:spPr>
      </c:pivotFmt>
      <c:pivotFmt>
        <c:idx val="43"/>
        <c:spPr>
          <a:solidFill>
            <a:srgbClr val="FFC000"/>
          </a:solidFill>
          <a:ln>
            <a:noFill/>
          </a:ln>
          <a:effectLst/>
        </c:spPr>
      </c:pivotFmt>
      <c:pivotFmt>
        <c:idx val="44"/>
        <c:spPr>
          <a:solidFill>
            <a:srgbClr val="FFC000"/>
          </a:solidFill>
          <a:ln>
            <a:noFill/>
          </a:ln>
          <a:effectLst/>
        </c:spPr>
      </c:pivotFmt>
      <c:pivotFmt>
        <c:idx val="45"/>
        <c:spPr>
          <a:solidFill>
            <a:srgbClr val="FFC000"/>
          </a:solidFill>
          <a:ln>
            <a:noFill/>
          </a:ln>
          <a:effectLst/>
        </c:spPr>
      </c:pivotFmt>
      <c:pivotFmt>
        <c:idx val="46"/>
        <c:spPr>
          <a:solidFill>
            <a:schemeClr val="accent1">
              <a:lumMod val="60000"/>
              <a:lumOff val="40000"/>
            </a:schemeClr>
          </a:solidFill>
          <a:ln>
            <a:noFill/>
          </a:ln>
          <a:effectLst/>
        </c:spPr>
      </c:pivotFmt>
      <c:pivotFmt>
        <c:idx val="47"/>
        <c:spPr>
          <a:solidFill>
            <a:schemeClr val="accent1">
              <a:lumMod val="60000"/>
              <a:lumOff val="40000"/>
            </a:schemeClr>
          </a:solidFill>
          <a:ln>
            <a:noFill/>
          </a:ln>
          <a:effectLst/>
        </c:spPr>
      </c:pivotFmt>
      <c:pivotFmt>
        <c:idx val="48"/>
        <c:spPr>
          <a:solidFill>
            <a:srgbClr val="EC7533"/>
          </a:solidFill>
          <a:ln>
            <a:noFill/>
          </a:ln>
          <a:effectLst/>
        </c:spPr>
      </c:pivotFmt>
      <c:pivotFmt>
        <c:idx val="49"/>
        <c:spPr>
          <a:solidFill>
            <a:srgbClr val="EC7533"/>
          </a:solidFill>
          <a:ln>
            <a:noFill/>
          </a:ln>
          <a:effectLst/>
        </c:spPr>
      </c:pivotFmt>
      <c:pivotFmt>
        <c:idx val="50"/>
        <c:spPr>
          <a:solidFill>
            <a:schemeClr val="accent1">
              <a:lumMod val="60000"/>
              <a:lumOff val="40000"/>
            </a:schemeClr>
          </a:solidFill>
          <a:ln>
            <a:noFill/>
          </a:ln>
          <a:effectLst/>
        </c:spPr>
      </c:pivotFmt>
      <c:pivotFmt>
        <c:idx val="51"/>
        <c:spPr>
          <a:solidFill>
            <a:schemeClr val="accent1">
              <a:lumMod val="60000"/>
              <a:lumOff val="40000"/>
            </a:schemeClr>
          </a:solidFill>
          <a:ln>
            <a:noFill/>
          </a:ln>
          <a:effectLst/>
        </c:spPr>
      </c:pivotFmt>
      <c:pivotFmt>
        <c:idx val="5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3"/>
        <c:spPr>
          <a:solidFill>
            <a:srgbClr val="FFC000"/>
          </a:solidFill>
          <a:ln>
            <a:noFill/>
          </a:ln>
          <a:effectLst/>
        </c:spPr>
      </c:pivotFmt>
      <c:pivotFmt>
        <c:idx val="54"/>
        <c:spPr>
          <a:solidFill>
            <a:srgbClr val="FFC000"/>
          </a:solidFill>
          <a:ln>
            <a:noFill/>
          </a:ln>
          <a:effectLst/>
        </c:spPr>
      </c:pivotFmt>
      <c:pivotFmt>
        <c:idx val="55"/>
        <c:spPr>
          <a:solidFill>
            <a:srgbClr val="FFC000"/>
          </a:solidFill>
          <a:ln>
            <a:noFill/>
          </a:ln>
          <a:effectLst/>
        </c:spPr>
      </c:pivotFmt>
      <c:pivotFmt>
        <c:idx val="56"/>
        <c:spPr>
          <a:solidFill>
            <a:srgbClr val="FFC000"/>
          </a:solidFill>
          <a:ln>
            <a:noFill/>
          </a:ln>
          <a:effectLst/>
        </c:spPr>
      </c:pivotFmt>
      <c:pivotFmt>
        <c:idx val="57"/>
        <c:spPr>
          <a:solidFill>
            <a:schemeClr val="accent1">
              <a:lumMod val="60000"/>
              <a:lumOff val="40000"/>
            </a:schemeClr>
          </a:solidFill>
          <a:ln>
            <a:noFill/>
          </a:ln>
          <a:effectLst/>
        </c:spPr>
      </c:pivotFmt>
      <c:pivotFmt>
        <c:idx val="58"/>
        <c:spPr>
          <a:solidFill>
            <a:schemeClr val="accent1">
              <a:lumMod val="60000"/>
              <a:lumOff val="40000"/>
            </a:schemeClr>
          </a:solidFill>
          <a:ln>
            <a:noFill/>
          </a:ln>
          <a:effectLst/>
        </c:spPr>
      </c:pivotFmt>
      <c:pivotFmt>
        <c:idx val="59"/>
        <c:spPr>
          <a:solidFill>
            <a:srgbClr val="EC7533"/>
          </a:solidFill>
          <a:ln>
            <a:noFill/>
          </a:ln>
          <a:effectLst/>
        </c:spPr>
      </c:pivotFmt>
      <c:pivotFmt>
        <c:idx val="60"/>
        <c:spPr>
          <a:solidFill>
            <a:srgbClr val="EC7533"/>
          </a:solidFill>
          <a:ln>
            <a:noFill/>
          </a:ln>
          <a:effectLst/>
        </c:spPr>
      </c:pivotFmt>
      <c:pivotFmt>
        <c:idx val="61"/>
        <c:spPr>
          <a:solidFill>
            <a:schemeClr val="accent1">
              <a:lumMod val="60000"/>
              <a:lumOff val="40000"/>
            </a:schemeClr>
          </a:solidFill>
          <a:ln>
            <a:noFill/>
          </a:ln>
          <a:effectLst/>
        </c:spPr>
      </c:pivotFmt>
      <c:pivotFmt>
        <c:idx val="62"/>
        <c:spPr>
          <a:solidFill>
            <a:schemeClr val="accent1">
              <a:lumMod val="60000"/>
              <a:lumOff val="40000"/>
            </a:schemeClr>
          </a:solidFill>
          <a:ln>
            <a:noFill/>
          </a:ln>
          <a:effectLst/>
        </c:spPr>
      </c:pivotFmt>
    </c:pivotFmts>
    <c:plotArea>
      <c:layout>
        <c:manualLayout>
          <c:layoutTarget val="inner"/>
          <c:xMode val="edge"/>
          <c:yMode val="edge"/>
          <c:x val="0.14398073511562043"/>
          <c:y val="3.1224227080606751E-2"/>
          <c:w val="0.69155908624070217"/>
          <c:h val="0.70925275711876534"/>
        </c:manualLayout>
      </c:layout>
      <c:barChart>
        <c:barDir val="col"/>
        <c:grouping val="clustered"/>
        <c:varyColors val="0"/>
        <c:ser>
          <c:idx val="0"/>
          <c:order val="0"/>
          <c:tx>
            <c:strRef>
              <c:f>'Top 10 districts by avg price'!$B$3</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7962-4A4F-9D4D-A38A5CB69B47}"/>
              </c:ext>
            </c:extLst>
          </c:dPt>
          <c:dPt>
            <c:idx val="1"/>
            <c:invertIfNegative val="0"/>
            <c:bubble3D val="0"/>
            <c:spPr>
              <a:solidFill>
                <a:srgbClr val="FFC000"/>
              </a:solidFill>
              <a:ln>
                <a:noFill/>
              </a:ln>
              <a:effectLst/>
            </c:spPr>
            <c:extLst>
              <c:ext xmlns:c16="http://schemas.microsoft.com/office/drawing/2014/chart" uri="{C3380CC4-5D6E-409C-BE32-E72D297353CC}">
                <c16:uniqueId val="{00000003-7962-4A4F-9D4D-A38A5CB69B47}"/>
              </c:ext>
            </c:extLst>
          </c:dPt>
          <c:dPt>
            <c:idx val="2"/>
            <c:invertIfNegative val="0"/>
            <c:bubble3D val="0"/>
            <c:spPr>
              <a:solidFill>
                <a:srgbClr val="FFC000"/>
              </a:solidFill>
              <a:ln>
                <a:noFill/>
              </a:ln>
              <a:effectLst/>
            </c:spPr>
            <c:extLst>
              <c:ext xmlns:c16="http://schemas.microsoft.com/office/drawing/2014/chart" uri="{C3380CC4-5D6E-409C-BE32-E72D297353CC}">
                <c16:uniqueId val="{00000005-7962-4A4F-9D4D-A38A5CB69B47}"/>
              </c:ext>
            </c:extLst>
          </c:dPt>
          <c:dPt>
            <c:idx val="3"/>
            <c:invertIfNegative val="0"/>
            <c:bubble3D val="0"/>
            <c:spPr>
              <a:solidFill>
                <a:srgbClr val="FFC000"/>
              </a:solidFill>
              <a:ln>
                <a:noFill/>
              </a:ln>
              <a:effectLst/>
            </c:spPr>
            <c:extLst>
              <c:ext xmlns:c16="http://schemas.microsoft.com/office/drawing/2014/chart" uri="{C3380CC4-5D6E-409C-BE32-E72D297353CC}">
                <c16:uniqueId val="{00000007-7962-4A4F-9D4D-A38A5CB69B47}"/>
              </c:ext>
            </c:extLst>
          </c:dPt>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9-7962-4A4F-9D4D-A38A5CB69B47}"/>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B-7962-4A4F-9D4D-A38A5CB69B47}"/>
              </c:ext>
            </c:extLst>
          </c:dPt>
          <c:dPt>
            <c:idx val="6"/>
            <c:invertIfNegative val="0"/>
            <c:bubble3D val="0"/>
            <c:spPr>
              <a:solidFill>
                <a:srgbClr val="EC7533"/>
              </a:solidFill>
              <a:ln>
                <a:noFill/>
              </a:ln>
              <a:effectLst/>
            </c:spPr>
            <c:extLst>
              <c:ext xmlns:c16="http://schemas.microsoft.com/office/drawing/2014/chart" uri="{C3380CC4-5D6E-409C-BE32-E72D297353CC}">
                <c16:uniqueId val="{0000000D-7962-4A4F-9D4D-A38A5CB69B47}"/>
              </c:ext>
            </c:extLst>
          </c:dPt>
          <c:dPt>
            <c:idx val="7"/>
            <c:invertIfNegative val="0"/>
            <c:bubble3D val="0"/>
            <c:spPr>
              <a:solidFill>
                <a:srgbClr val="EC7533"/>
              </a:solidFill>
              <a:ln>
                <a:noFill/>
              </a:ln>
              <a:effectLst/>
            </c:spPr>
            <c:extLst>
              <c:ext xmlns:c16="http://schemas.microsoft.com/office/drawing/2014/chart" uri="{C3380CC4-5D6E-409C-BE32-E72D297353CC}">
                <c16:uniqueId val="{0000000F-7962-4A4F-9D4D-A38A5CB69B47}"/>
              </c:ext>
            </c:extLst>
          </c:dPt>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1-7962-4A4F-9D4D-A38A5CB69B47}"/>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3-7962-4A4F-9D4D-A38A5CB69B47}"/>
              </c:ext>
            </c:extLst>
          </c:dPt>
          <c:cat>
            <c:strRef>
              <c:f>'Top 10 districts by avg price'!$A$4:$A$14</c:f>
              <c:strCache>
                <c:ptCount val="10"/>
                <c:pt idx="0">
                  <c:v>Al Narjis</c:v>
                </c:pt>
                <c:pt idx="1">
                  <c:v>Al Nakheel</c:v>
                </c:pt>
                <c:pt idx="2">
                  <c:v>Al Munsiyah</c:v>
                </c:pt>
                <c:pt idx="3">
                  <c:v>Al Yasmin</c:v>
                </c:pt>
                <c:pt idx="4">
                  <c:v>Al Wurud</c:v>
                </c:pt>
                <c:pt idx="5">
                  <c:v>Al Rawdah</c:v>
                </c:pt>
                <c:pt idx="6">
                  <c:v>Al Aqiq</c:v>
                </c:pt>
                <c:pt idx="7">
                  <c:v>Al Rabwah</c:v>
                </c:pt>
                <c:pt idx="8">
                  <c:v>Al Sulimaniyah</c:v>
                </c:pt>
                <c:pt idx="9">
                  <c:v>Al Olaya</c:v>
                </c:pt>
              </c:strCache>
            </c:strRef>
          </c:cat>
          <c:val>
            <c:numRef>
              <c:f>'Top 10 districts by avg price'!$B$4:$B$14</c:f>
              <c:numCache>
                <c:formatCode>"SAR"\ 0.00,\ "M"</c:formatCode>
                <c:ptCount val="10"/>
                <c:pt idx="0">
                  <c:v>1071326.923076923</c:v>
                </c:pt>
                <c:pt idx="1">
                  <c:v>1087969.2307692308</c:v>
                </c:pt>
                <c:pt idx="2">
                  <c:v>1143803.9215686275</c:v>
                </c:pt>
                <c:pt idx="3">
                  <c:v>1211985.9154929577</c:v>
                </c:pt>
                <c:pt idx="4">
                  <c:v>1214500</c:v>
                </c:pt>
                <c:pt idx="5">
                  <c:v>1270000</c:v>
                </c:pt>
                <c:pt idx="6">
                  <c:v>1292551.0204081633</c:v>
                </c:pt>
                <c:pt idx="7">
                  <c:v>1414363.6363636365</c:v>
                </c:pt>
                <c:pt idx="8">
                  <c:v>1440738.4615384615</c:v>
                </c:pt>
                <c:pt idx="9">
                  <c:v>1587885.2459016393</c:v>
                </c:pt>
              </c:numCache>
            </c:numRef>
          </c:val>
          <c:extLst>
            <c:ext xmlns:c16="http://schemas.microsoft.com/office/drawing/2014/chart" uri="{C3380CC4-5D6E-409C-BE32-E72D297353CC}">
              <c16:uniqueId val="{00000014-7962-4A4F-9D4D-A38A5CB69B47}"/>
            </c:ext>
          </c:extLst>
        </c:ser>
        <c:dLbls>
          <c:showLegendKey val="0"/>
          <c:showVal val="0"/>
          <c:showCatName val="0"/>
          <c:showSerName val="0"/>
          <c:showPercent val="0"/>
          <c:showBubbleSize val="0"/>
        </c:dLbls>
        <c:gapWidth val="219"/>
        <c:overlap val="-27"/>
        <c:axId val="248314016"/>
        <c:axId val="248315728"/>
      </c:barChart>
      <c:catAx>
        <c:axId val="24831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48315728"/>
        <c:crosses val="autoZero"/>
        <c:auto val="1"/>
        <c:lblAlgn val="ctr"/>
        <c:lblOffset val="100"/>
        <c:noMultiLvlLbl val="0"/>
      </c:catAx>
      <c:valAx>
        <c:axId val="248315728"/>
        <c:scaling>
          <c:orientation val="minMax"/>
        </c:scaling>
        <c:delete val="0"/>
        <c:axPos val="l"/>
        <c:majorGridlines>
          <c:spPr>
            <a:ln w="9525" cap="flat" cmpd="sng" algn="ctr">
              <a:noFill/>
              <a:round/>
            </a:ln>
            <a:effectLst/>
          </c:spPr>
        </c:majorGridlines>
        <c:numFmt formatCode="&quot;SAR&quot;\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48314016"/>
        <c:crosses val="autoZero"/>
        <c:crossBetween val="between"/>
      </c:valAx>
      <c:spPr>
        <a:solidFill>
          <a:schemeClr val="accent6">
            <a:lumMod val="20000"/>
            <a:lumOff val="80000"/>
          </a:schemeClr>
        </a:solidFill>
        <a:ln>
          <a:noFill/>
        </a:ln>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chart>
  <c:spPr>
    <a:solidFill>
      <a:schemeClr val="accent6">
        <a:lumMod val="20000"/>
        <a:lumOff val="80000"/>
      </a:schemeClr>
    </a:solidFill>
  </c:spPr>
  <c:txPr>
    <a:bodyPr/>
    <a:lstStyle/>
    <a:p>
      <a:pPr>
        <a:defRPr/>
      </a:pPr>
      <a:endParaRPr lang="en-SA"/>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563018314506695"/>
          <c:y val="3.4321372854914198E-2"/>
          <c:w val="0.68670216666375672"/>
          <c:h val="0.81975579495620765"/>
        </c:manualLayout>
      </c:layout>
      <c:scatterChart>
        <c:scatterStyle val="lineMarker"/>
        <c:varyColors val="0"/>
        <c:ser>
          <c:idx val="0"/>
          <c:order val="0"/>
          <c:tx>
            <c:v>Villa</c:v>
          </c:tx>
          <c:spPr>
            <a:ln w="25400" cap="rnd">
              <a:noFill/>
              <a:round/>
            </a:ln>
            <a:effectLst/>
          </c:spPr>
          <c:marker>
            <c:symbol val="circle"/>
            <c:size val="5"/>
            <c:spPr>
              <a:solidFill>
                <a:schemeClr val="accent1"/>
              </a:solidFill>
              <a:ln w="9525">
                <a:solidFill>
                  <a:schemeClr val="accent1"/>
                </a:solidFill>
              </a:ln>
              <a:effectLst/>
            </c:spPr>
          </c:marker>
          <c:dPt>
            <c:idx val="271"/>
            <c:marker>
              <c:symbol val="circle"/>
              <c:size val="5"/>
              <c:spPr>
                <a:solidFill>
                  <a:schemeClr val="accent1"/>
                </a:solidFill>
                <a:ln w="6350">
                  <a:solidFill>
                    <a:schemeClr val="accent1"/>
                  </a:solidFill>
                </a:ln>
                <a:effectLst/>
              </c:spPr>
            </c:marker>
            <c:bubble3D val="0"/>
            <c:extLst>
              <c:ext xmlns:c16="http://schemas.microsoft.com/office/drawing/2014/chart" uri="{C3380CC4-5D6E-409C-BE32-E72D297353CC}">
                <c16:uniqueId val="{00000000-E629-E440-B215-18940960DC09}"/>
              </c:ext>
            </c:extLst>
          </c:dPt>
          <c:dPt>
            <c:idx val="824"/>
            <c:marker>
              <c:symbol val="circle"/>
              <c:size val="5"/>
              <c:spPr>
                <a:solidFill>
                  <a:schemeClr val="accent6">
                    <a:lumMod val="20000"/>
                    <a:lumOff val="80000"/>
                  </a:schemeClr>
                </a:solidFill>
                <a:ln w="9525">
                  <a:solidFill>
                    <a:schemeClr val="accent1"/>
                  </a:solidFill>
                </a:ln>
                <a:effectLst/>
              </c:spPr>
            </c:marker>
            <c:bubble3D val="0"/>
            <c:extLst>
              <c:ext xmlns:c16="http://schemas.microsoft.com/office/drawing/2014/chart" uri="{C3380CC4-5D6E-409C-BE32-E72D297353CC}">
                <c16:uniqueId val="{00000006-E629-E440-B215-18940960DC09}"/>
              </c:ext>
            </c:extLst>
          </c:dPt>
          <c:xVal>
            <c:strRef>
              <c:f>riyadh_realestate_dataset!$Q:$Q</c:f>
              <c:strCache>
                <c:ptCount val="1201"/>
                <c:pt idx="0">
                  <c:v>Villa_area</c:v>
                </c:pt>
                <c:pt idx="1">
                  <c:v>#N/A</c:v>
                </c:pt>
                <c:pt idx="2">
                  <c:v>#N/A</c:v>
                </c:pt>
                <c:pt idx="3">
                  <c:v>#N/A</c:v>
                </c:pt>
                <c:pt idx="4">
                  <c:v>#N/A</c:v>
                </c:pt>
                <c:pt idx="5">
                  <c:v>546</c:v>
                </c:pt>
                <c:pt idx="6">
                  <c:v>#N/A</c:v>
                </c:pt>
                <c:pt idx="7">
                  <c:v>#N/A</c:v>
                </c:pt>
                <c:pt idx="8">
                  <c:v>#N/A</c:v>
                </c:pt>
                <c:pt idx="9">
                  <c:v>439</c:v>
                </c:pt>
                <c:pt idx="10">
                  <c:v>#N/A</c:v>
                </c:pt>
                <c:pt idx="11">
                  <c:v>#N/A</c:v>
                </c:pt>
                <c:pt idx="12">
                  <c:v>#N/A</c:v>
                </c:pt>
                <c:pt idx="13">
                  <c:v>#N/A</c:v>
                </c:pt>
                <c:pt idx="14">
                  <c:v>#N/A</c:v>
                </c:pt>
                <c:pt idx="15">
                  <c:v>#N/A</c:v>
                </c:pt>
                <c:pt idx="16">
                  <c:v>429</c:v>
                </c:pt>
                <c:pt idx="17">
                  <c:v>#N/A</c:v>
                </c:pt>
                <c:pt idx="18">
                  <c:v>#N/A</c:v>
                </c:pt>
                <c:pt idx="19">
                  <c:v>#N/A</c:v>
                </c:pt>
                <c:pt idx="20">
                  <c:v>#N/A</c:v>
                </c:pt>
                <c:pt idx="21">
                  <c:v>#N/A</c:v>
                </c:pt>
                <c:pt idx="22">
                  <c:v>#N/A</c:v>
                </c:pt>
                <c:pt idx="23">
                  <c:v>#N/A</c:v>
                </c:pt>
                <c:pt idx="24">
                  <c:v>#N/A</c:v>
                </c:pt>
                <c:pt idx="25">
                  <c:v>479</c:v>
                </c:pt>
                <c:pt idx="26">
                  <c:v>#N/A</c:v>
                </c:pt>
                <c:pt idx="27">
                  <c:v>#N/A</c:v>
                </c:pt>
                <c:pt idx="28">
                  <c:v>#N/A</c:v>
                </c:pt>
                <c:pt idx="29">
                  <c:v>383</c:v>
                </c:pt>
                <c:pt idx="30">
                  <c:v>#N/A</c:v>
                </c:pt>
                <c:pt idx="31">
                  <c:v>#N/A</c:v>
                </c:pt>
                <c:pt idx="32">
                  <c:v>#N/A</c:v>
                </c:pt>
                <c:pt idx="33">
                  <c:v>#N/A</c:v>
                </c:pt>
                <c:pt idx="34">
                  <c:v>#N/A</c:v>
                </c:pt>
                <c:pt idx="35">
                  <c:v>#N/A</c:v>
                </c:pt>
                <c:pt idx="36">
                  <c:v>495</c:v>
                </c:pt>
                <c:pt idx="37">
                  <c:v>#N/A</c:v>
                </c:pt>
                <c:pt idx="38">
                  <c:v>395</c:v>
                </c:pt>
                <c:pt idx="39">
                  <c:v>#N/A</c:v>
                </c:pt>
                <c:pt idx="40">
                  <c:v>#N/A</c:v>
                </c:pt>
                <c:pt idx="41">
                  <c:v>485</c:v>
                </c:pt>
                <c:pt idx="42">
                  <c:v>#N/A</c:v>
                </c:pt>
                <c:pt idx="43">
                  <c:v>449</c:v>
                </c:pt>
                <c:pt idx="44">
                  <c:v>368</c:v>
                </c:pt>
                <c:pt idx="45">
                  <c:v>#N/A</c:v>
                </c:pt>
                <c:pt idx="46">
                  <c:v>#N/A</c:v>
                </c:pt>
                <c:pt idx="47">
                  <c:v>427</c:v>
                </c:pt>
                <c:pt idx="48">
                  <c:v>#N/A</c:v>
                </c:pt>
                <c:pt idx="49">
                  <c:v>#N/A</c:v>
                </c:pt>
                <c:pt idx="50">
                  <c:v>449</c:v>
                </c:pt>
                <c:pt idx="51">
                  <c:v>#N/A</c:v>
                </c:pt>
                <c:pt idx="52">
                  <c:v>#N/A</c:v>
                </c:pt>
                <c:pt idx="53">
                  <c:v>#N/A</c:v>
                </c:pt>
                <c:pt idx="54">
                  <c:v>#N/A</c:v>
                </c:pt>
                <c:pt idx="55">
                  <c:v>#N/A</c:v>
                </c:pt>
                <c:pt idx="56">
                  <c:v>#N/A</c:v>
                </c:pt>
                <c:pt idx="57">
                  <c:v>#N/A</c:v>
                </c:pt>
                <c:pt idx="58">
                  <c:v>394</c:v>
                </c:pt>
                <c:pt idx="59">
                  <c:v>444</c:v>
                </c:pt>
                <c:pt idx="60">
                  <c:v>#N/A</c:v>
                </c:pt>
                <c:pt idx="61">
                  <c:v>#N/A</c:v>
                </c:pt>
                <c:pt idx="62">
                  <c:v>386</c:v>
                </c:pt>
                <c:pt idx="63">
                  <c:v>#N/A</c:v>
                </c:pt>
                <c:pt idx="64">
                  <c:v>#N/A</c:v>
                </c:pt>
                <c:pt idx="65">
                  <c:v>#N/A</c:v>
                </c:pt>
                <c:pt idx="66">
                  <c:v>#N/A</c:v>
                </c:pt>
                <c:pt idx="67">
                  <c:v>#N/A</c:v>
                </c:pt>
                <c:pt idx="68">
                  <c:v>#N/A</c:v>
                </c:pt>
                <c:pt idx="69">
                  <c:v>425</c:v>
                </c:pt>
                <c:pt idx="70">
                  <c:v>617</c:v>
                </c:pt>
                <c:pt idx="71">
                  <c:v>405</c:v>
                </c:pt>
                <c:pt idx="72">
                  <c:v>#N/A</c:v>
                </c:pt>
                <c:pt idx="73">
                  <c:v>#N/A</c:v>
                </c:pt>
                <c:pt idx="74">
                  <c:v>#N/A</c:v>
                </c:pt>
                <c:pt idx="75">
                  <c:v>#N/A</c:v>
                </c:pt>
                <c:pt idx="76">
                  <c:v>308</c:v>
                </c:pt>
                <c:pt idx="77">
                  <c:v>#N/A</c:v>
                </c:pt>
                <c:pt idx="78">
                  <c:v>375</c:v>
                </c:pt>
                <c:pt idx="79">
                  <c:v>#N/A</c:v>
                </c:pt>
                <c:pt idx="80">
                  <c:v>#N/A</c:v>
                </c:pt>
                <c:pt idx="81">
                  <c:v>#N/A</c:v>
                </c:pt>
                <c:pt idx="82">
                  <c:v>#N/A</c:v>
                </c:pt>
                <c:pt idx="83">
                  <c:v>357</c:v>
                </c:pt>
                <c:pt idx="84">
                  <c:v>394</c:v>
                </c:pt>
                <c:pt idx="85">
                  <c:v>#N/A</c:v>
                </c:pt>
                <c:pt idx="86">
                  <c:v>#N/A</c:v>
                </c:pt>
                <c:pt idx="87">
                  <c:v>#N/A</c:v>
                </c:pt>
                <c:pt idx="88">
                  <c:v>#N/A</c:v>
                </c:pt>
                <c:pt idx="89">
                  <c:v>441</c:v>
                </c:pt>
                <c:pt idx="90">
                  <c:v>#N/A</c:v>
                </c:pt>
                <c:pt idx="91">
                  <c:v>#N/A</c:v>
                </c:pt>
                <c:pt idx="92">
                  <c:v>#N/A</c:v>
                </c:pt>
                <c:pt idx="93">
                  <c:v>366</c:v>
                </c:pt>
                <c:pt idx="94">
                  <c:v>439</c:v>
                </c:pt>
                <c:pt idx="95">
                  <c:v>#N/A</c:v>
                </c:pt>
                <c:pt idx="96">
                  <c:v>#N/A</c:v>
                </c:pt>
                <c:pt idx="97">
                  <c:v>569</c:v>
                </c:pt>
                <c:pt idx="98">
                  <c:v>458</c:v>
                </c:pt>
                <c:pt idx="99">
                  <c:v>#N/A</c:v>
                </c:pt>
                <c:pt idx="100">
                  <c:v>#N/A</c:v>
                </c:pt>
                <c:pt idx="101">
                  <c:v>497</c:v>
                </c:pt>
                <c:pt idx="102">
                  <c:v>#N/A</c:v>
                </c:pt>
                <c:pt idx="103">
                  <c:v>#N/A</c:v>
                </c:pt>
                <c:pt idx="104">
                  <c:v>360</c:v>
                </c:pt>
                <c:pt idx="105">
                  <c:v>#N/A</c:v>
                </c:pt>
                <c:pt idx="106">
                  <c:v>#N/A</c:v>
                </c:pt>
                <c:pt idx="107">
                  <c:v>#N/A</c:v>
                </c:pt>
                <c:pt idx="108">
                  <c:v>#N/A</c:v>
                </c:pt>
                <c:pt idx="109">
                  <c:v>#N/A</c:v>
                </c:pt>
                <c:pt idx="110">
                  <c:v>#N/A</c:v>
                </c:pt>
                <c:pt idx="111">
                  <c:v>#N/A</c:v>
                </c:pt>
                <c:pt idx="112">
                  <c:v>#N/A</c:v>
                </c:pt>
                <c:pt idx="113">
                  <c:v>#N/A</c:v>
                </c:pt>
                <c:pt idx="114">
                  <c:v>477</c:v>
                </c:pt>
                <c:pt idx="115">
                  <c:v>458</c:v>
                </c:pt>
                <c:pt idx="116">
                  <c:v>#N/A</c:v>
                </c:pt>
                <c:pt idx="117">
                  <c:v>#N/A</c:v>
                </c:pt>
                <c:pt idx="118">
                  <c:v>#N/A</c:v>
                </c:pt>
                <c:pt idx="119">
                  <c:v>#N/A</c:v>
                </c:pt>
                <c:pt idx="120">
                  <c:v>#N/A</c:v>
                </c:pt>
                <c:pt idx="121">
                  <c:v>349</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605</c:v>
                </c:pt>
                <c:pt idx="136">
                  <c:v>#N/A</c:v>
                </c:pt>
                <c:pt idx="137">
                  <c:v>382</c:v>
                </c:pt>
                <c:pt idx="138">
                  <c:v>507</c:v>
                </c:pt>
                <c:pt idx="139">
                  <c:v>#N/A</c:v>
                </c:pt>
                <c:pt idx="140">
                  <c:v>#N/A</c:v>
                </c:pt>
                <c:pt idx="141">
                  <c:v>#N/A</c:v>
                </c:pt>
                <c:pt idx="142">
                  <c:v>#N/A</c:v>
                </c:pt>
                <c:pt idx="143">
                  <c:v>258</c:v>
                </c:pt>
                <c:pt idx="144">
                  <c:v>#N/A</c:v>
                </c:pt>
                <c:pt idx="145">
                  <c:v>#N/A</c:v>
                </c:pt>
                <c:pt idx="146">
                  <c:v>#N/A</c:v>
                </c:pt>
                <c:pt idx="147">
                  <c:v>#N/A</c:v>
                </c:pt>
                <c:pt idx="148">
                  <c:v>#N/A</c:v>
                </c:pt>
                <c:pt idx="149">
                  <c:v>#N/A</c:v>
                </c:pt>
                <c:pt idx="150">
                  <c:v>#N/A</c:v>
                </c:pt>
                <c:pt idx="151">
                  <c:v>319</c:v>
                </c:pt>
                <c:pt idx="152">
                  <c:v>#N/A</c:v>
                </c:pt>
                <c:pt idx="153">
                  <c:v>#N/A</c:v>
                </c:pt>
                <c:pt idx="154">
                  <c:v>503</c:v>
                </c:pt>
                <c:pt idx="155">
                  <c:v>#N/A</c:v>
                </c:pt>
                <c:pt idx="156">
                  <c:v>363</c:v>
                </c:pt>
                <c:pt idx="157">
                  <c:v>#N/A</c:v>
                </c:pt>
                <c:pt idx="158">
                  <c:v>#N/A</c:v>
                </c:pt>
                <c:pt idx="159">
                  <c:v>#N/A</c:v>
                </c:pt>
                <c:pt idx="160">
                  <c:v>#N/A</c:v>
                </c:pt>
                <c:pt idx="161">
                  <c:v>551</c:v>
                </c:pt>
                <c:pt idx="162">
                  <c:v>306</c:v>
                </c:pt>
                <c:pt idx="163">
                  <c:v>#N/A</c:v>
                </c:pt>
                <c:pt idx="164">
                  <c:v>305</c:v>
                </c:pt>
                <c:pt idx="165">
                  <c:v>#N/A</c:v>
                </c:pt>
                <c:pt idx="166">
                  <c:v>#N/A</c:v>
                </c:pt>
                <c:pt idx="167">
                  <c:v>426</c:v>
                </c:pt>
                <c:pt idx="168">
                  <c:v>389</c:v>
                </c:pt>
                <c:pt idx="169">
                  <c:v>#N/A</c:v>
                </c:pt>
                <c:pt idx="170">
                  <c:v>321</c:v>
                </c:pt>
                <c:pt idx="171">
                  <c:v>#N/A</c:v>
                </c:pt>
                <c:pt idx="172">
                  <c:v>#N/A</c:v>
                </c:pt>
                <c:pt idx="173">
                  <c:v>442</c:v>
                </c:pt>
                <c:pt idx="174">
                  <c:v>#N/A</c:v>
                </c:pt>
                <c:pt idx="175">
                  <c:v>#N/A</c:v>
                </c:pt>
                <c:pt idx="176">
                  <c:v>#N/A</c:v>
                </c:pt>
                <c:pt idx="177">
                  <c:v>#N/A</c:v>
                </c:pt>
                <c:pt idx="178">
                  <c:v>#N/A</c:v>
                </c:pt>
                <c:pt idx="179">
                  <c:v>#N/A</c:v>
                </c:pt>
                <c:pt idx="180">
                  <c:v>#N/A</c:v>
                </c:pt>
                <c:pt idx="181">
                  <c:v>418</c:v>
                </c:pt>
                <c:pt idx="182">
                  <c:v>#N/A</c:v>
                </c:pt>
                <c:pt idx="183">
                  <c:v>#N/A</c:v>
                </c:pt>
                <c:pt idx="184">
                  <c:v>#N/A</c:v>
                </c:pt>
                <c:pt idx="185">
                  <c:v>#N/A</c:v>
                </c:pt>
                <c:pt idx="186">
                  <c:v>485</c:v>
                </c:pt>
                <c:pt idx="187">
                  <c:v>#N/A</c:v>
                </c:pt>
                <c:pt idx="188">
                  <c:v>#N/A</c:v>
                </c:pt>
                <c:pt idx="189">
                  <c:v>#N/A</c:v>
                </c:pt>
                <c:pt idx="190">
                  <c:v>#N/A</c:v>
                </c:pt>
                <c:pt idx="191">
                  <c:v>#N/A</c:v>
                </c:pt>
                <c:pt idx="192">
                  <c:v>587</c:v>
                </c:pt>
                <c:pt idx="193">
                  <c:v>#N/A</c:v>
                </c:pt>
                <c:pt idx="194">
                  <c:v>#N/A</c:v>
                </c:pt>
                <c:pt idx="195">
                  <c:v>419</c:v>
                </c:pt>
                <c:pt idx="196">
                  <c:v>#N/A</c:v>
                </c:pt>
                <c:pt idx="197">
                  <c:v>498</c:v>
                </c:pt>
                <c:pt idx="198">
                  <c:v>#N/A</c:v>
                </c:pt>
                <c:pt idx="199">
                  <c:v>#N/A</c:v>
                </c:pt>
                <c:pt idx="200">
                  <c:v>#N/A</c:v>
                </c:pt>
                <c:pt idx="201">
                  <c:v>440</c:v>
                </c:pt>
                <c:pt idx="202">
                  <c:v>#N/A</c:v>
                </c:pt>
                <c:pt idx="203">
                  <c:v>382</c:v>
                </c:pt>
                <c:pt idx="204">
                  <c:v>439</c:v>
                </c:pt>
                <c:pt idx="205">
                  <c:v>#N/A</c:v>
                </c:pt>
                <c:pt idx="206">
                  <c:v>#N/A</c:v>
                </c:pt>
                <c:pt idx="207">
                  <c:v>#N/A</c:v>
                </c:pt>
                <c:pt idx="208">
                  <c:v>#N/A</c:v>
                </c:pt>
                <c:pt idx="209">
                  <c:v>489</c:v>
                </c:pt>
                <c:pt idx="210">
                  <c:v>#N/A</c:v>
                </c:pt>
                <c:pt idx="211">
                  <c:v>#N/A</c:v>
                </c:pt>
                <c:pt idx="212">
                  <c:v>397</c:v>
                </c:pt>
                <c:pt idx="213">
                  <c:v>#N/A</c:v>
                </c:pt>
                <c:pt idx="214">
                  <c:v>#N/A</c:v>
                </c:pt>
                <c:pt idx="215">
                  <c:v>#N/A</c:v>
                </c:pt>
                <c:pt idx="216">
                  <c:v>452</c:v>
                </c:pt>
                <c:pt idx="217">
                  <c:v>#N/A</c:v>
                </c:pt>
                <c:pt idx="218">
                  <c:v>#N/A</c:v>
                </c:pt>
                <c:pt idx="219">
                  <c:v>422</c:v>
                </c:pt>
                <c:pt idx="220">
                  <c:v>460</c:v>
                </c:pt>
                <c:pt idx="221">
                  <c:v>#N/A</c:v>
                </c:pt>
                <c:pt idx="222">
                  <c:v>#N/A</c:v>
                </c:pt>
                <c:pt idx="223">
                  <c:v>#N/A</c:v>
                </c:pt>
                <c:pt idx="224">
                  <c:v>355</c:v>
                </c:pt>
                <c:pt idx="225">
                  <c:v>250</c:v>
                </c:pt>
                <c:pt idx="226">
                  <c:v>#N/A</c:v>
                </c:pt>
                <c:pt idx="227">
                  <c:v>447</c:v>
                </c:pt>
                <c:pt idx="228">
                  <c:v>#N/A</c:v>
                </c:pt>
                <c:pt idx="229">
                  <c:v>348</c:v>
                </c:pt>
                <c:pt idx="230">
                  <c:v>#N/A</c:v>
                </c:pt>
                <c:pt idx="231">
                  <c:v>#N/A</c:v>
                </c:pt>
                <c:pt idx="232">
                  <c:v>#N/A</c:v>
                </c:pt>
                <c:pt idx="233">
                  <c:v>#N/A</c:v>
                </c:pt>
                <c:pt idx="234">
                  <c:v>382</c:v>
                </c:pt>
                <c:pt idx="235">
                  <c:v>283</c:v>
                </c:pt>
                <c:pt idx="236">
                  <c:v>#N/A</c:v>
                </c:pt>
                <c:pt idx="237">
                  <c:v>#N/A</c:v>
                </c:pt>
                <c:pt idx="238">
                  <c:v>519</c:v>
                </c:pt>
                <c:pt idx="239">
                  <c:v>#N/A</c:v>
                </c:pt>
                <c:pt idx="240">
                  <c:v>#N/A</c:v>
                </c:pt>
                <c:pt idx="241">
                  <c:v>384</c:v>
                </c:pt>
                <c:pt idx="242">
                  <c:v>#N/A</c:v>
                </c:pt>
                <c:pt idx="243">
                  <c:v>430</c:v>
                </c:pt>
                <c:pt idx="244">
                  <c:v>461</c:v>
                </c:pt>
                <c:pt idx="245">
                  <c:v>#N/A</c:v>
                </c:pt>
                <c:pt idx="246">
                  <c:v>#N/A</c:v>
                </c:pt>
                <c:pt idx="247">
                  <c:v>#N/A</c:v>
                </c:pt>
                <c:pt idx="248">
                  <c:v>#N/A</c:v>
                </c:pt>
                <c:pt idx="249">
                  <c:v>#N/A</c:v>
                </c:pt>
                <c:pt idx="250">
                  <c:v>#N/A</c:v>
                </c:pt>
                <c:pt idx="251">
                  <c:v>472</c:v>
                </c:pt>
                <c:pt idx="252">
                  <c:v>#N/A</c:v>
                </c:pt>
                <c:pt idx="253">
                  <c:v>505</c:v>
                </c:pt>
                <c:pt idx="254">
                  <c:v>279</c:v>
                </c:pt>
                <c:pt idx="255">
                  <c:v>398</c:v>
                </c:pt>
                <c:pt idx="256">
                  <c:v>477</c:v>
                </c:pt>
                <c:pt idx="257">
                  <c:v>550</c:v>
                </c:pt>
                <c:pt idx="258">
                  <c:v>310</c:v>
                </c:pt>
                <c:pt idx="259">
                  <c:v>#N/A</c:v>
                </c:pt>
                <c:pt idx="260">
                  <c:v>#N/A</c:v>
                </c:pt>
                <c:pt idx="261">
                  <c:v>#N/A</c:v>
                </c:pt>
                <c:pt idx="262">
                  <c:v>#N/A</c:v>
                </c:pt>
                <c:pt idx="263">
                  <c:v>#N/A</c:v>
                </c:pt>
                <c:pt idx="264">
                  <c:v>#N/A</c:v>
                </c:pt>
                <c:pt idx="265">
                  <c:v>415</c:v>
                </c:pt>
                <c:pt idx="266">
                  <c:v>#N/A</c:v>
                </c:pt>
                <c:pt idx="267">
                  <c:v>#N/A</c:v>
                </c:pt>
                <c:pt idx="268">
                  <c:v>357</c:v>
                </c:pt>
                <c:pt idx="269">
                  <c:v>#N/A</c:v>
                </c:pt>
                <c:pt idx="270">
                  <c:v>#N/A</c:v>
                </c:pt>
                <c:pt idx="271">
                  <c:v>577</c:v>
                </c:pt>
                <c:pt idx="272">
                  <c:v>#N/A</c:v>
                </c:pt>
                <c:pt idx="273">
                  <c:v>#N/A</c:v>
                </c:pt>
                <c:pt idx="274">
                  <c:v>#N/A</c:v>
                </c:pt>
                <c:pt idx="275">
                  <c:v>#N/A</c:v>
                </c:pt>
                <c:pt idx="276">
                  <c:v>#N/A</c:v>
                </c:pt>
                <c:pt idx="277">
                  <c:v>#N/A</c:v>
                </c:pt>
                <c:pt idx="278">
                  <c:v>374</c:v>
                </c:pt>
                <c:pt idx="279">
                  <c:v>#N/A</c:v>
                </c:pt>
                <c:pt idx="280">
                  <c:v>#N/A</c:v>
                </c:pt>
                <c:pt idx="281">
                  <c:v>466</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308</c:v>
                </c:pt>
                <c:pt idx="298">
                  <c:v>#N/A</c:v>
                </c:pt>
                <c:pt idx="299">
                  <c:v>#N/A</c:v>
                </c:pt>
                <c:pt idx="300">
                  <c:v>381</c:v>
                </c:pt>
                <c:pt idx="301">
                  <c:v>#N/A</c:v>
                </c:pt>
                <c:pt idx="302">
                  <c:v>#N/A</c:v>
                </c:pt>
                <c:pt idx="303">
                  <c:v>#N/A</c:v>
                </c:pt>
                <c:pt idx="304">
                  <c:v>#N/A</c:v>
                </c:pt>
                <c:pt idx="305">
                  <c:v>374</c:v>
                </c:pt>
                <c:pt idx="306">
                  <c:v>#N/A</c:v>
                </c:pt>
                <c:pt idx="307">
                  <c:v>428</c:v>
                </c:pt>
                <c:pt idx="308">
                  <c:v>#N/A</c:v>
                </c:pt>
                <c:pt idx="309">
                  <c:v>#N/A</c:v>
                </c:pt>
                <c:pt idx="310">
                  <c:v>#N/A</c:v>
                </c:pt>
                <c:pt idx="311">
                  <c:v>#N/A</c:v>
                </c:pt>
                <c:pt idx="312">
                  <c:v>424</c:v>
                </c:pt>
                <c:pt idx="313">
                  <c:v>471</c:v>
                </c:pt>
                <c:pt idx="314">
                  <c:v>#N/A</c:v>
                </c:pt>
                <c:pt idx="315">
                  <c:v>#N/A</c:v>
                </c:pt>
                <c:pt idx="316">
                  <c:v>#N/A</c:v>
                </c:pt>
                <c:pt idx="317">
                  <c:v>501</c:v>
                </c:pt>
                <c:pt idx="318">
                  <c:v>#N/A</c:v>
                </c:pt>
                <c:pt idx="319">
                  <c:v>#N/A</c:v>
                </c:pt>
                <c:pt idx="320">
                  <c:v>#N/A</c:v>
                </c:pt>
                <c:pt idx="321">
                  <c:v>#N/A</c:v>
                </c:pt>
                <c:pt idx="322">
                  <c:v>404</c:v>
                </c:pt>
                <c:pt idx="323">
                  <c:v>#N/A</c:v>
                </c:pt>
                <c:pt idx="324">
                  <c:v>372</c:v>
                </c:pt>
                <c:pt idx="325">
                  <c:v>#N/A</c:v>
                </c:pt>
                <c:pt idx="326">
                  <c:v>#N/A</c:v>
                </c:pt>
                <c:pt idx="327">
                  <c:v>447</c:v>
                </c:pt>
                <c:pt idx="328">
                  <c:v>#N/A</c:v>
                </c:pt>
                <c:pt idx="329">
                  <c:v>#N/A</c:v>
                </c:pt>
                <c:pt idx="330">
                  <c:v>#N/A</c:v>
                </c:pt>
                <c:pt idx="331">
                  <c:v>490</c:v>
                </c:pt>
                <c:pt idx="332">
                  <c:v>#N/A</c:v>
                </c:pt>
                <c:pt idx="333">
                  <c:v>#N/A</c:v>
                </c:pt>
                <c:pt idx="334">
                  <c:v>#N/A</c:v>
                </c:pt>
                <c:pt idx="335">
                  <c:v>#N/A</c:v>
                </c:pt>
                <c:pt idx="336">
                  <c:v>#N/A</c:v>
                </c:pt>
                <c:pt idx="337">
                  <c:v>#N/A</c:v>
                </c:pt>
                <c:pt idx="338">
                  <c:v>243</c:v>
                </c:pt>
                <c:pt idx="339">
                  <c:v>#N/A</c:v>
                </c:pt>
                <c:pt idx="340">
                  <c:v>512</c:v>
                </c:pt>
                <c:pt idx="341">
                  <c:v>471</c:v>
                </c:pt>
                <c:pt idx="342">
                  <c:v>602</c:v>
                </c:pt>
                <c:pt idx="343">
                  <c:v>#N/A</c:v>
                </c:pt>
                <c:pt idx="344">
                  <c:v>352</c:v>
                </c:pt>
                <c:pt idx="345">
                  <c:v>426</c:v>
                </c:pt>
                <c:pt idx="346">
                  <c:v>#N/A</c:v>
                </c:pt>
                <c:pt idx="347">
                  <c:v>503</c:v>
                </c:pt>
                <c:pt idx="348">
                  <c:v>#N/A</c:v>
                </c:pt>
                <c:pt idx="349">
                  <c:v>#N/A</c:v>
                </c:pt>
                <c:pt idx="350">
                  <c:v>#N/A</c:v>
                </c:pt>
                <c:pt idx="351">
                  <c:v>#N/A</c:v>
                </c:pt>
                <c:pt idx="352">
                  <c:v>#N/A</c:v>
                </c:pt>
                <c:pt idx="353">
                  <c:v>453</c:v>
                </c:pt>
                <c:pt idx="354">
                  <c:v>#N/A</c:v>
                </c:pt>
                <c:pt idx="355">
                  <c:v>#N/A</c:v>
                </c:pt>
                <c:pt idx="356">
                  <c:v>540</c:v>
                </c:pt>
                <c:pt idx="357">
                  <c:v>#N/A</c:v>
                </c:pt>
                <c:pt idx="358">
                  <c:v>330</c:v>
                </c:pt>
                <c:pt idx="359">
                  <c:v>#N/A</c:v>
                </c:pt>
                <c:pt idx="360">
                  <c:v>478</c:v>
                </c:pt>
                <c:pt idx="361">
                  <c:v>#N/A</c:v>
                </c:pt>
                <c:pt idx="362">
                  <c:v>#N/A</c:v>
                </c:pt>
                <c:pt idx="363">
                  <c:v>#N/A</c:v>
                </c:pt>
                <c:pt idx="364">
                  <c:v>#N/A</c:v>
                </c:pt>
                <c:pt idx="365">
                  <c:v>#N/A</c:v>
                </c:pt>
                <c:pt idx="366">
                  <c:v>#N/A</c:v>
                </c:pt>
                <c:pt idx="367">
                  <c:v>#N/A</c:v>
                </c:pt>
                <c:pt idx="368">
                  <c:v>#N/A</c:v>
                </c:pt>
                <c:pt idx="369">
                  <c:v>#N/A</c:v>
                </c:pt>
                <c:pt idx="370">
                  <c:v>386</c:v>
                </c:pt>
                <c:pt idx="371">
                  <c:v>#N/A</c:v>
                </c:pt>
                <c:pt idx="372">
                  <c:v>#N/A</c:v>
                </c:pt>
                <c:pt idx="373">
                  <c:v>#N/A</c:v>
                </c:pt>
                <c:pt idx="374">
                  <c:v>#N/A</c:v>
                </c:pt>
                <c:pt idx="375">
                  <c:v>#N/A</c:v>
                </c:pt>
                <c:pt idx="376">
                  <c:v>300</c:v>
                </c:pt>
                <c:pt idx="377">
                  <c:v>#N/A</c:v>
                </c:pt>
                <c:pt idx="378">
                  <c:v>416</c:v>
                </c:pt>
                <c:pt idx="379">
                  <c:v>#N/A</c:v>
                </c:pt>
                <c:pt idx="380">
                  <c:v>#N/A</c:v>
                </c:pt>
                <c:pt idx="381">
                  <c:v>398</c:v>
                </c:pt>
                <c:pt idx="382">
                  <c:v>#N/A</c:v>
                </c:pt>
                <c:pt idx="383">
                  <c:v>#N/A</c:v>
                </c:pt>
                <c:pt idx="384">
                  <c:v>#N/A</c:v>
                </c:pt>
                <c:pt idx="385">
                  <c:v>436</c:v>
                </c:pt>
                <c:pt idx="386">
                  <c:v>#N/A</c:v>
                </c:pt>
                <c:pt idx="387">
                  <c:v>417</c:v>
                </c:pt>
                <c:pt idx="388">
                  <c:v>377</c:v>
                </c:pt>
                <c:pt idx="389">
                  <c:v>#N/A</c:v>
                </c:pt>
                <c:pt idx="390">
                  <c:v>#N/A</c:v>
                </c:pt>
                <c:pt idx="391">
                  <c:v>520</c:v>
                </c:pt>
                <c:pt idx="392">
                  <c:v>#N/A</c:v>
                </c:pt>
                <c:pt idx="393">
                  <c:v>307</c:v>
                </c:pt>
                <c:pt idx="394">
                  <c:v>#N/A</c:v>
                </c:pt>
                <c:pt idx="395">
                  <c:v>#N/A</c:v>
                </c:pt>
                <c:pt idx="396">
                  <c:v>#N/A</c:v>
                </c:pt>
                <c:pt idx="397">
                  <c:v>#N/A</c:v>
                </c:pt>
                <c:pt idx="398">
                  <c:v>330</c:v>
                </c:pt>
                <c:pt idx="399">
                  <c:v>378</c:v>
                </c:pt>
                <c:pt idx="400">
                  <c:v>#N/A</c:v>
                </c:pt>
                <c:pt idx="401">
                  <c:v>#N/A</c:v>
                </c:pt>
                <c:pt idx="402">
                  <c:v>#N/A</c:v>
                </c:pt>
                <c:pt idx="403">
                  <c:v>#N/A</c:v>
                </c:pt>
                <c:pt idx="404">
                  <c:v>#N/A</c:v>
                </c:pt>
                <c:pt idx="405">
                  <c:v>#N/A</c:v>
                </c:pt>
                <c:pt idx="406">
                  <c:v>#N/A</c:v>
                </c:pt>
                <c:pt idx="407">
                  <c:v>#N/A</c:v>
                </c:pt>
                <c:pt idx="408">
                  <c:v>320</c:v>
                </c:pt>
                <c:pt idx="409">
                  <c:v>378</c:v>
                </c:pt>
                <c:pt idx="410">
                  <c:v>504</c:v>
                </c:pt>
                <c:pt idx="411">
                  <c:v>#N/A</c:v>
                </c:pt>
                <c:pt idx="412">
                  <c:v>#N/A</c:v>
                </c:pt>
                <c:pt idx="413">
                  <c:v>#N/A</c:v>
                </c:pt>
                <c:pt idx="414">
                  <c:v>556</c:v>
                </c:pt>
                <c:pt idx="415">
                  <c:v>#N/A</c:v>
                </c:pt>
                <c:pt idx="416">
                  <c:v>#N/A</c:v>
                </c:pt>
                <c:pt idx="417">
                  <c:v>429</c:v>
                </c:pt>
                <c:pt idx="418">
                  <c:v>#N/A</c:v>
                </c:pt>
                <c:pt idx="419">
                  <c:v>#N/A</c:v>
                </c:pt>
                <c:pt idx="420">
                  <c:v>#N/A</c:v>
                </c:pt>
                <c:pt idx="421">
                  <c:v>#N/A</c:v>
                </c:pt>
                <c:pt idx="422">
                  <c:v>#N/A</c:v>
                </c:pt>
                <c:pt idx="423">
                  <c:v>#N/A</c:v>
                </c:pt>
                <c:pt idx="424">
                  <c:v>#N/A</c:v>
                </c:pt>
                <c:pt idx="425">
                  <c:v>#N/A</c:v>
                </c:pt>
                <c:pt idx="426">
                  <c:v>342</c:v>
                </c:pt>
                <c:pt idx="427">
                  <c:v>#N/A</c:v>
                </c:pt>
                <c:pt idx="428">
                  <c:v>#N/A</c:v>
                </c:pt>
                <c:pt idx="429">
                  <c:v>#N/A</c:v>
                </c:pt>
                <c:pt idx="430">
                  <c:v>#N/A</c:v>
                </c:pt>
                <c:pt idx="431">
                  <c:v>#N/A</c:v>
                </c:pt>
                <c:pt idx="432">
                  <c:v>318</c:v>
                </c:pt>
                <c:pt idx="433">
                  <c:v>#N/A</c:v>
                </c:pt>
                <c:pt idx="434">
                  <c:v>362</c:v>
                </c:pt>
                <c:pt idx="435">
                  <c:v>#N/A</c:v>
                </c:pt>
                <c:pt idx="436">
                  <c:v>307</c:v>
                </c:pt>
                <c:pt idx="437">
                  <c:v>#N/A</c:v>
                </c:pt>
                <c:pt idx="438">
                  <c:v>504</c:v>
                </c:pt>
                <c:pt idx="439">
                  <c:v>#N/A</c:v>
                </c:pt>
                <c:pt idx="440">
                  <c:v>#N/A</c:v>
                </c:pt>
                <c:pt idx="441">
                  <c:v>374</c:v>
                </c:pt>
                <c:pt idx="442">
                  <c:v>#N/A</c:v>
                </c:pt>
                <c:pt idx="443">
                  <c:v>#N/A</c:v>
                </c:pt>
                <c:pt idx="444">
                  <c:v>#N/A</c:v>
                </c:pt>
                <c:pt idx="445">
                  <c:v>417</c:v>
                </c:pt>
                <c:pt idx="446">
                  <c:v>562</c:v>
                </c:pt>
                <c:pt idx="447">
                  <c:v>#N/A</c:v>
                </c:pt>
                <c:pt idx="448">
                  <c:v>#N/A</c:v>
                </c:pt>
                <c:pt idx="449">
                  <c:v>#N/A</c:v>
                </c:pt>
                <c:pt idx="450">
                  <c:v>#N/A</c:v>
                </c:pt>
                <c:pt idx="451">
                  <c:v>#N/A</c:v>
                </c:pt>
                <c:pt idx="452">
                  <c:v>470</c:v>
                </c:pt>
                <c:pt idx="453">
                  <c:v>#N/A</c:v>
                </c:pt>
                <c:pt idx="454">
                  <c:v>#N/A</c:v>
                </c:pt>
                <c:pt idx="455">
                  <c:v>#N/A</c:v>
                </c:pt>
                <c:pt idx="456">
                  <c:v>#N/A</c:v>
                </c:pt>
                <c:pt idx="457">
                  <c:v>#N/A</c:v>
                </c:pt>
                <c:pt idx="458">
                  <c:v>#N/A</c:v>
                </c:pt>
                <c:pt idx="459">
                  <c:v>#N/A</c:v>
                </c:pt>
                <c:pt idx="460">
                  <c:v>504</c:v>
                </c:pt>
                <c:pt idx="461">
                  <c:v>#N/A</c:v>
                </c:pt>
                <c:pt idx="462">
                  <c:v>475</c:v>
                </c:pt>
                <c:pt idx="463">
                  <c:v>495</c:v>
                </c:pt>
                <c:pt idx="464">
                  <c:v>#N/A</c:v>
                </c:pt>
                <c:pt idx="465">
                  <c:v>#N/A</c:v>
                </c:pt>
                <c:pt idx="466">
                  <c:v>#N/A</c:v>
                </c:pt>
                <c:pt idx="467">
                  <c:v>#N/A</c:v>
                </c:pt>
                <c:pt idx="468">
                  <c:v>348</c:v>
                </c:pt>
                <c:pt idx="469">
                  <c:v>#N/A</c:v>
                </c:pt>
                <c:pt idx="470">
                  <c:v>#N/A</c:v>
                </c:pt>
                <c:pt idx="471">
                  <c:v>#N/A</c:v>
                </c:pt>
                <c:pt idx="472">
                  <c:v>#N/A</c:v>
                </c:pt>
                <c:pt idx="473">
                  <c:v>#N/A</c:v>
                </c:pt>
                <c:pt idx="474">
                  <c:v>505</c:v>
                </c:pt>
                <c:pt idx="475">
                  <c:v>379</c:v>
                </c:pt>
                <c:pt idx="476">
                  <c:v>#N/A</c:v>
                </c:pt>
                <c:pt idx="477">
                  <c:v>384</c:v>
                </c:pt>
                <c:pt idx="478">
                  <c:v>#N/A</c:v>
                </c:pt>
                <c:pt idx="479">
                  <c:v>#N/A</c:v>
                </c:pt>
                <c:pt idx="480">
                  <c:v>#N/A</c:v>
                </c:pt>
                <c:pt idx="481">
                  <c:v>#N/A</c:v>
                </c:pt>
                <c:pt idx="482">
                  <c:v>#N/A</c:v>
                </c:pt>
                <c:pt idx="483">
                  <c:v>417</c:v>
                </c:pt>
                <c:pt idx="484">
                  <c:v>439</c:v>
                </c:pt>
                <c:pt idx="485">
                  <c:v>#N/A</c:v>
                </c:pt>
                <c:pt idx="486">
                  <c:v>403</c:v>
                </c:pt>
                <c:pt idx="487">
                  <c:v>#N/A</c:v>
                </c:pt>
                <c:pt idx="488">
                  <c:v>451</c:v>
                </c:pt>
                <c:pt idx="489">
                  <c:v>#N/A</c:v>
                </c:pt>
                <c:pt idx="490">
                  <c:v>#N/A</c:v>
                </c:pt>
                <c:pt idx="491">
                  <c:v>369</c:v>
                </c:pt>
                <c:pt idx="492">
                  <c:v>#N/A</c:v>
                </c:pt>
                <c:pt idx="493">
                  <c:v>369</c:v>
                </c:pt>
                <c:pt idx="494">
                  <c:v>#N/A</c:v>
                </c:pt>
                <c:pt idx="495">
                  <c:v>#N/A</c:v>
                </c:pt>
                <c:pt idx="496">
                  <c:v>#N/A</c:v>
                </c:pt>
                <c:pt idx="497">
                  <c:v>376</c:v>
                </c:pt>
                <c:pt idx="498">
                  <c:v>471</c:v>
                </c:pt>
                <c:pt idx="499">
                  <c:v>#N/A</c:v>
                </c:pt>
                <c:pt idx="500">
                  <c:v>564</c:v>
                </c:pt>
                <c:pt idx="501">
                  <c:v>#N/A</c:v>
                </c:pt>
                <c:pt idx="502">
                  <c:v>#N/A</c:v>
                </c:pt>
                <c:pt idx="503">
                  <c:v>#N/A</c:v>
                </c:pt>
                <c:pt idx="504">
                  <c:v>#N/A</c:v>
                </c:pt>
                <c:pt idx="505">
                  <c:v>#N/A</c:v>
                </c:pt>
                <c:pt idx="506">
                  <c:v>#N/A</c:v>
                </c:pt>
                <c:pt idx="507">
                  <c:v>#N/A</c:v>
                </c:pt>
                <c:pt idx="508">
                  <c:v>564</c:v>
                </c:pt>
                <c:pt idx="509">
                  <c:v>#N/A</c:v>
                </c:pt>
                <c:pt idx="510">
                  <c:v>#N/A</c:v>
                </c:pt>
                <c:pt idx="511">
                  <c:v>#N/A</c:v>
                </c:pt>
                <c:pt idx="512">
                  <c:v>#N/A</c:v>
                </c:pt>
                <c:pt idx="513">
                  <c:v>#N/A</c:v>
                </c:pt>
                <c:pt idx="514">
                  <c:v>#N/A</c:v>
                </c:pt>
                <c:pt idx="515">
                  <c:v>#N/A</c:v>
                </c:pt>
                <c:pt idx="516">
                  <c:v>509</c:v>
                </c:pt>
                <c:pt idx="517">
                  <c:v>#N/A</c:v>
                </c:pt>
                <c:pt idx="518">
                  <c:v>#N/A</c:v>
                </c:pt>
                <c:pt idx="519">
                  <c:v>#N/A</c:v>
                </c:pt>
                <c:pt idx="520">
                  <c:v>#N/A</c:v>
                </c:pt>
                <c:pt idx="521">
                  <c:v>#N/A</c:v>
                </c:pt>
                <c:pt idx="522">
                  <c:v>#N/A</c:v>
                </c:pt>
                <c:pt idx="523">
                  <c:v>#N/A</c:v>
                </c:pt>
                <c:pt idx="524">
                  <c:v>#N/A</c:v>
                </c:pt>
                <c:pt idx="525">
                  <c:v>435</c:v>
                </c:pt>
                <c:pt idx="526">
                  <c:v>#N/A</c:v>
                </c:pt>
                <c:pt idx="527">
                  <c:v>#N/A</c:v>
                </c:pt>
                <c:pt idx="528">
                  <c:v>593</c:v>
                </c:pt>
                <c:pt idx="529">
                  <c:v>#N/A</c:v>
                </c:pt>
                <c:pt idx="530">
                  <c:v>546</c:v>
                </c:pt>
                <c:pt idx="531">
                  <c:v>#N/A</c:v>
                </c:pt>
                <c:pt idx="532">
                  <c:v>#N/A</c:v>
                </c:pt>
                <c:pt idx="533">
                  <c:v>#N/A</c:v>
                </c:pt>
                <c:pt idx="534">
                  <c:v>#N/A</c:v>
                </c:pt>
                <c:pt idx="535">
                  <c:v>#N/A</c:v>
                </c:pt>
                <c:pt idx="536">
                  <c:v>364</c:v>
                </c:pt>
                <c:pt idx="537">
                  <c:v>375</c:v>
                </c:pt>
                <c:pt idx="538">
                  <c:v>#N/A</c:v>
                </c:pt>
                <c:pt idx="539">
                  <c:v>#N/A</c:v>
                </c:pt>
                <c:pt idx="540">
                  <c:v>#N/A</c:v>
                </c:pt>
                <c:pt idx="541">
                  <c:v>#N/A</c:v>
                </c:pt>
                <c:pt idx="542">
                  <c:v>244</c:v>
                </c:pt>
                <c:pt idx="543">
                  <c:v>#N/A</c:v>
                </c:pt>
                <c:pt idx="544">
                  <c:v>477</c:v>
                </c:pt>
                <c:pt idx="545">
                  <c:v>#N/A</c:v>
                </c:pt>
                <c:pt idx="546">
                  <c:v>#N/A</c:v>
                </c:pt>
                <c:pt idx="547">
                  <c:v>#N/A</c:v>
                </c:pt>
                <c:pt idx="548">
                  <c:v>#N/A</c:v>
                </c:pt>
                <c:pt idx="549">
                  <c:v>#N/A</c:v>
                </c:pt>
                <c:pt idx="550">
                  <c:v>#N/A</c:v>
                </c:pt>
                <c:pt idx="551">
                  <c:v>#N/A</c:v>
                </c:pt>
                <c:pt idx="552">
                  <c:v>#N/A</c:v>
                </c:pt>
                <c:pt idx="553">
                  <c:v>#N/A</c:v>
                </c:pt>
                <c:pt idx="554">
                  <c:v>536</c:v>
                </c:pt>
                <c:pt idx="555">
                  <c:v>#N/A</c:v>
                </c:pt>
                <c:pt idx="556">
                  <c:v>#N/A</c:v>
                </c:pt>
                <c:pt idx="557">
                  <c:v>471</c:v>
                </c:pt>
                <c:pt idx="558">
                  <c:v>#N/A</c:v>
                </c:pt>
                <c:pt idx="559">
                  <c:v>#N/A</c:v>
                </c:pt>
                <c:pt idx="560">
                  <c:v>477</c:v>
                </c:pt>
                <c:pt idx="561">
                  <c:v>#N/A</c:v>
                </c:pt>
                <c:pt idx="562">
                  <c:v>#N/A</c:v>
                </c:pt>
                <c:pt idx="563">
                  <c:v>#N/A</c:v>
                </c:pt>
                <c:pt idx="564">
                  <c:v>#N/A</c:v>
                </c:pt>
                <c:pt idx="565">
                  <c:v>384</c:v>
                </c:pt>
                <c:pt idx="566">
                  <c:v>269</c:v>
                </c:pt>
                <c:pt idx="567">
                  <c:v>#N/A</c:v>
                </c:pt>
                <c:pt idx="568">
                  <c:v>#N/A</c:v>
                </c:pt>
                <c:pt idx="569">
                  <c:v>483</c:v>
                </c:pt>
                <c:pt idx="570">
                  <c:v>#N/A</c:v>
                </c:pt>
                <c:pt idx="571">
                  <c:v>#N/A</c:v>
                </c:pt>
                <c:pt idx="572">
                  <c:v>#N/A</c:v>
                </c:pt>
                <c:pt idx="573">
                  <c:v>#N/A</c:v>
                </c:pt>
                <c:pt idx="574">
                  <c:v>#N/A</c:v>
                </c:pt>
                <c:pt idx="575">
                  <c:v>402</c:v>
                </c:pt>
                <c:pt idx="576">
                  <c:v>422</c:v>
                </c:pt>
                <c:pt idx="577">
                  <c:v>#N/A</c:v>
                </c:pt>
                <c:pt idx="578">
                  <c:v>#N/A</c:v>
                </c:pt>
                <c:pt idx="579">
                  <c:v>#N/A</c:v>
                </c:pt>
                <c:pt idx="580">
                  <c:v>398</c:v>
                </c:pt>
                <c:pt idx="581">
                  <c:v>#N/A</c:v>
                </c:pt>
                <c:pt idx="582">
                  <c:v>#N/A</c:v>
                </c:pt>
                <c:pt idx="583">
                  <c:v>#N/A</c:v>
                </c:pt>
                <c:pt idx="584">
                  <c:v>#N/A</c:v>
                </c:pt>
                <c:pt idx="585">
                  <c:v>#N/A</c:v>
                </c:pt>
                <c:pt idx="586">
                  <c:v>#N/A</c:v>
                </c:pt>
                <c:pt idx="587">
                  <c:v>492</c:v>
                </c:pt>
                <c:pt idx="588">
                  <c:v>471</c:v>
                </c:pt>
                <c:pt idx="589">
                  <c:v>#N/A</c:v>
                </c:pt>
                <c:pt idx="590">
                  <c:v>#N/A</c:v>
                </c:pt>
                <c:pt idx="591">
                  <c:v>#N/A</c:v>
                </c:pt>
                <c:pt idx="592">
                  <c:v>436</c:v>
                </c:pt>
                <c:pt idx="593">
                  <c:v>368</c:v>
                </c:pt>
                <c:pt idx="594">
                  <c:v>#N/A</c:v>
                </c:pt>
                <c:pt idx="595">
                  <c:v>462</c:v>
                </c:pt>
                <c:pt idx="596">
                  <c:v>#N/A</c:v>
                </c:pt>
                <c:pt idx="597">
                  <c:v>#N/A</c:v>
                </c:pt>
                <c:pt idx="598">
                  <c:v>#N/A</c:v>
                </c:pt>
                <c:pt idx="599">
                  <c:v>#N/A</c:v>
                </c:pt>
                <c:pt idx="600">
                  <c:v>430</c:v>
                </c:pt>
                <c:pt idx="601">
                  <c:v>399</c:v>
                </c:pt>
                <c:pt idx="602">
                  <c:v>#N/A</c:v>
                </c:pt>
                <c:pt idx="603">
                  <c:v>#N/A</c:v>
                </c:pt>
                <c:pt idx="604">
                  <c:v>#N/A</c:v>
                </c:pt>
                <c:pt idx="605">
                  <c:v>438</c:v>
                </c:pt>
                <c:pt idx="606">
                  <c:v>#N/A</c:v>
                </c:pt>
                <c:pt idx="607">
                  <c:v>#N/A</c:v>
                </c:pt>
                <c:pt idx="608">
                  <c:v>417</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416</c:v>
                </c:pt>
                <c:pt idx="624">
                  <c:v>#N/A</c:v>
                </c:pt>
                <c:pt idx="625">
                  <c:v>#N/A</c:v>
                </c:pt>
                <c:pt idx="626">
                  <c:v>317</c:v>
                </c:pt>
                <c:pt idx="627">
                  <c:v>#N/A</c:v>
                </c:pt>
                <c:pt idx="628">
                  <c:v>#N/A</c:v>
                </c:pt>
                <c:pt idx="629">
                  <c:v>#N/A</c:v>
                </c:pt>
                <c:pt idx="630">
                  <c:v>392</c:v>
                </c:pt>
                <c:pt idx="631">
                  <c:v>#N/A</c:v>
                </c:pt>
                <c:pt idx="632">
                  <c:v>586</c:v>
                </c:pt>
                <c:pt idx="633">
                  <c:v>#N/A</c:v>
                </c:pt>
                <c:pt idx="634">
                  <c:v>#N/A</c:v>
                </c:pt>
                <c:pt idx="635">
                  <c:v>#N/A</c:v>
                </c:pt>
                <c:pt idx="636">
                  <c:v>#N/A</c:v>
                </c:pt>
                <c:pt idx="637">
                  <c:v>#N/A</c:v>
                </c:pt>
                <c:pt idx="638">
                  <c:v>#N/A</c:v>
                </c:pt>
                <c:pt idx="639">
                  <c:v>#N/A</c:v>
                </c:pt>
                <c:pt idx="640">
                  <c:v>#N/A</c:v>
                </c:pt>
                <c:pt idx="641">
                  <c:v>#N/A</c:v>
                </c:pt>
                <c:pt idx="642">
                  <c:v>409</c:v>
                </c:pt>
                <c:pt idx="643">
                  <c:v>#N/A</c:v>
                </c:pt>
                <c:pt idx="644">
                  <c:v>337</c:v>
                </c:pt>
                <c:pt idx="645">
                  <c:v>#N/A</c:v>
                </c:pt>
                <c:pt idx="646">
                  <c:v>573</c:v>
                </c:pt>
                <c:pt idx="647">
                  <c:v>490</c:v>
                </c:pt>
                <c:pt idx="648">
                  <c:v>#N/A</c:v>
                </c:pt>
                <c:pt idx="649">
                  <c:v>#N/A</c:v>
                </c:pt>
                <c:pt idx="650">
                  <c:v>#N/A</c:v>
                </c:pt>
                <c:pt idx="651">
                  <c:v>508</c:v>
                </c:pt>
                <c:pt idx="652">
                  <c:v>#N/A</c:v>
                </c:pt>
                <c:pt idx="653">
                  <c:v>#N/A</c:v>
                </c:pt>
                <c:pt idx="654">
                  <c:v>328</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314</c:v>
                </c:pt>
                <c:pt idx="669">
                  <c:v>#N/A</c:v>
                </c:pt>
                <c:pt idx="670">
                  <c:v>501</c:v>
                </c:pt>
                <c:pt idx="671">
                  <c:v>#N/A</c:v>
                </c:pt>
                <c:pt idx="672">
                  <c:v>#N/A</c:v>
                </c:pt>
                <c:pt idx="673">
                  <c:v>309</c:v>
                </c:pt>
                <c:pt idx="674">
                  <c:v>#N/A</c:v>
                </c:pt>
                <c:pt idx="675">
                  <c:v>#N/A</c:v>
                </c:pt>
                <c:pt idx="676">
                  <c:v>#N/A</c:v>
                </c:pt>
                <c:pt idx="677">
                  <c:v>#N/A</c:v>
                </c:pt>
                <c:pt idx="678">
                  <c:v>#N/A</c:v>
                </c:pt>
                <c:pt idx="679">
                  <c:v>#N/A</c:v>
                </c:pt>
                <c:pt idx="680">
                  <c:v>#N/A</c:v>
                </c:pt>
                <c:pt idx="681">
                  <c:v>#N/A</c:v>
                </c:pt>
                <c:pt idx="682">
                  <c:v>332</c:v>
                </c:pt>
                <c:pt idx="683">
                  <c:v>#N/A</c:v>
                </c:pt>
                <c:pt idx="684">
                  <c:v>#N/A</c:v>
                </c:pt>
                <c:pt idx="685">
                  <c:v>#N/A</c:v>
                </c:pt>
                <c:pt idx="686">
                  <c:v>#N/A</c:v>
                </c:pt>
                <c:pt idx="687">
                  <c:v>#N/A</c:v>
                </c:pt>
                <c:pt idx="688">
                  <c:v>#N/A</c:v>
                </c:pt>
                <c:pt idx="689">
                  <c:v>#N/A</c:v>
                </c:pt>
                <c:pt idx="690">
                  <c:v>#N/A</c:v>
                </c:pt>
                <c:pt idx="691">
                  <c:v>438</c:v>
                </c:pt>
                <c:pt idx="692">
                  <c:v>#N/A</c:v>
                </c:pt>
                <c:pt idx="693">
                  <c:v>#N/A</c:v>
                </c:pt>
                <c:pt idx="694">
                  <c:v>#N/A</c:v>
                </c:pt>
                <c:pt idx="695">
                  <c:v>#N/A</c:v>
                </c:pt>
                <c:pt idx="696">
                  <c:v>#N/A</c:v>
                </c:pt>
                <c:pt idx="697">
                  <c:v>320</c:v>
                </c:pt>
                <c:pt idx="698">
                  <c:v>#N/A</c:v>
                </c:pt>
                <c:pt idx="699">
                  <c:v>396</c:v>
                </c:pt>
                <c:pt idx="700">
                  <c:v>#N/A</c:v>
                </c:pt>
                <c:pt idx="701">
                  <c:v>#N/A</c:v>
                </c:pt>
                <c:pt idx="702">
                  <c:v>592</c:v>
                </c:pt>
                <c:pt idx="703">
                  <c:v>471</c:v>
                </c:pt>
                <c:pt idx="704">
                  <c:v>#N/A</c:v>
                </c:pt>
                <c:pt idx="705">
                  <c:v>424</c:v>
                </c:pt>
                <c:pt idx="706">
                  <c:v>#N/A</c:v>
                </c:pt>
                <c:pt idx="707">
                  <c:v>#N/A</c:v>
                </c:pt>
                <c:pt idx="708">
                  <c:v>#N/A</c:v>
                </c:pt>
                <c:pt idx="709">
                  <c:v>356</c:v>
                </c:pt>
                <c:pt idx="710">
                  <c:v>#N/A</c:v>
                </c:pt>
                <c:pt idx="711">
                  <c:v>466</c:v>
                </c:pt>
                <c:pt idx="712">
                  <c:v>#N/A</c:v>
                </c:pt>
                <c:pt idx="713">
                  <c:v>373</c:v>
                </c:pt>
                <c:pt idx="714">
                  <c:v>#N/A</c:v>
                </c:pt>
                <c:pt idx="715">
                  <c:v>#N/A</c:v>
                </c:pt>
                <c:pt idx="716">
                  <c:v>#N/A</c:v>
                </c:pt>
                <c:pt idx="717">
                  <c:v>439</c:v>
                </c:pt>
                <c:pt idx="718">
                  <c:v>#N/A</c:v>
                </c:pt>
                <c:pt idx="719">
                  <c:v>#N/A</c:v>
                </c:pt>
                <c:pt idx="720">
                  <c:v>450</c:v>
                </c:pt>
                <c:pt idx="721">
                  <c:v>#N/A</c:v>
                </c:pt>
                <c:pt idx="722">
                  <c:v>454</c:v>
                </c:pt>
                <c:pt idx="723">
                  <c:v>#N/A</c:v>
                </c:pt>
                <c:pt idx="724">
                  <c:v>#N/A</c:v>
                </c:pt>
                <c:pt idx="725">
                  <c:v>#N/A</c:v>
                </c:pt>
                <c:pt idx="726">
                  <c:v>#N/A</c:v>
                </c:pt>
                <c:pt idx="727">
                  <c:v>#N/A</c:v>
                </c:pt>
                <c:pt idx="728">
                  <c:v>519</c:v>
                </c:pt>
                <c:pt idx="729">
                  <c:v>#N/A</c:v>
                </c:pt>
                <c:pt idx="730">
                  <c:v>395</c:v>
                </c:pt>
                <c:pt idx="731">
                  <c:v>517</c:v>
                </c:pt>
                <c:pt idx="732">
                  <c:v>#N/A</c:v>
                </c:pt>
                <c:pt idx="733">
                  <c:v>#N/A</c:v>
                </c:pt>
                <c:pt idx="734">
                  <c:v>#N/A</c:v>
                </c:pt>
                <c:pt idx="735">
                  <c:v>#N/A</c:v>
                </c:pt>
                <c:pt idx="736">
                  <c:v>497</c:v>
                </c:pt>
                <c:pt idx="737">
                  <c:v>357</c:v>
                </c:pt>
                <c:pt idx="738">
                  <c:v>#N/A</c:v>
                </c:pt>
                <c:pt idx="739">
                  <c:v>#N/A</c:v>
                </c:pt>
                <c:pt idx="740">
                  <c:v>#N/A</c:v>
                </c:pt>
                <c:pt idx="741">
                  <c:v>451</c:v>
                </c:pt>
                <c:pt idx="742">
                  <c:v>619</c:v>
                </c:pt>
                <c:pt idx="743">
                  <c:v>#N/A</c:v>
                </c:pt>
                <c:pt idx="744">
                  <c:v>#N/A</c:v>
                </c:pt>
                <c:pt idx="745">
                  <c:v>#N/A</c:v>
                </c:pt>
                <c:pt idx="746">
                  <c:v>#N/A</c:v>
                </c:pt>
                <c:pt idx="747">
                  <c:v>#N/A</c:v>
                </c:pt>
                <c:pt idx="748">
                  <c:v>#N/A</c:v>
                </c:pt>
                <c:pt idx="749">
                  <c:v>422</c:v>
                </c:pt>
                <c:pt idx="750">
                  <c:v>#N/A</c:v>
                </c:pt>
                <c:pt idx="751">
                  <c:v>418</c:v>
                </c:pt>
                <c:pt idx="752">
                  <c:v>#N/A</c:v>
                </c:pt>
                <c:pt idx="753">
                  <c:v>#N/A</c:v>
                </c:pt>
                <c:pt idx="754">
                  <c:v>#N/A</c:v>
                </c:pt>
                <c:pt idx="755">
                  <c:v>371</c:v>
                </c:pt>
                <c:pt idx="756">
                  <c:v>#N/A</c:v>
                </c:pt>
                <c:pt idx="757">
                  <c:v>#N/A</c:v>
                </c:pt>
                <c:pt idx="758">
                  <c:v>#N/A</c:v>
                </c:pt>
                <c:pt idx="759">
                  <c:v>425</c:v>
                </c:pt>
                <c:pt idx="760">
                  <c:v>262</c:v>
                </c:pt>
                <c:pt idx="761">
                  <c:v>323</c:v>
                </c:pt>
                <c:pt idx="762">
                  <c:v>#N/A</c:v>
                </c:pt>
                <c:pt idx="763">
                  <c:v>403</c:v>
                </c:pt>
                <c:pt idx="764">
                  <c:v>#N/A</c:v>
                </c:pt>
                <c:pt idx="765">
                  <c:v>#N/A</c:v>
                </c:pt>
                <c:pt idx="766">
                  <c:v>#N/A</c:v>
                </c:pt>
                <c:pt idx="767">
                  <c:v>#N/A</c:v>
                </c:pt>
                <c:pt idx="768">
                  <c:v>#N/A</c:v>
                </c:pt>
                <c:pt idx="769">
                  <c:v>433</c:v>
                </c:pt>
                <c:pt idx="770">
                  <c:v>#N/A</c:v>
                </c:pt>
                <c:pt idx="771">
                  <c:v>496</c:v>
                </c:pt>
                <c:pt idx="772">
                  <c:v>#N/A</c:v>
                </c:pt>
                <c:pt idx="773">
                  <c:v>#N/A</c:v>
                </c:pt>
                <c:pt idx="774">
                  <c:v>#N/A</c:v>
                </c:pt>
                <c:pt idx="775">
                  <c:v>463</c:v>
                </c:pt>
                <c:pt idx="776">
                  <c:v>481</c:v>
                </c:pt>
                <c:pt idx="777">
                  <c:v>374</c:v>
                </c:pt>
                <c:pt idx="778">
                  <c:v>#N/A</c:v>
                </c:pt>
                <c:pt idx="779">
                  <c:v>376</c:v>
                </c:pt>
                <c:pt idx="780">
                  <c:v>#N/A</c:v>
                </c:pt>
                <c:pt idx="781">
                  <c:v>#N/A</c:v>
                </c:pt>
                <c:pt idx="782">
                  <c:v>#N/A</c:v>
                </c:pt>
                <c:pt idx="783">
                  <c:v>#N/A</c:v>
                </c:pt>
                <c:pt idx="784">
                  <c:v>#N/A</c:v>
                </c:pt>
                <c:pt idx="785">
                  <c:v>385</c:v>
                </c:pt>
                <c:pt idx="786">
                  <c:v>#N/A</c:v>
                </c:pt>
                <c:pt idx="787">
                  <c:v>#N/A</c:v>
                </c:pt>
                <c:pt idx="788">
                  <c:v>#N/A</c:v>
                </c:pt>
                <c:pt idx="789">
                  <c:v>#N/A</c:v>
                </c:pt>
                <c:pt idx="790">
                  <c:v>#N/A</c:v>
                </c:pt>
                <c:pt idx="791">
                  <c:v>#N/A</c:v>
                </c:pt>
                <c:pt idx="792">
                  <c:v>#N/A</c:v>
                </c:pt>
                <c:pt idx="793">
                  <c:v>#N/A</c:v>
                </c:pt>
                <c:pt idx="794">
                  <c:v>#N/A</c:v>
                </c:pt>
                <c:pt idx="795">
                  <c:v>#N/A</c:v>
                </c:pt>
                <c:pt idx="796">
                  <c:v>#N/A</c:v>
                </c:pt>
                <c:pt idx="797">
                  <c:v>457</c:v>
                </c:pt>
                <c:pt idx="798">
                  <c:v>#N/A</c:v>
                </c:pt>
                <c:pt idx="799">
                  <c:v>#N/A</c:v>
                </c:pt>
                <c:pt idx="800">
                  <c:v>435</c:v>
                </c:pt>
                <c:pt idx="801">
                  <c:v>312</c:v>
                </c:pt>
                <c:pt idx="802">
                  <c:v>#N/A</c:v>
                </c:pt>
                <c:pt idx="803">
                  <c:v>#N/A</c:v>
                </c:pt>
                <c:pt idx="804">
                  <c:v>#N/A</c:v>
                </c:pt>
                <c:pt idx="805">
                  <c:v>515</c:v>
                </c:pt>
                <c:pt idx="806">
                  <c:v>478</c:v>
                </c:pt>
                <c:pt idx="807">
                  <c:v>500</c:v>
                </c:pt>
                <c:pt idx="808">
                  <c:v>359</c:v>
                </c:pt>
                <c:pt idx="809">
                  <c:v>#N/A</c:v>
                </c:pt>
                <c:pt idx="810">
                  <c:v>#N/A</c:v>
                </c:pt>
                <c:pt idx="811">
                  <c:v>#N/A</c:v>
                </c:pt>
                <c:pt idx="812">
                  <c:v>#N/A</c:v>
                </c:pt>
                <c:pt idx="813">
                  <c:v>#N/A</c:v>
                </c:pt>
                <c:pt idx="814">
                  <c:v>#N/A</c:v>
                </c:pt>
                <c:pt idx="815">
                  <c:v>#N/A</c:v>
                </c:pt>
                <c:pt idx="816">
                  <c:v>461</c:v>
                </c:pt>
                <c:pt idx="817">
                  <c:v>391</c:v>
                </c:pt>
                <c:pt idx="818">
                  <c:v>#N/A</c:v>
                </c:pt>
                <c:pt idx="819">
                  <c:v>#N/A</c:v>
                </c:pt>
                <c:pt idx="820">
                  <c:v>263</c:v>
                </c:pt>
                <c:pt idx="821">
                  <c:v>#N/A</c:v>
                </c:pt>
                <c:pt idx="822">
                  <c:v>#N/A</c:v>
                </c:pt>
                <c:pt idx="823">
                  <c:v>#N/A</c:v>
                </c:pt>
                <c:pt idx="824">
                  <c:v>373</c:v>
                </c:pt>
                <c:pt idx="825">
                  <c:v>407</c:v>
                </c:pt>
                <c:pt idx="826">
                  <c:v>#N/A</c:v>
                </c:pt>
                <c:pt idx="827">
                  <c:v>#N/A</c:v>
                </c:pt>
                <c:pt idx="828">
                  <c:v>#N/A</c:v>
                </c:pt>
                <c:pt idx="829">
                  <c:v>#N/A</c:v>
                </c:pt>
                <c:pt idx="830">
                  <c:v>316</c:v>
                </c:pt>
                <c:pt idx="831">
                  <c:v>#N/A</c:v>
                </c:pt>
                <c:pt idx="832">
                  <c:v>#N/A</c:v>
                </c:pt>
                <c:pt idx="833">
                  <c:v>#N/A</c:v>
                </c:pt>
                <c:pt idx="834">
                  <c:v>#N/A</c:v>
                </c:pt>
                <c:pt idx="835">
                  <c:v>439</c:v>
                </c:pt>
                <c:pt idx="836">
                  <c:v>628</c:v>
                </c:pt>
                <c:pt idx="837">
                  <c:v>#N/A</c:v>
                </c:pt>
                <c:pt idx="838">
                  <c:v>#N/A</c:v>
                </c:pt>
                <c:pt idx="839">
                  <c:v>#N/A</c:v>
                </c:pt>
                <c:pt idx="840">
                  <c:v>#N/A</c:v>
                </c:pt>
                <c:pt idx="841">
                  <c:v>#N/A</c:v>
                </c:pt>
                <c:pt idx="842">
                  <c:v>352</c:v>
                </c:pt>
                <c:pt idx="843">
                  <c:v>#N/A</c:v>
                </c:pt>
                <c:pt idx="844">
                  <c:v>#N/A</c:v>
                </c:pt>
                <c:pt idx="845">
                  <c:v>#N/A</c:v>
                </c:pt>
                <c:pt idx="846">
                  <c:v>#N/A</c:v>
                </c:pt>
                <c:pt idx="847">
                  <c:v>#N/A</c:v>
                </c:pt>
                <c:pt idx="848">
                  <c:v>#N/A</c:v>
                </c:pt>
                <c:pt idx="849">
                  <c:v>#N/A</c:v>
                </c:pt>
                <c:pt idx="850">
                  <c:v>#N/A</c:v>
                </c:pt>
                <c:pt idx="851">
                  <c:v>558</c:v>
                </c:pt>
                <c:pt idx="852">
                  <c:v>#N/A</c:v>
                </c:pt>
                <c:pt idx="853">
                  <c:v>307</c:v>
                </c:pt>
                <c:pt idx="854">
                  <c:v>#N/A</c:v>
                </c:pt>
                <c:pt idx="855">
                  <c:v>#N/A</c:v>
                </c:pt>
                <c:pt idx="856">
                  <c:v>#N/A</c:v>
                </c:pt>
                <c:pt idx="857">
                  <c:v>#N/A</c:v>
                </c:pt>
                <c:pt idx="858">
                  <c:v>625</c:v>
                </c:pt>
                <c:pt idx="859">
                  <c:v>#N/A</c:v>
                </c:pt>
                <c:pt idx="860">
                  <c:v>580</c:v>
                </c:pt>
                <c:pt idx="861">
                  <c:v>502</c:v>
                </c:pt>
                <c:pt idx="862">
                  <c:v>#N/A</c:v>
                </c:pt>
                <c:pt idx="863">
                  <c:v>#N/A</c:v>
                </c:pt>
                <c:pt idx="864">
                  <c:v>#N/A</c:v>
                </c:pt>
                <c:pt idx="865">
                  <c:v>#N/A</c:v>
                </c:pt>
                <c:pt idx="866">
                  <c:v>#N/A</c:v>
                </c:pt>
                <c:pt idx="867">
                  <c:v>#N/A</c:v>
                </c:pt>
                <c:pt idx="868">
                  <c:v>405</c:v>
                </c:pt>
                <c:pt idx="869">
                  <c:v>#N/A</c:v>
                </c:pt>
                <c:pt idx="870">
                  <c:v>#N/A</c:v>
                </c:pt>
                <c:pt idx="871">
                  <c:v>#N/A</c:v>
                </c:pt>
                <c:pt idx="872">
                  <c:v>#N/A</c:v>
                </c:pt>
                <c:pt idx="873">
                  <c:v>#N/A</c:v>
                </c:pt>
                <c:pt idx="874">
                  <c:v>#N/A</c:v>
                </c:pt>
                <c:pt idx="875">
                  <c:v>571</c:v>
                </c:pt>
                <c:pt idx="876">
                  <c:v>#N/A</c:v>
                </c:pt>
                <c:pt idx="877">
                  <c:v>431</c:v>
                </c:pt>
                <c:pt idx="878">
                  <c:v>279</c:v>
                </c:pt>
                <c:pt idx="879">
                  <c:v>383</c:v>
                </c:pt>
                <c:pt idx="880">
                  <c:v>#N/A</c:v>
                </c:pt>
                <c:pt idx="881">
                  <c:v>#N/A</c:v>
                </c:pt>
                <c:pt idx="882">
                  <c:v>#N/A</c:v>
                </c:pt>
                <c:pt idx="883">
                  <c:v>#N/A</c:v>
                </c:pt>
                <c:pt idx="884">
                  <c:v>562</c:v>
                </c:pt>
                <c:pt idx="885">
                  <c:v>#N/A</c:v>
                </c:pt>
                <c:pt idx="886">
                  <c:v>#N/A</c:v>
                </c:pt>
                <c:pt idx="887">
                  <c:v>#N/A</c:v>
                </c:pt>
                <c:pt idx="888">
                  <c:v>#N/A</c:v>
                </c:pt>
                <c:pt idx="889">
                  <c:v>#N/A</c:v>
                </c:pt>
                <c:pt idx="890">
                  <c:v>404</c:v>
                </c:pt>
                <c:pt idx="891">
                  <c:v>#N/A</c:v>
                </c:pt>
                <c:pt idx="892">
                  <c:v>#N/A</c:v>
                </c:pt>
                <c:pt idx="893">
                  <c:v>#N/A</c:v>
                </c:pt>
                <c:pt idx="894">
                  <c:v>#N/A</c:v>
                </c:pt>
                <c:pt idx="895">
                  <c:v>#N/A</c:v>
                </c:pt>
                <c:pt idx="896">
                  <c:v>#N/A</c:v>
                </c:pt>
                <c:pt idx="897">
                  <c:v>425</c:v>
                </c:pt>
                <c:pt idx="898">
                  <c:v>#N/A</c:v>
                </c:pt>
                <c:pt idx="899">
                  <c:v>#N/A</c:v>
                </c:pt>
                <c:pt idx="900">
                  <c:v>#N/A</c:v>
                </c:pt>
                <c:pt idx="901">
                  <c:v>#N/A</c:v>
                </c:pt>
                <c:pt idx="902">
                  <c:v>#N/A</c:v>
                </c:pt>
                <c:pt idx="903">
                  <c:v>#N/A</c:v>
                </c:pt>
                <c:pt idx="904">
                  <c:v>417</c:v>
                </c:pt>
                <c:pt idx="905">
                  <c:v>361</c:v>
                </c:pt>
                <c:pt idx="906">
                  <c:v>355</c:v>
                </c:pt>
                <c:pt idx="907">
                  <c:v>#N/A</c:v>
                </c:pt>
                <c:pt idx="908">
                  <c:v>425</c:v>
                </c:pt>
                <c:pt idx="909">
                  <c:v>#N/A</c:v>
                </c:pt>
                <c:pt idx="910">
                  <c:v>#N/A</c:v>
                </c:pt>
                <c:pt idx="911">
                  <c:v>#N/A</c:v>
                </c:pt>
                <c:pt idx="912">
                  <c:v>#N/A</c:v>
                </c:pt>
                <c:pt idx="913">
                  <c:v>455</c:v>
                </c:pt>
                <c:pt idx="914">
                  <c:v>#N/A</c:v>
                </c:pt>
                <c:pt idx="915">
                  <c:v>#N/A</c:v>
                </c:pt>
                <c:pt idx="916">
                  <c:v>#N/A</c:v>
                </c:pt>
                <c:pt idx="917">
                  <c:v>405</c:v>
                </c:pt>
                <c:pt idx="918">
                  <c:v>530</c:v>
                </c:pt>
                <c:pt idx="919">
                  <c:v>368</c:v>
                </c:pt>
                <c:pt idx="920">
                  <c:v>356</c:v>
                </c:pt>
                <c:pt idx="921">
                  <c:v>#N/A</c:v>
                </c:pt>
                <c:pt idx="922">
                  <c:v>550</c:v>
                </c:pt>
                <c:pt idx="923">
                  <c:v>397</c:v>
                </c:pt>
                <c:pt idx="924">
                  <c:v>#N/A</c:v>
                </c:pt>
                <c:pt idx="925">
                  <c:v>#N/A</c:v>
                </c:pt>
                <c:pt idx="926">
                  <c:v>414</c:v>
                </c:pt>
                <c:pt idx="927">
                  <c:v>#N/A</c:v>
                </c:pt>
                <c:pt idx="928">
                  <c:v>360</c:v>
                </c:pt>
                <c:pt idx="929">
                  <c:v>#N/A</c:v>
                </c:pt>
                <c:pt idx="930">
                  <c:v>#N/A</c:v>
                </c:pt>
                <c:pt idx="931">
                  <c:v>#N/A</c:v>
                </c:pt>
                <c:pt idx="932">
                  <c:v>506</c:v>
                </c:pt>
                <c:pt idx="933">
                  <c:v>#N/A</c:v>
                </c:pt>
                <c:pt idx="934">
                  <c:v>#N/A</c:v>
                </c:pt>
                <c:pt idx="935">
                  <c:v>#N/A</c:v>
                </c:pt>
                <c:pt idx="936">
                  <c:v>502</c:v>
                </c:pt>
                <c:pt idx="937">
                  <c:v>#N/A</c:v>
                </c:pt>
                <c:pt idx="938">
                  <c:v>388</c:v>
                </c:pt>
                <c:pt idx="939">
                  <c:v>#N/A</c:v>
                </c:pt>
                <c:pt idx="940">
                  <c:v>454</c:v>
                </c:pt>
                <c:pt idx="941">
                  <c:v>422</c:v>
                </c:pt>
                <c:pt idx="942">
                  <c:v>#N/A</c:v>
                </c:pt>
                <c:pt idx="943">
                  <c:v>#N/A</c:v>
                </c:pt>
                <c:pt idx="944">
                  <c:v>#N/A</c:v>
                </c:pt>
                <c:pt idx="945">
                  <c:v>#N/A</c:v>
                </c:pt>
                <c:pt idx="946">
                  <c:v>#N/A</c:v>
                </c:pt>
                <c:pt idx="947">
                  <c:v>#N/A</c:v>
                </c:pt>
                <c:pt idx="948">
                  <c:v>#N/A</c:v>
                </c:pt>
                <c:pt idx="949">
                  <c:v>#N/A</c:v>
                </c:pt>
                <c:pt idx="950">
                  <c:v>525</c:v>
                </c:pt>
                <c:pt idx="951">
                  <c:v>#N/A</c:v>
                </c:pt>
                <c:pt idx="952">
                  <c:v>#N/A</c:v>
                </c:pt>
                <c:pt idx="953">
                  <c:v>#N/A</c:v>
                </c:pt>
                <c:pt idx="954">
                  <c:v>418</c:v>
                </c:pt>
                <c:pt idx="955">
                  <c:v>487</c:v>
                </c:pt>
                <c:pt idx="956">
                  <c:v>#N/A</c:v>
                </c:pt>
                <c:pt idx="957">
                  <c:v>#N/A</c:v>
                </c:pt>
                <c:pt idx="958">
                  <c:v>#N/A</c:v>
                </c:pt>
                <c:pt idx="959">
                  <c:v>517</c:v>
                </c:pt>
                <c:pt idx="960">
                  <c:v>542</c:v>
                </c:pt>
                <c:pt idx="961">
                  <c:v>#N/A</c:v>
                </c:pt>
                <c:pt idx="962">
                  <c:v>#N/A</c:v>
                </c:pt>
                <c:pt idx="963">
                  <c:v>#N/A</c:v>
                </c:pt>
                <c:pt idx="964">
                  <c:v>515</c:v>
                </c:pt>
                <c:pt idx="965">
                  <c:v>#N/A</c:v>
                </c:pt>
                <c:pt idx="966">
                  <c:v>399</c:v>
                </c:pt>
                <c:pt idx="967">
                  <c:v>#N/A</c:v>
                </c:pt>
                <c:pt idx="968">
                  <c:v>#N/A</c:v>
                </c:pt>
                <c:pt idx="969">
                  <c:v>#N/A</c:v>
                </c:pt>
                <c:pt idx="970">
                  <c:v>#N/A</c:v>
                </c:pt>
                <c:pt idx="971">
                  <c:v>#N/A</c:v>
                </c:pt>
                <c:pt idx="972">
                  <c:v>#N/A</c:v>
                </c:pt>
                <c:pt idx="973">
                  <c:v>#N/A</c:v>
                </c:pt>
                <c:pt idx="974">
                  <c:v>#N/A</c:v>
                </c:pt>
                <c:pt idx="975">
                  <c:v>#N/A</c:v>
                </c:pt>
                <c:pt idx="976">
                  <c:v>#N/A</c:v>
                </c:pt>
                <c:pt idx="977">
                  <c:v>509</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412</c:v>
                </c:pt>
                <c:pt idx="996">
                  <c:v>#N/A</c:v>
                </c:pt>
                <c:pt idx="997">
                  <c:v>426</c:v>
                </c:pt>
                <c:pt idx="998">
                  <c:v>513</c:v>
                </c:pt>
                <c:pt idx="999">
                  <c:v>#N/A</c:v>
                </c:pt>
                <c:pt idx="1000">
                  <c:v>#N/A</c:v>
                </c:pt>
                <c:pt idx="1001">
                  <c:v>#N/A</c:v>
                </c:pt>
                <c:pt idx="1002">
                  <c:v>#N/A</c:v>
                </c:pt>
                <c:pt idx="1003">
                  <c:v>#N/A</c:v>
                </c:pt>
                <c:pt idx="1004">
                  <c:v>#N/A</c:v>
                </c:pt>
                <c:pt idx="1005">
                  <c:v>461</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413</c:v>
                </c:pt>
                <c:pt idx="1021">
                  <c:v>427</c:v>
                </c:pt>
                <c:pt idx="1022">
                  <c:v>#N/A</c:v>
                </c:pt>
                <c:pt idx="1023">
                  <c:v>395</c:v>
                </c:pt>
                <c:pt idx="1024">
                  <c:v>#N/A</c:v>
                </c:pt>
                <c:pt idx="1025">
                  <c:v>#N/A</c:v>
                </c:pt>
                <c:pt idx="1026">
                  <c:v>#N/A</c:v>
                </c:pt>
                <c:pt idx="1027">
                  <c:v>437</c:v>
                </c:pt>
                <c:pt idx="1028">
                  <c:v>#N/A</c:v>
                </c:pt>
                <c:pt idx="1029">
                  <c:v>#N/A</c:v>
                </c:pt>
                <c:pt idx="1030">
                  <c:v>#N/A</c:v>
                </c:pt>
                <c:pt idx="1031">
                  <c:v>#N/A</c:v>
                </c:pt>
                <c:pt idx="1032">
                  <c:v>#N/A</c:v>
                </c:pt>
                <c:pt idx="1033">
                  <c:v>441</c:v>
                </c:pt>
                <c:pt idx="1034">
                  <c:v>461</c:v>
                </c:pt>
                <c:pt idx="1035">
                  <c:v>#N/A</c:v>
                </c:pt>
                <c:pt idx="1036">
                  <c:v>#N/A</c:v>
                </c:pt>
                <c:pt idx="1037">
                  <c:v>#N/A</c:v>
                </c:pt>
                <c:pt idx="1038">
                  <c:v>#N/A</c:v>
                </c:pt>
                <c:pt idx="1039">
                  <c:v>248</c:v>
                </c:pt>
                <c:pt idx="1040">
                  <c:v>#N/A</c:v>
                </c:pt>
                <c:pt idx="1041">
                  <c:v>409</c:v>
                </c:pt>
                <c:pt idx="1042">
                  <c:v>#N/A</c:v>
                </c:pt>
                <c:pt idx="1043">
                  <c:v>#N/A</c:v>
                </c:pt>
                <c:pt idx="1044">
                  <c:v>#N/A</c:v>
                </c:pt>
                <c:pt idx="1045">
                  <c:v>412</c:v>
                </c:pt>
                <c:pt idx="1046">
                  <c:v>#N/A</c:v>
                </c:pt>
                <c:pt idx="1047">
                  <c:v>496</c:v>
                </c:pt>
                <c:pt idx="1048">
                  <c:v>#N/A</c:v>
                </c:pt>
                <c:pt idx="1049">
                  <c:v>329</c:v>
                </c:pt>
                <c:pt idx="1050">
                  <c:v>#N/A</c:v>
                </c:pt>
                <c:pt idx="1051">
                  <c:v>#N/A</c:v>
                </c:pt>
                <c:pt idx="1052">
                  <c:v>#N/A</c:v>
                </c:pt>
                <c:pt idx="1053">
                  <c:v>#N/A</c:v>
                </c:pt>
                <c:pt idx="1054">
                  <c:v>#N/A</c:v>
                </c:pt>
                <c:pt idx="1055">
                  <c:v>#N/A</c:v>
                </c:pt>
                <c:pt idx="1056">
                  <c:v>#N/A</c:v>
                </c:pt>
                <c:pt idx="1057">
                  <c:v>#N/A</c:v>
                </c:pt>
                <c:pt idx="1058">
                  <c:v>#N/A</c:v>
                </c:pt>
                <c:pt idx="1059">
                  <c:v>#N/A</c:v>
                </c:pt>
                <c:pt idx="1060">
                  <c:v>#N/A</c:v>
                </c:pt>
                <c:pt idx="1061">
                  <c:v>409</c:v>
                </c:pt>
                <c:pt idx="1062">
                  <c:v>#N/A</c:v>
                </c:pt>
                <c:pt idx="1063">
                  <c:v>#N/A</c:v>
                </c:pt>
                <c:pt idx="1064">
                  <c:v>287</c:v>
                </c:pt>
                <c:pt idx="1065">
                  <c:v>#N/A</c:v>
                </c:pt>
                <c:pt idx="1066">
                  <c:v>387</c:v>
                </c:pt>
                <c:pt idx="1067">
                  <c:v>#N/A</c:v>
                </c:pt>
                <c:pt idx="1068">
                  <c:v>#N/A</c:v>
                </c:pt>
                <c:pt idx="1069">
                  <c:v>#N/A</c:v>
                </c:pt>
                <c:pt idx="1070">
                  <c:v>#N/A</c:v>
                </c:pt>
                <c:pt idx="1071">
                  <c:v>#N/A</c:v>
                </c:pt>
                <c:pt idx="1072">
                  <c:v>356</c:v>
                </c:pt>
                <c:pt idx="1073">
                  <c:v>#N/A</c:v>
                </c:pt>
                <c:pt idx="1074">
                  <c:v>#N/A</c:v>
                </c:pt>
                <c:pt idx="1075">
                  <c:v>#N/A</c:v>
                </c:pt>
                <c:pt idx="1076">
                  <c:v>#N/A</c:v>
                </c:pt>
                <c:pt idx="1077">
                  <c:v>464</c:v>
                </c:pt>
                <c:pt idx="1078">
                  <c:v>421</c:v>
                </c:pt>
                <c:pt idx="1079">
                  <c:v>413</c:v>
                </c:pt>
                <c:pt idx="1080">
                  <c:v>390</c:v>
                </c:pt>
                <c:pt idx="1081">
                  <c:v>#N/A</c:v>
                </c:pt>
                <c:pt idx="1082">
                  <c:v>#N/A</c:v>
                </c:pt>
                <c:pt idx="1083">
                  <c:v>#N/A</c:v>
                </c:pt>
                <c:pt idx="1084">
                  <c:v>#N/A</c:v>
                </c:pt>
                <c:pt idx="1085">
                  <c:v>#N/A</c:v>
                </c:pt>
                <c:pt idx="1086">
                  <c:v>456</c:v>
                </c:pt>
                <c:pt idx="1087">
                  <c:v>#N/A</c:v>
                </c:pt>
                <c:pt idx="1088">
                  <c:v>#N/A</c:v>
                </c:pt>
                <c:pt idx="1089">
                  <c:v>#N/A</c:v>
                </c:pt>
                <c:pt idx="1090">
                  <c:v>460</c:v>
                </c:pt>
                <c:pt idx="1091">
                  <c:v>#N/A</c:v>
                </c:pt>
                <c:pt idx="1092">
                  <c:v>370</c:v>
                </c:pt>
                <c:pt idx="1093">
                  <c:v>262</c:v>
                </c:pt>
                <c:pt idx="1094">
                  <c:v>480</c:v>
                </c:pt>
                <c:pt idx="1095">
                  <c:v>#N/A</c:v>
                </c:pt>
                <c:pt idx="1096">
                  <c:v>#N/A</c:v>
                </c:pt>
                <c:pt idx="1097">
                  <c:v>#N/A</c:v>
                </c:pt>
                <c:pt idx="1098">
                  <c:v>#N/A</c:v>
                </c:pt>
                <c:pt idx="1099">
                  <c:v>#N/A</c:v>
                </c:pt>
                <c:pt idx="1100">
                  <c:v>#N/A</c:v>
                </c:pt>
                <c:pt idx="1101">
                  <c:v>#N/A</c:v>
                </c:pt>
                <c:pt idx="1102">
                  <c:v>#N/A</c:v>
                </c:pt>
                <c:pt idx="1103">
                  <c:v>445</c:v>
                </c:pt>
                <c:pt idx="1104">
                  <c:v>#N/A</c:v>
                </c:pt>
                <c:pt idx="1105">
                  <c:v>#N/A</c:v>
                </c:pt>
                <c:pt idx="1106">
                  <c:v>#N/A</c:v>
                </c:pt>
                <c:pt idx="1107">
                  <c:v>#N/A</c:v>
                </c:pt>
                <c:pt idx="1108">
                  <c:v>#N/A</c:v>
                </c:pt>
                <c:pt idx="1109">
                  <c:v>278</c:v>
                </c:pt>
                <c:pt idx="1110">
                  <c:v>#N/A</c:v>
                </c:pt>
                <c:pt idx="1111">
                  <c:v>372</c:v>
                </c:pt>
                <c:pt idx="1112">
                  <c:v>530</c:v>
                </c:pt>
                <c:pt idx="1113">
                  <c:v>#N/A</c:v>
                </c:pt>
                <c:pt idx="1114">
                  <c:v>#N/A</c:v>
                </c:pt>
                <c:pt idx="1115">
                  <c:v>#N/A</c:v>
                </c:pt>
                <c:pt idx="1116">
                  <c:v>472</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461</c:v>
                </c:pt>
                <c:pt idx="1131">
                  <c:v>#N/A</c:v>
                </c:pt>
                <c:pt idx="1132">
                  <c:v>480</c:v>
                </c:pt>
                <c:pt idx="1133">
                  <c:v>#N/A</c:v>
                </c:pt>
                <c:pt idx="1134">
                  <c:v>#N/A</c:v>
                </c:pt>
                <c:pt idx="1135">
                  <c:v>#N/A</c:v>
                </c:pt>
                <c:pt idx="1136">
                  <c:v>360</c:v>
                </c:pt>
                <c:pt idx="1137">
                  <c:v>#N/A</c:v>
                </c:pt>
                <c:pt idx="1138">
                  <c:v>#N/A</c:v>
                </c:pt>
                <c:pt idx="1139">
                  <c:v>#N/A</c:v>
                </c:pt>
                <c:pt idx="1140">
                  <c:v>#N/A</c:v>
                </c:pt>
                <c:pt idx="1141">
                  <c:v>#N/A</c:v>
                </c:pt>
                <c:pt idx="1142">
                  <c:v>495</c:v>
                </c:pt>
                <c:pt idx="1143">
                  <c:v>291</c:v>
                </c:pt>
                <c:pt idx="1144">
                  <c:v>359</c:v>
                </c:pt>
                <c:pt idx="1145">
                  <c:v>486</c:v>
                </c:pt>
                <c:pt idx="1146">
                  <c:v>#N/A</c:v>
                </c:pt>
                <c:pt idx="1147">
                  <c:v>#N/A</c:v>
                </c:pt>
                <c:pt idx="1148">
                  <c:v>#N/A</c:v>
                </c:pt>
                <c:pt idx="1149">
                  <c:v>#N/A</c:v>
                </c:pt>
                <c:pt idx="1150">
                  <c:v>#N/A</c:v>
                </c:pt>
                <c:pt idx="1151">
                  <c:v>178</c:v>
                </c:pt>
                <c:pt idx="1152">
                  <c:v>#N/A</c:v>
                </c:pt>
                <c:pt idx="1153">
                  <c:v>437</c:v>
                </c:pt>
                <c:pt idx="1154">
                  <c:v>#N/A</c:v>
                </c:pt>
                <c:pt idx="1155">
                  <c:v>#N/A</c:v>
                </c:pt>
                <c:pt idx="1156">
                  <c:v>#N/A</c:v>
                </c:pt>
                <c:pt idx="1157">
                  <c:v>#N/A</c:v>
                </c:pt>
                <c:pt idx="1158">
                  <c:v>379</c:v>
                </c:pt>
                <c:pt idx="1159">
                  <c:v>#N/A</c:v>
                </c:pt>
                <c:pt idx="1160">
                  <c:v>#N/A</c:v>
                </c:pt>
                <c:pt idx="1161">
                  <c:v>#N/A</c:v>
                </c:pt>
                <c:pt idx="1162">
                  <c:v>510</c:v>
                </c:pt>
                <c:pt idx="1163">
                  <c:v>#N/A</c:v>
                </c:pt>
                <c:pt idx="1164">
                  <c:v>432</c:v>
                </c:pt>
                <c:pt idx="1165">
                  <c:v>#N/A</c:v>
                </c:pt>
                <c:pt idx="1166">
                  <c:v>#N/A</c:v>
                </c:pt>
                <c:pt idx="1167">
                  <c:v>#N/A</c:v>
                </c:pt>
                <c:pt idx="1168">
                  <c:v>#N/A</c:v>
                </c:pt>
                <c:pt idx="1169">
                  <c:v>#N/A</c:v>
                </c:pt>
                <c:pt idx="1170">
                  <c:v>#N/A</c:v>
                </c:pt>
                <c:pt idx="1171">
                  <c:v>451</c:v>
                </c:pt>
                <c:pt idx="1172">
                  <c:v>#N/A</c:v>
                </c:pt>
                <c:pt idx="1173">
                  <c:v>#N/A</c:v>
                </c:pt>
                <c:pt idx="1174">
                  <c:v>#N/A</c:v>
                </c:pt>
                <c:pt idx="1175">
                  <c:v>#N/A</c:v>
                </c:pt>
                <c:pt idx="1176">
                  <c:v>519</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474</c:v>
                </c:pt>
                <c:pt idx="1190">
                  <c:v>#N/A</c:v>
                </c:pt>
                <c:pt idx="1191">
                  <c:v>#N/A</c:v>
                </c:pt>
                <c:pt idx="1192">
                  <c:v>#N/A</c:v>
                </c:pt>
                <c:pt idx="1193">
                  <c:v>#N/A</c:v>
                </c:pt>
                <c:pt idx="1194">
                  <c:v>551</c:v>
                </c:pt>
                <c:pt idx="1195">
                  <c:v>#N/A</c:v>
                </c:pt>
                <c:pt idx="1196">
                  <c:v>468</c:v>
                </c:pt>
                <c:pt idx="1197">
                  <c:v>423</c:v>
                </c:pt>
                <c:pt idx="1198">
                  <c:v>#N/A</c:v>
                </c:pt>
                <c:pt idx="1199">
                  <c:v>402</c:v>
                </c:pt>
                <c:pt idx="1200">
                  <c:v>340</c:v>
                </c:pt>
              </c:strCache>
            </c:strRef>
          </c:xVal>
          <c:yVal>
            <c:numRef>
              <c:f>riyadh_realestate_dataset!$P:$P</c:f>
              <c:numCache>
                <c:formatCode>General</c:formatCode>
                <c:ptCount val="1048576"/>
                <c:pt idx="0">
                  <c:v>0</c:v>
                </c:pt>
                <c:pt idx="1">
                  <c:v>#N/A</c:v>
                </c:pt>
                <c:pt idx="2">
                  <c:v>#N/A</c:v>
                </c:pt>
                <c:pt idx="3">
                  <c:v>#N/A</c:v>
                </c:pt>
                <c:pt idx="4">
                  <c:v>#N/A</c:v>
                </c:pt>
                <c:pt idx="5">
                  <c:v>1998000</c:v>
                </c:pt>
                <c:pt idx="6">
                  <c:v>#N/A</c:v>
                </c:pt>
                <c:pt idx="7">
                  <c:v>#N/A</c:v>
                </c:pt>
                <c:pt idx="8">
                  <c:v>#N/A</c:v>
                </c:pt>
                <c:pt idx="9">
                  <c:v>1897000</c:v>
                </c:pt>
                <c:pt idx="10">
                  <c:v>#N/A</c:v>
                </c:pt>
                <c:pt idx="11">
                  <c:v>#N/A</c:v>
                </c:pt>
                <c:pt idx="12">
                  <c:v>#N/A</c:v>
                </c:pt>
                <c:pt idx="13">
                  <c:v>#N/A</c:v>
                </c:pt>
                <c:pt idx="14">
                  <c:v>#N/A</c:v>
                </c:pt>
                <c:pt idx="15">
                  <c:v>#N/A</c:v>
                </c:pt>
                <c:pt idx="16">
                  <c:v>2803000</c:v>
                </c:pt>
                <c:pt idx="17">
                  <c:v>#N/A</c:v>
                </c:pt>
                <c:pt idx="18">
                  <c:v>#N/A</c:v>
                </c:pt>
                <c:pt idx="19">
                  <c:v>#N/A</c:v>
                </c:pt>
                <c:pt idx="20">
                  <c:v>#N/A</c:v>
                </c:pt>
                <c:pt idx="21">
                  <c:v>#N/A</c:v>
                </c:pt>
                <c:pt idx="22">
                  <c:v>#N/A</c:v>
                </c:pt>
                <c:pt idx="23">
                  <c:v>#N/A</c:v>
                </c:pt>
                <c:pt idx="24">
                  <c:v>#N/A</c:v>
                </c:pt>
                <c:pt idx="25">
                  <c:v>1872000</c:v>
                </c:pt>
                <c:pt idx="26">
                  <c:v>#N/A</c:v>
                </c:pt>
                <c:pt idx="27">
                  <c:v>#N/A</c:v>
                </c:pt>
                <c:pt idx="28">
                  <c:v>#N/A</c:v>
                </c:pt>
                <c:pt idx="29">
                  <c:v>2324000</c:v>
                </c:pt>
                <c:pt idx="30">
                  <c:v>#N/A</c:v>
                </c:pt>
                <c:pt idx="31">
                  <c:v>#N/A</c:v>
                </c:pt>
                <c:pt idx="32">
                  <c:v>#N/A</c:v>
                </c:pt>
                <c:pt idx="33">
                  <c:v>#N/A</c:v>
                </c:pt>
                <c:pt idx="34">
                  <c:v>#N/A</c:v>
                </c:pt>
                <c:pt idx="35">
                  <c:v>#N/A</c:v>
                </c:pt>
                <c:pt idx="36">
                  <c:v>1768000</c:v>
                </c:pt>
                <c:pt idx="37">
                  <c:v>#N/A</c:v>
                </c:pt>
                <c:pt idx="38">
                  <c:v>1820000</c:v>
                </c:pt>
                <c:pt idx="39">
                  <c:v>#N/A</c:v>
                </c:pt>
                <c:pt idx="40">
                  <c:v>#N/A</c:v>
                </c:pt>
                <c:pt idx="41">
                  <c:v>2949000</c:v>
                </c:pt>
                <c:pt idx="42">
                  <c:v>#N/A</c:v>
                </c:pt>
                <c:pt idx="43">
                  <c:v>2172000</c:v>
                </c:pt>
                <c:pt idx="44">
                  <c:v>2263000</c:v>
                </c:pt>
                <c:pt idx="45">
                  <c:v>#N/A</c:v>
                </c:pt>
                <c:pt idx="46">
                  <c:v>#N/A</c:v>
                </c:pt>
                <c:pt idx="47">
                  <c:v>2720000</c:v>
                </c:pt>
                <c:pt idx="48">
                  <c:v>#N/A</c:v>
                </c:pt>
                <c:pt idx="49">
                  <c:v>#N/A</c:v>
                </c:pt>
                <c:pt idx="50">
                  <c:v>2429000</c:v>
                </c:pt>
                <c:pt idx="51">
                  <c:v>#N/A</c:v>
                </c:pt>
                <c:pt idx="52">
                  <c:v>#N/A</c:v>
                </c:pt>
                <c:pt idx="53">
                  <c:v>#N/A</c:v>
                </c:pt>
                <c:pt idx="54">
                  <c:v>#N/A</c:v>
                </c:pt>
                <c:pt idx="55">
                  <c:v>#N/A</c:v>
                </c:pt>
                <c:pt idx="56">
                  <c:v>#N/A</c:v>
                </c:pt>
                <c:pt idx="57">
                  <c:v>#N/A</c:v>
                </c:pt>
                <c:pt idx="58">
                  <c:v>2765000</c:v>
                </c:pt>
                <c:pt idx="59">
                  <c:v>1897000</c:v>
                </c:pt>
                <c:pt idx="60">
                  <c:v>#N/A</c:v>
                </c:pt>
                <c:pt idx="61">
                  <c:v>#N/A</c:v>
                </c:pt>
                <c:pt idx="62">
                  <c:v>1753000</c:v>
                </c:pt>
                <c:pt idx="63">
                  <c:v>#N/A</c:v>
                </c:pt>
                <c:pt idx="64">
                  <c:v>#N/A</c:v>
                </c:pt>
                <c:pt idx="65">
                  <c:v>#N/A</c:v>
                </c:pt>
                <c:pt idx="66">
                  <c:v>#N/A</c:v>
                </c:pt>
                <c:pt idx="67">
                  <c:v>#N/A</c:v>
                </c:pt>
                <c:pt idx="68">
                  <c:v>#N/A</c:v>
                </c:pt>
                <c:pt idx="69">
                  <c:v>1477000</c:v>
                </c:pt>
                <c:pt idx="70">
                  <c:v>2097000</c:v>
                </c:pt>
                <c:pt idx="71">
                  <c:v>1669000</c:v>
                </c:pt>
                <c:pt idx="72">
                  <c:v>#N/A</c:v>
                </c:pt>
                <c:pt idx="73">
                  <c:v>#N/A</c:v>
                </c:pt>
                <c:pt idx="74">
                  <c:v>#N/A</c:v>
                </c:pt>
                <c:pt idx="75">
                  <c:v>#N/A</c:v>
                </c:pt>
                <c:pt idx="76">
                  <c:v>1517000</c:v>
                </c:pt>
                <c:pt idx="77">
                  <c:v>#N/A</c:v>
                </c:pt>
                <c:pt idx="78">
                  <c:v>1662000</c:v>
                </c:pt>
                <c:pt idx="79">
                  <c:v>#N/A</c:v>
                </c:pt>
                <c:pt idx="80">
                  <c:v>#N/A</c:v>
                </c:pt>
                <c:pt idx="81">
                  <c:v>#N/A</c:v>
                </c:pt>
                <c:pt idx="82">
                  <c:v>#N/A</c:v>
                </c:pt>
                <c:pt idx="83">
                  <c:v>1982000</c:v>
                </c:pt>
                <c:pt idx="84">
                  <c:v>1789000</c:v>
                </c:pt>
                <c:pt idx="85">
                  <c:v>#N/A</c:v>
                </c:pt>
                <c:pt idx="86">
                  <c:v>#N/A</c:v>
                </c:pt>
                <c:pt idx="87">
                  <c:v>#N/A</c:v>
                </c:pt>
                <c:pt idx="88">
                  <c:v>#N/A</c:v>
                </c:pt>
                <c:pt idx="89">
                  <c:v>2258000</c:v>
                </c:pt>
                <c:pt idx="90">
                  <c:v>#N/A</c:v>
                </c:pt>
                <c:pt idx="91">
                  <c:v>#N/A</c:v>
                </c:pt>
                <c:pt idx="92">
                  <c:v>#N/A</c:v>
                </c:pt>
                <c:pt idx="93">
                  <c:v>1927000</c:v>
                </c:pt>
                <c:pt idx="94">
                  <c:v>2602000</c:v>
                </c:pt>
                <c:pt idx="95">
                  <c:v>#N/A</c:v>
                </c:pt>
                <c:pt idx="96">
                  <c:v>#N/A</c:v>
                </c:pt>
                <c:pt idx="97">
                  <c:v>2703000</c:v>
                </c:pt>
                <c:pt idx="98">
                  <c:v>2025000</c:v>
                </c:pt>
                <c:pt idx="99">
                  <c:v>#N/A</c:v>
                </c:pt>
                <c:pt idx="100">
                  <c:v>#N/A</c:v>
                </c:pt>
                <c:pt idx="101">
                  <c:v>3097000</c:v>
                </c:pt>
                <c:pt idx="102">
                  <c:v>#N/A</c:v>
                </c:pt>
                <c:pt idx="103">
                  <c:v>#N/A</c:v>
                </c:pt>
                <c:pt idx="104">
                  <c:v>1186000</c:v>
                </c:pt>
                <c:pt idx="105">
                  <c:v>#N/A</c:v>
                </c:pt>
                <c:pt idx="106">
                  <c:v>#N/A</c:v>
                </c:pt>
                <c:pt idx="107">
                  <c:v>#N/A</c:v>
                </c:pt>
                <c:pt idx="108">
                  <c:v>#N/A</c:v>
                </c:pt>
                <c:pt idx="109">
                  <c:v>#N/A</c:v>
                </c:pt>
                <c:pt idx="110">
                  <c:v>#N/A</c:v>
                </c:pt>
                <c:pt idx="111">
                  <c:v>#N/A</c:v>
                </c:pt>
                <c:pt idx="112">
                  <c:v>#N/A</c:v>
                </c:pt>
                <c:pt idx="113">
                  <c:v>#N/A</c:v>
                </c:pt>
                <c:pt idx="114">
                  <c:v>2255000</c:v>
                </c:pt>
                <c:pt idx="115">
                  <c:v>2150000</c:v>
                </c:pt>
                <c:pt idx="116">
                  <c:v>#N/A</c:v>
                </c:pt>
                <c:pt idx="117">
                  <c:v>#N/A</c:v>
                </c:pt>
                <c:pt idx="118">
                  <c:v>#N/A</c:v>
                </c:pt>
                <c:pt idx="119">
                  <c:v>#N/A</c:v>
                </c:pt>
                <c:pt idx="120">
                  <c:v>#N/A</c:v>
                </c:pt>
                <c:pt idx="121">
                  <c:v>2291000</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2368000</c:v>
                </c:pt>
                <c:pt idx="136">
                  <c:v>#N/A</c:v>
                </c:pt>
                <c:pt idx="137">
                  <c:v>2478000</c:v>
                </c:pt>
                <c:pt idx="138">
                  <c:v>3094000</c:v>
                </c:pt>
                <c:pt idx="139">
                  <c:v>#N/A</c:v>
                </c:pt>
                <c:pt idx="140">
                  <c:v>#N/A</c:v>
                </c:pt>
                <c:pt idx="141">
                  <c:v>#N/A</c:v>
                </c:pt>
                <c:pt idx="142">
                  <c:v>#N/A</c:v>
                </c:pt>
                <c:pt idx="143">
                  <c:v>1623000</c:v>
                </c:pt>
                <c:pt idx="144">
                  <c:v>#N/A</c:v>
                </c:pt>
                <c:pt idx="145">
                  <c:v>#N/A</c:v>
                </c:pt>
                <c:pt idx="146">
                  <c:v>#N/A</c:v>
                </c:pt>
                <c:pt idx="147">
                  <c:v>#N/A</c:v>
                </c:pt>
                <c:pt idx="148">
                  <c:v>#N/A</c:v>
                </c:pt>
                <c:pt idx="149">
                  <c:v>#N/A</c:v>
                </c:pt>
                <c:pt idx="150">
                  <c:v>#N/A</c:v>
                </c:pt>
                <c:pt idx="151">
                  <c:v>1357000</c:v>
                </c:pt>
                <c:pt idx="152">
                  <c:v>#N/A</c:v>
                </c:pt>
                <c:pt idx="153">
                  <c:v>#N/A</c:v>
                </c:pt>
                <c:pt idx="154">
                  <c:v>2934000</c:v>
                </c:pt>
                <c:pt idx="155">
                  <c:v>#N/A</c:v>
                </c:pt>
                <c:pt idx="156">
                  <c:v>1783000</c:v>
                </c:pt>
                <c:pt idx="157">
                  <c:v>#N/A</c:v>
                </c:pt>
                <c:pt idx="158">
                  <c:v>#N/A</c:v>
                </c:pt>
                <c:pt idx="159">
                  <c:v>#N/A</c:v>
                </c:pt>
                <c:pt idx="160">
                  <c:v>#N/A</c:v>
                </c:pt>
                <c:pt idx="161">
                  <c:v>3382000</c:v>
                </c:pt>
                <c:pt idx="162">
                  <c:v>1312000</c:v>
                </c:pt>
                <c:pt idx="163">
                  <c:v>#N/A</c:v>
                </c:pt>
                <c:pt idx="164">
                  <c:v>1545000</c:v>
                </c:pt>
                <c:pt idx="165">
                  <c:v>#N/A</c:v>
                </c:pt>
                <c:pt idx="166">
                  <c:v>#N/A</c:v>
                </c:pt>
                <c:pt idx="167">
                  <c:v>3008000</c:v>
                </c:pt>
                <c:pt idx="168">
                  <c:v>2942000</c:v>
                </c:pt>
                <c:pt idx="169">
                  <c:v>#N/A</c:v>
                </c:pt>
                <c:pt idx="170">
                  <c:v>2437000</c:v>
                </c:pt>
                <c:pt idx="171">
                  <c:v>#N/A</c:v>
                </c:pt>
                <c:pt idx="172">
                  <c:v>#N/A</c:v>
                </c:pt>
                <c:pt idx="173">
                  <c:v>2586000</c:v>
                </c:pt>
                <c:pt idx="174">
                  <c:v>#N/A</c:v>
                </c:pt>
                <c:pt idx="175">
                  <c:v>#N/A</c:v>
                </c:pt>
                <c:pt idx="176">
                  <c:v>#N/A</c:v>
                </c:pt>
                <c:pt idx="177">
                  <c:v>#N/A</c:v>
                </c:pt>
                <c:pt idx="178">
                  <c:v>#N/A</c:v>
                </c:pt>
                <c:pt idx="179">
                  <c:v>#N/A</c:v>
                </c:pt>
                <c:pt idx="180">
                  <c:v>#N/A</c:v>
                </c:pt>
                <c:pt idx="181">
                  <c:v>2376000</c:v>
                </c:pt>
                <c:pt idx="182">
                  <c:v>#N/A</c:v>
                </c:pt>
                <c:pt idx="183">
                  <c:v>#N/A</c:v>
                </c:pt>
                <c:pt idx="184">
                  <c:v>#N/A</c:v>
                </c:pt>
                <c:pt idx="185">
                  <c:v>#N/A</c:v>
                </c:pt>
                <c:pt idx="186">
                  <c:v>2911000</c:v>
                </c:pt>
                <c:pt idx="187">
                  <c:v>#N/A</c:v>
                </c:pt>
                <c:pt idx="188">
                  <c:v>#N/A</c:v>
                </c:pt>
                <c:pt idx="189">
                  <c:v>#N/A</c:v>
                </c:pt>
                <c:pt idx="190">
                  <c:v>#N/A</c:v>
                </c:pt>
                <c:pt idx="191">
                  <c:v>#N/A</c:v>
                </c:pt>
                <c:pt idx="192">
                  <c:v>3470000</c:v>
                </c:pt>
                <c:pt idx="193">
                  <c:v>#N/A</c:v>
                </c:pt>
                <c:pt idx="194">
                  <c:v>#N/A</c:v>
                </c:pt>
                <c:pt idx="195">
                  <c:v>2339000</c:v>
                </c:pt>
                <c:pt idx="196">
                  <c:v>#N/A</c:v>
                </c:pt>
                <c:pt idx="197">
                  <c:v>2257000</c:v>
                </c:pt>
                <c:pt idx="198">
                  <c:v>#N/A</c:v>
                </c:pt>
                <c:pt idx="199">
                  <c:v>#N/A</c:v>
                </c:pt>
                <c:pt idx="200">
                  <c:v>#N/A</c:v>
                </c:pt>
                <c:pt idx="201">
                  <c:v>2015000</c:v>
                </c:pt>
                <c:pt idx="202">
                  <c:v>#N/A</c:v>
                </c:pt>
                <c:pt idx="203">
                  <c:v>2389000</c:v>
                </c:pt>
                <c:pt idx="204">
                  <c:v>1772000</c:v>
                </c:pt>
                <c:pt idx="205">
                  <c:v>#N/A</c:v>
                </c:pt>
                <c:pt idx="206">
                  <c:v>#N/A</c:v>
                </c:pt>
                <c:pt idx="207">
                  <c:v>#N/A</c:v>
                </c:pt>
                <c:pt idx="208">
                  <c:v>#N/A</c:v>
                </c:pt>
                <c:pt idx="209">
                  <c:v>2956000</c:v>
                </c:pt>
                <c:pt idx="210">
                  <c:v>#N/A</c:v>
                </c:pt>
                <c:pt idx="211">
                  <c:v>#N/A</c:v>
                </c:pt>
                <c:pt idx="212">
                  <c:v>2267000</c:v>
                </c:pt>
                <c:pt idx="213">
                  <c:v>#N/A</c:v>
                </c:pt>
                <c:pt idx="214">
                  <c:v>#N/A</c:v>
                </c:pt>
                <c:pt idx="215">
                  <c:v>#N/A</c:v>
                </c:pt>
                <c:pt idx="216">
                  <c:v>3608000</c:v>
                </c:pt>
                <c:pt idx="217">
                  <c:v>#N/A</c:v>
                </c:pt>
                <c:pt idx="218">
                  <c:v>#N/A</c:v>
                </c:pt>
                <c:pt idx="219">
                  <c:v>2664000</c:v>
                </c:pt>
                <c:pt idx="220">
                  <c:v>2254000</c:v>
                </c:pt>
                <c:pt idx="221">
                  <c:v>#N/A</c:v>
                </c:pt>
                <c:pt idx="222">
                  <c:v>#N/A</c:v>
                </c:pt>
                <c:pt idx="223">
                  <c:v>#N/A</c:v>
                </c:pt>
                <c:pt idx="224">
                  <c:v>1713000</c:v>
                </c:pt>
                <c:pt idx="225">
                  <c:v>1356000</c:v>
                </c:pt>
                <c:pt idx="226">
                  <c:v>#N/A</c:v>
                </c:pt>
                <c:pt idx="227">
                  <c:v>3238000</c:v>
                </c:pt>
                <c:pt idx="228">
                  <c:v>#N/A</c:v>
                </c:pt>
                <c:pt idx="229">
                  <c:v>1535000</c:v>
                </c:pt>
                <c:pt idx="230">
                  <c:v>#N/A</c:v>
                </c:pt>
                <c:pt idx="231">
                  <c:v>#N/A</c:v>
                </c:pt>
                <c:pt idx="232">
                  <c:v>#N/A</c:v>
                </c:pt>
                <c:pt idx="233">
                  <c:v>#N/A</c:v>
                </c:pt>
                <c:pt idx="234">
                  <c:v>1595000</c:v>
                </c:pt>
                <c:pt idx="235">
                  <c:v>1828000</c:v>
                </c:pt>
                <c:pt idx="236">
                  <c:v>#N/A</c:v>
                </c:pt>
                <c:pt idx="237">
                  <c:v>#N/A</c:v>
                </c:pt>
                <c:pt idx="238">
                  <c:v>2864000</c:v>
                </c:pt>
                <c:pt idx="239">
                  <c:v>#N/A</c:v>
                </c:pt>
                <c:pt idx="240">
                  <c:v>#N/A</c:v>
                </c:pt>
                <c:pt idx="241">
                  <c:v>1531000</c:v>
                </c:pt>
                <c:pt idx="242">
                  <c:v>#N/A</c:v>
                </c:pt>
                <c:pt idx="243">
                  <c:v>1797000</c:v>
                </c:pt>
                <c:pt idx="244">
                  <c:v>2328000</c:v>
                </c:pt>
                <c:pt idx="245">
                  <c:v>#N/A</c:v>
                </c:pt>
                <c:pt idx="246">
                  <c:v>#N/A</c:v>
                </c:pt>
                <c:pt idx="247">
                  <c:v>#N/A</c:v>
                </c:pt>
                <c:pt idx="248">
                  <c:v>#N/A</c:v>
                </c:pt>
                <c:pt idx="249">
                  <c:v>#N/A</c:v>
                </c:pt>
                <c:pt idx="250">
                  <c:v>#N/A</c:v>
                </c:pt>
                <c:pt idx="251">
                  <c:v>3362000</c:v>
                </c:pt>
                <c:pt idx="252">
                  <c:v>#N/A</c:v>
                </c:pt>
                <c:pt idx="253">
                  <c:v>1995000</c:v>
                </c:pt>
                <c:pt idx="254">
                  <c:v>1241000</c:v>
                </c:pt>
                <c:pt idx="255">
                  <c:v>1518000</c:v>
                </c:pt>
                <c:pt idx="256">
                  <c:v>2533000</c:v>
                </c:pt>
                <c:pt idx="257">
                  <c:v>3877000</c:v>
                </c:pt>
                <c:pt idx="258">
                  <c:v>1336000</c:v>
                </c:pt>
                <c:pt idx="259">
                  <c:v>#N/A</c:v>
                </c:pt>
                <c:pt idx="260">
                  <c:v>#N/A</c:v>
                </c:pt>
                <c:pt idx="261">
                  <c:v>#N/A</c:v>
                </c:pt>
                <c:pt idx="262">
                  <c:v>#N/A</c:v>
                </c:pt>
                <c:pt idx="263">
                  <c:v>#N/A</c:v>
                </c:pt>
                <c:pt idx="264">
                  <c:v>#N/A</c:v>
                </c:pt>
                <c:pt idx="265">
                  <c:v>2095000</c:v>
                </c:pt>
                <c:pt idx="266">
                  <c:v>#N/A</c:v>
                </c:pt>
                <c:pt idx="267">
                  <c:v>#N/A</c:v>
                </c:pt>
                <c:pt idx="268">
                  <c:v>2222000</c:v>
                </c:pt>
                <c:pt idx="269">
                  <c:v>#N/A</c:v>
                </c:pt>
                <c:pt idx="270">
                  <c:v>#N/A</c:v>
                </c:pt>
                <c:pt idx="271">
                  <c:v>2236000</c:v>
                </c:pt>
                <c:pt idx="272">
                  <c:v>#N/A</c:v>
                </c:pt>
                <c:pt idx="273">
                  <c:v>#N/A</c:v>
                </c:pt>
                <c:pt idx="274">
                  <c:v>#N/A</c:v>
                </c:pt>
                <c:pt idx="275">
                  <c:v>#N/A</c:v>
                </c:pt>
                <c:pt idx="276">
                  <c:v>#N/A</c:v>
                </c:pt>
                <c:pt idx="277">
                  <c:v>#N/A</c:v>
                </c:pt>
                <c:pt idx="278">
                  <c:v>1676000</c:v>
                </c:pt>
                <c:pt idx="279">
                  <c:v>#N/A</c:v>
                </c:pt>
                <c:pt idx="280">
                  <c:v>#N/A</c:v>
                </c:pt>
                <c:pt idx="281">
                  <c:v>2454000</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1783000</c:v>
                </c:pt>
                <c:pt idx="298">
                  <c:v>#N/A</c:v>
                </c:pt>
                <c:pt idx="299">
                  <c:v>#N/A</c:v>
                </c:pt>
                <c:pt idx="300">
                  <c:v>2074000</c:v>
                </c:pt>
                <c:pt idx="301">
                  <c:v>#N/A</c:v>
                </c:pt>
                <c:pt idx="302">
                  <c:v>#N/A</c:v>
                </c:pt>
                <c:pt idx="303">
                  <c:v>#N/A</c:v>
                </c:pt>
                <c:pt idx="304">
                  <c:v>#N/A</c:v>
                </c:pt>
                <c:pt idx="305">
                  <c:v>1652000</c:v>
                </c:pt>
                <c:pt idx="306">
                  <c:v>#N/A</c:v>
                </c:pt>
                <c:pt idx="307">
                  <c:v>1773000</c:v>
                </c:pt>
                <c:pt idx="308">
                  <c:v>#N/A</c:v>
                </c:pt>
                <c:pt idx="309">
                  <c:v>#N/A</c:v>
                </c:pt>
                <c:pt idx="310">
                  <c:v>#N/A</c:v>
                </c:pt>
                <c:pt idx="311">
                  <c:v>#N/A</c:v>
                </c:pt>
                <c:pt idx="312">
                  <c:v>2402000</c:v>
                </c:pt>
                <c:pt idx="313">
                  <c:v>1789000</c:v>
                </c:pt>
                <c:pt idx="314">
                  <c:v>#N/A</c:v>
                </c:pt>
                <c:pt idx="315">
                  <c:v>#N/A</c:v>
                </c:pt>
                <c:pt idx="316">
                  <c:v>#N/A</c:v>
                </c:pt>
                <c:pt idx="317">
                  <c:v>1696000</c:v>
                </c:pt>
                <c:pt idx="318">
                  <c:v>#N/A</c:v>
                </c:pt>
                <c:pt idx="319">
                  <c:v>#N/A</c:v>
                </c:pt>
                <c:pt idx="320">
                  <c:v>#N/A</c:v>
                </c:pt>
                <c:pt idx="321">
                  <c:v>#N/A</c:v>
                </c:pt>
                <c:pt idx="322">
                  <c:v>2643000</c:v>
                </c:pt>
                <c:pt idx="323">
                  <c:v>#N/A</c:v>
                </c:pt>
                <c:pt idx="324">
                  <c:v>2435000</c:v>
                </c:pt>
                <c:pt idx="325">
                  <c:v>#N/A</c:v>
                </c:pt>
                <c:pt idx="326">
                  <c:v>#N/A</c:v>
                </c:pt>
                <c:pt idx="327">
                  <c:v>2156000</c:v>
                </c:pt>
                <c:pt idx="328">
                  <c:v>#N/A</c:v>
                </c:pt>
                <c:pt idx="329">
                  <c:v>#N/A</c:v>
                </c:pt>
                <c:pt idx="330">
                  <c:v>#N/A</c:v>
                </c:pt>
                <c:pt idx="331">
                  <c:v>1845000</c:v>
                </c:pt>
                <c:pt idx="332">
                  <c:v>#N/A</c:v>
                </c:pt>
                <c:pt idx="333">
                  <c:v>#N/A</c:v>
                </c:pt>
                <c:pt idx="334">
                  <c:v>#N/A</c:v>
                </c:pt>
                <c:pt idx="335">
                  <c:v>#N/A</c:v>
                </c:pt>
                <c:pt idx="336">
                  <c:v>#N/A</c:v>
                </c:pt>
                <c:pt idx="337">
                  <c:v>#N/A</c:v>
                </c:pt>
                <c:pt idx="338">
                  <c:v>1419000</c:v>
                </c:pt>
                <c:pt idx="339">
                  <c:v>#N/A</c:v>
                </c:pt>
                <c:pt idx="340">
                  <c:v>2155000</c:v>
                </c:pt>
                <c:pt idx="341">
                  <c:v>2451000</c:v>
                </c:pt>
                <c:pt idx="342">
                  <c:v>3236000</c:v>
                </c:pt>
                <c:pt idx="343">
                  <c:v>#N/A</c:v>
                </c:pt>
                <c:pt idx="344">
                  <c:v>1392000</c:v>
                </c:pt>
                <c:pt idx="345">
                  <c:v>1964000</c:v>
                </c:pt>
                <c:pt idx="346">
                  <c:v>#N/A</c:v>
                </c:pt>
                <c:pt idx="347">
                  <c:v>2674000</c:v>
                </c:pt>
                <c:pt idx="348">
                  <c:v>#N/A</c:v>
                </c:pt>
                <c:pt idx="349">
                  <c:v>#N/A</c:v>
                </c:pt>
                <c:pt idx="350">
                  <c:v>#N/A</c:v>
                </c:pt>
                <c:pt idx="351">
                  <c:v>#N/A</c:v>
                </c:pt>
                <c:pt idx="352">
                  <c:v>#N/A</c:v>
                </c:pt>
                <c:pt idx="353">
                  <c:v>2466000</c:v>
                </c:pt>
                <c:pt idx="354">
                  <c:v>#N/A</c:v>
                </c:pt>
                <c:pt idx="355">
                  <c:v>#N/A</c:v>
                </c:pt>
                <c:pt idx="356">
                  <c:v>1988000</c:v>
                </c:pt>
                <c:pt idx="357">
                  <c:v>#N/A</c:v>
                </c:pt>
                <c:pt idx="358">
                  <c:v>1593000</c:v>
                </c:pt>
                <c:pt idx="359">
                  <c:v>#N/A</c:v>
                </c:pt>
                <c:pt idx="360">
                  <c:v>3813000</c:v>
                </c:pt>
                <c:pt idx="361">
                  <c:v>#N/A</c:v>
                </c:pt>
                <c:pt idx="362">
                  <c:v>#N/A</c:v>
                </c:pt>
                <c:pt idx="363">
                  <c:v>#N/A</c:v>
                </c:pt>
                <c:pt idx="364">
                  <c:v>#N/A</c:v>
                </c:pt>
                <c:pt idx="365">
                  <c:v>#N/A</c:v>
                </c:pt>
                <c:pt idx="366">
                  <c:v>#N/A</c:v>
                </c:pt>
                <c:pt idx="367">
                  <c:v>#N/A</c:v>
                </c:pt>
                <c:pt idx="368">
                  <c:v>#N/A</c:v>
                </c:pt>
                <c:pt idx="369">
                  <c:v>#N/A</c:v>
                </c:pt>
                <c:pt idx="370">
                  <c:v>1722000</c:v>
                </c:pt>
                <c:pt idx="371">
                  <c:v>#N/A</c:v>
                </c:pt>
                <c:pt idx="372">
                  <c:v>#N/A</c:v>
                </c:pt>
                <c:pt idx="373">
                  <c:v>#N/A</c:v>
                </c:pt>
                <c:pt idx="374">
                  <c:v>#N/A</c:v>
                </c:pt>
                <c:pt idx="375">
                  <c:v>#N/A</c:v>
                </c:pt>
                <c:pt idx="376">
                  <c:v>1128000</c:v>
                </c:pt>
                <c:pt idx="377">
                  <c:v>#N/A</c:v>
                </c:pt>
                <c:pt idx="378">
                  <c:v>1613000</c:v>
                </c:pt>
                <c:pt idx="379">
                  <c:v>#N/A</c:v>
                </c:pt>
                <c:pt idx="380">
                  <c:v>#N/A</c:v>
                </c:pt>
                <c:pt idx="381">
                  <c:v>2439000</c:v>
                </c:pt>
                <c:pt idx="382">
                  <c:v>#N/A</c:v>
                </c:pt>
                <c:pt idx="383">
                  <c:v>#N/A</c:v>
                </c:pt>
                <c:pt idx="384">
                  <c:v>#N/A</c:v>
                </c:pt>
                <c:pt idx="385">
                  <c:v>2156000</c:v>
                </c:pt>
                <c:pt idx="386">
                  <c:v>#N/A</c:v>
                </c:pt>
                <c:pt idx="387">
                  <c:v>2996000</c:v>
                </c:pt>
                <c:pt idx="388">
                  <c:v>1820000</c:v>
                </c:pt>
                <c:pt idx="389">
                  <c:v>#N/A</c:v>
                </c:pt>
                <c:pt idx="390">
                  <c:v>#N/A</c:v>
                </c:pt>
                <c:pt idx="391">
                  <c:v>2952000</c:v>
                </c:pt>
                <c:pt idx="392">
                  <c:v>#N/A</c:v>
                </c:pt>
                <c:pt idx="393">
                  <c:v>1390000</c:v>
                </c:pt>
                <c:pt idx="394">
                  <c:v>#N/A</c:v>
                </c:pt>
                <c:pt idx="395">
                  <c:v>#N/A</c:v>
                </c:pt>
                <c:pt idx="396">
                  <c:v>#N/A</c:v>
                </c:pt>
                <c:pt idx="397">
                  <c:v>#N/A</c:v>
                </c:pt>
                <c:pt idx="398">
                  <c:v>1735000</c:v>
                </c:pt>
                <c:pt idx="399">
                  <c:v>1934000</c:v>
                </c:pt>
                <c:pt idx="400">
                  <c:v>#N/A</c:v>
                </c:pt>
                <c:pt idx="401">
                  <c:v>#N/A</c:v>
                </c:pt>
                <c:pt idx="402">
                  <c:v>#N/A</c:v>
                </c:pt>
                <c:pt idx="403">
                  <c:v>#N/A</c:v>
                </c:pt>
                <c:pt idx="404">
                  <c:v>#N/A</c:v>
                </c:pt>
                <c:pt idx="405">
                  <c:v>#N/A</c:v>
                </c:pt>
                <c:pt idx="406">
                  <c:v>#N/A</c:v>
                </c:pt>
                <c:pt idx="407">
                  <c:v>#N/A</c:v>
                </c:pt>
                <c:pt idx="408">
                  <c:v>1577000</c:v>
                </c:pt>
                <c:pt idx="409">
                  <c:v>1383000</c:v>
                </c:pt>
                <c:pt idx="410">
                  <c:v>2163000</c:v>
                </c:pt>
                <c:pt idx="411">
                  <c:v>#N/A</c:v>
                </c:pt>
                <c:pt idx="412">
                  <c:v>#N/A</c:v>
                </c:pt>
                <c:pt idx="413">
                  <c:v>#N/A</c:v>
                </c:pt>
                <c:pt idx="414">
                  <c:v>2693000</c:v>
                </c:pt>
                <c:pt idx="415">
                  <c:v>#N/A</c:v>
                </c:pt>
                <c:pt idx="416">
                  <c:v>#N/A</c:v>
                </c:pt>
                <c:pt idx="417">
                  <c:v>2924000</c:v>
                </c:pt>
                <c:pt idx="418">
                  <c:v>#N/A</c:v>
                </c:pt>
                <c:pt idx="419">
                  <c:v>#N/A</c:v>
                </c:pt>
                <c:pt idx="420">
                  <c:v>#N/A</c:v>
                </c:pt>
                <c:pt idx="421">
                  <c:v>#N/A</c:v>
                </c:pt>
                <c:pt idx="422">
                  <c:v>#N/A</c:v>
                </c:pt>
                <c:pt idx="423">
                  <c:v>#N/A</c:v>
                </c:pt>
                <c:pt idx="424">
                  <c:v>#N/A</c:v>
                </c:pt>
                <c:pt idx="425">
                  <c:v>#N/A</c:v>
                </c:pt>
                <c:pt idx="426">
                  <c:v>1511000</c:v>
                </c:pt>
                <c:pt idx="427">
                  <c:v>#N/A</c:v>
                </c:pt>
                <c:pt idx="428">
                  <c:v>#N/A</c:v>
                </c:pt>
                <c:pt idx="429">
                  <c:v>#N/A</c:v>
                </c:pt>
                <c:pt idx="430">
                  <c:v>#N/A</c:v>
                </c:pt>
                <c:pt idx="431">
                  <c:v>#N/A</c:v>
                </c:pt>
                <c:pt idx="432">
                  <c:v>1854000</c:v>
                </c:pt>
                <c:pt idx="433">
                  <c:v>#N/A</c:v>
                </c:pt>
                <c:pt idx="434">
                  <c:v>1864000</c:v>
                </c:pt>
                <c:pt idx="435">
                  <c:v>#N/A</c:v>
                </c:pt>
                <c:pt idx="436">
                  <c:v>1559000</c:v>
                </c:pt>
                <c:pt idx="437">
                  <c:v>#N/A</c:v>
                </c:pt>
                <c:pt idx="438">
                  <c:v>3016000</c:v>
                </c:pt>
                <c:pt idx="439">
                  <c:v>#N/A</c:v>
                </c:pt>
                <c:pt idx="440">
                  <c:v>#N/A</c:v>
                </c:pt>
                <c:pt idx="441">
                  <c:v>1689000</c:v>
                </c:pt>
                <c:pt idx="442">
                  <c:v>#N/A</c:v>
                </c:pt>
                <c:pt idx="443">
                  <c:v>#N/A</c:v>
                </c:pt>
                <c:pt idx="444">
                  <c:v>#N/A</c:v>
                </c:pt>
                <c:pt idx="445">
                  <c:v>2611000</c:v>
                </c:pt>
                <c:pt idx="446">
                  <c:v>2302000</c:v>
                </c:pt>
                <c:pt idx="447">
                  <c:v>#N/A</c:v>
                </c:pt>
                <c:pt idx="448">
                  <c:v>#N/A</c:v>
                </c:pt>
                <c:pt idx="449">
                  <c:v>#N/A</c:v>
                </c:pt>
                <c:pt idx="450">
                  <c:v>#N/A</c:v>
                </c:pt>
                <c:pt idx="451">
                  <c:v>#N/A</c:v>
                </c:pt>
                <c:pt idx="452">
                  <c:v>2243000</c:v>
                </c:pt>
                <c:pt idx="453">
                  <c:v>#N/A</c:v>
                </c:pt>
                <c:pt idx="454">
                  <c:v>#N/A</c:v>
                </c:pt>
                <c:pt idx="455">
                  <c:v>#N/A</c:v>
                </c:pt>
                <c:pt idx="456">
                  <c:v>#N/A</c:v>
                </c:pt>
                <c:pt idx="457">
                  <c:v>#N/A</c:v>
                </c:pt>
                <c:pt idx="458">
                  <c:v>#N/A</c:v>
                </c:pt>
                <c:pt idx="459">
                  <c:v>#N/A</c:v>
                </c:pt>
                <c:pt idx="460">
                  <c:v>2817000</c:v>
                </c:pt>
                <c:pt idx="461">
                  <c:v>#N/A</c:v>
                </c:pt>
                <c:pt idx="462">
                  <c:v>1860000</c:v>
                </c:pt>
                <c:pt idx="463">
                  <c:v>1842000</c:v>
                </c:pt>
                <c:pt idx="464">
                  <c:v>#N/A</c:v>
                </c:pt>
                <c:pt idx="465">
                  <c:v>#N/A</c:v>
                </c:pt>
                <c:pt idx="466">
                  <c:v>#N/A</c:v>
                </c:pt>
                <c:pt idx="467">
                  <c:v>#N/A</c:v>
                </c:pt>
                <c:pt idx="468">
                  <c:v>1413000</c:v>
                </c:pt>
                <c:pt idx="469">
                  <c:v>#N/A</c:v>
                </c:pt>
                <c:pt idx="470">
                  <c:v>#N/A</c:v>
                </c:pt>
                <c:pt idx="471">
                  <c:v>#N/A</c:v>
                </c:pt>
                <c:pt idx="472">
                  <c:v>#N/A</c:v>
                </c:pt>
                <c:pt idx="473">
                  <c:v>#N/A</c:v>
                </c:pt>
                <c:pt idx="474">
                  <c:v>3035000</c:v>
                </c:pt>
                <c:pt idx="475">
                  <c:v>1402000</c:v>
                </c:pt>
                <c:pt idx="476">
                  <c:v>#N/A</c:v>
                </c:pt>
                <c:pt idx="477">
                  <c:v>1407000</c:v>
                </c:pt>
                <c:pt idx="478">
                  <c:v>#N/A</c:v>
                </c:pt>
                <c:pt idx="479">
                  <c:v>#N/A</c:v>
                </c:pt>
                <c:pt idx="480">
                  <c:v>#N/A</c:v>
                </c:pt>
                <c:pt idx="481">
                  <c:v>#N/A</c:v>
                </c:pt>
                <c:pt idx="482">
                  <c:v>#N/A</c:v>
                </c:pt>
                <c:pt idx="483">
                  <c:v>1442000</c:v>
                </c:pt>
                <c:pt idx="484">
                  <c:v>3009000</c:v>
                </c:pt>
                <c:pt idx="485">
                  <c:v>#N/A</c:v>
                </c:pt>
                <c:pt idx="486">
                  <c:v>2409000</c:v>
                </c:pt>
                <c:pt idx="487">
                  <c:v>#N/A</c:v>
                </c:pt>
                <c:pt idx="488">
                  <c:v>2169000</c:v>
                </c:pt>
                <c:pt idx="489">
                  <c:v>#N/A</c:v>
                </c:pt>
                <c:pt idx="490">
                  <c:v>#N/A</c:v>
                </c:pt>
                <c:pt idx="491">
                  <c:v>1593000</c:v>
                </c:pt>
                <c:pt idx="492">
                  <c:v>#N/A</c:v>
                </c:pt>
                <c:pt idx="493">
                  <c:v>1550000</c:v>
                </c:pt>
                <c:pt idx="494">
                  <c:v>#N/A</c:v>
                </c:pt>
                <c:pt idx="495">
                  <c:v>#N/A</c:v>
                </c:pt>
                <c:pt idx="496">
                  <c:v>#N/A</c:v>
                </c:pt>
                <c:pt idx="497">
                  <c:v>1377000</c:v>
                </c:pt>
                <c:pt idx="498">
                  <c:v>1628000</c:v>
                </c:pt>
                <c:pt idx="499">
                  <c:v>#N/A</c:v>
                </c:pt>
                <c:pt idx="500">
                  <c:v>4253000</c:v>
                </c:pt>
                <c:pt idx="501">
                  <c:v>#N/A</c:v>
                </c:pt>
                <c:pt idx="502">
                  <c:v>#N/A</c:v>
                </c:pt>
                <c:pt idx="503">
                  <c:v>#N/A</c:v>
                </c:pt>
                <c:pt idx="504">
                  <c:v>#N/A</c:v>
                </c:pt>
                <c:pt idx="505">
                  <c:v>#N/A</c:v>
                </c:pt>
                <c:pt idx="506">
                  <c:v>#N/A</c:v>
                </c:pt>
                <c:pt idx="507">
                  <c:v>#N/A</c:v>
                </c:pt>
                <c:pt idx="508">
                  <c:v>3767000</c:v>
                </c:pt>
                <c:pt idx="509">
                  <c:v>#N/A</c:v>
                </c:pt>
                <c:pt idx="510">
                  <c:v>#N/A</c:v>
                </c:pt>
                <c:pt idx="511">
                  <c:v>#N/A</c:v>
                </c:pt>
                <c:pt idx="512">
                  <c:v>#N/A</c:v>
                </c:pt>
                <c:pt idx="513">
                  <c:v>#N/A</c:v>
                </c:pt>
                <c:pt idx="514">
                  <c:v>#N/A</c:v>
                </c:pt>
                <c:pt idx="515">
                  <c:v>#N/A</c:v>
                </c:pt>
                <c:pt idx="516">
                  <c:v>3128000</c:v>
                </c:pt>
                <c:pt idx="517">
                  <c:v>#N/A</c:v>
                </c:pt>
                <c:pt idx="518">
                  <c:v>#N/A</c:v>
                </c:pt>
                <c:pt idx="519">
                  <c:v>#N/A</c:v>
                </c:pt>
                <c:pt idx="520">
                  <c:v>#N/A</c:v>
                </c:pt>
                <c:pt idx="521">
                  <c:v>#N/A</c:v>
                </c:pt>
                <c:pt idx="522">
                  <c:v>#N/A</c:v>
                </c:pt>
                <c:pt idx="523">
                  <c:v>#N/A</c:v>
                </c:pt>
                <c:pt idx="524">
                  <c:v>#N/A</c:v>
                </c:pt>
                <c:pt idx="525">
                  <c:v>2669000</c:v>
                </c:pt>
                <c:pt idx="526">
                  <c:v>#N/A</c:v>
                </c:pt>
                <c:pt idx="527">
                  <c:v>#N/A</c:v>
                </c:pt>
                <c:pt idx="528">
                  <c:v>3946000</c:v>
                </c:pt>
                <c:pt idx="529">
                  <c:v>#N/A</c:v>
                </c:pt>
                <c:pt idx="530">
                  <c:v>2405000</c:v>
                </c:pt>
                <c:pt idx="531">
                  <c:v>#N/A</c:v>
                </c:pt>
                <c:pt idx="532">
                  <c:v>#N/A</c:v>
                </c:pt>
                <c:pt idx="533">
                  <c:v>#N/A</c:v>
                </c:pt>
                <c:pt idx="534">
                  <c:v>#N/A</c:v>
                </c:pt>
                <c:pt idx="535">
                  <c:v>#N/A</c:v>
                </c:pt>
                <c:pt idx="536">
                  <c:v>1530000</c:v>
                </c:pt>
                <c:pt idx="537">
                  <c:v>1920000</c:v>
                </c:pt>
                <c:pt idx="538">
                  <c:v>#N/A</c:v>
                </c:pt>
                <c:pt idx="539">
                  <c:v>#N/A</c:v>
                </c:pt>
                <c:pt idx="540">
                  <c:v>#N/A</c:v>
                </c:pt>
                <c:pt idx="541">
                  <c:v>#N/A</c:v>
                </c:pt>
                <c:pt idx="542">
                  <c:v>1580000</c:v>
                </c:pt>
                <c:pt idx="543">
                  <c:v>#N/A</c:v>
                </c:pt>
                <c:pt idx="544">
                  <c:v>2144000</c:v>
                </c:pt>
                <c:pt idx="545">
                  <c:v>#N/A</c:v>
                </c:pt>
                <c:pt idx="546">
                  <c:v>#N/A</c:v>
                </c:pt>
                <c:pt idx="547">
                  <c:v>#N/A</c:v>
                </c:pt>
                <c:pt idx="548">
                  <c:v>#N/A</c:v>
                </c:pt>
                <c:pt idx="549">
                  <c:v>#N/A</c:v>
                </c:pt>
                <c:pt idx="550">
                  <c:v>#N/A</c:v>
                </c:pt>
                <c:pt idx="551">
                  <c:v>#N/A</c:v>
                </c:pt>
                <c:pt idx="552">
                  <c:v>#N/A</c:v>
                </c:pt>
                <c:pt idx="553">
                  <c:v>#N/A</c:v>
                </c:pt>
                <c:pt idx="554">
                  <c:v>2158000</c:v>
                </c:pt>
                <c:pt idx="555">
                  <c:v>#N/A</c:v>
                </c:pt>
                <c:pt idx="556">
                  <c:v>#N/A</c:v>
                </c:pt>
                <c:pt idx="557">
                  <c:v>1757000</c:v>
                </c:pt>
                <c:pt idx="558">
                  <c:v>#N/A</c:v>
                </c:pt>
                <c:pt idx="559">
                  <c:v>#N/A</c:v>
                </c:pt>
                <c:pt idx="560">
                  <c:v>1885000</c:v>
                </c:pt>
                <c:pt idx="561">
                  <c:v>#N/A</c:v>
                </c:pt>
                <c:pt idx="562">
                  <c:v>#N/A</c:v>
                </c:pt>
                <c:pt idx="563">
                  <c:v>#N/A</c:v>
                </c:pt>
                <c:pt idx="564">
                  <c:v>#N/A</c:v>
                </c:pt>
                <c:pt idx="565">
                  <c:v>2804000</c:v>
                </c:pt>
                <c:pt idx="566">
                  <c:v>1227000</c:v>
                </c:pt>
                <c:pt idx="567">
                  <c:v>#N/A</c:v>
                </c:pt>
                <c:pt idx="568">
                  <c:v>#N/A</c:v>
                </c:pt>
                <c:pt idx="569">
                  <c:v>2334000</c:v>
                </c:pt>
                <c:pt idx="570">
                  <c:v>#N/A</c:v>
                </c:pt>
                <c:pt idx="571">
                  <c:v>#N/A</c:v>
                </c:pt>
                <c:pt idx="572">
                  <c:v>#N/A</c:v>
                </c:pt>
                <c:pt idx="573">
                  <c:v>#N/A</c:v>
                </c:pt>
                <c:pt idx="574">
                  <c:v>#N/A</c:v>
                </c:pt>
                <c:pt idx="575">
                  <c:v>1859000</c:v>
                </c:pt>
                <c:pt idx="576">
                  <c:v>1678000</c:v>
                </c:pt>
                <c:pt idx="577">
                  <c:v>#N/A</c:v>
                </c:pt>
                <c:pt idx="578">
                  <c:v>#N/A</c:v>
                </c:pt>
                <c:pt idx="579">
                  <c:v>#N/A</c:v>
                </c:pt>
                <c:pt idx="580">
                  <c:v>2380000</c:v>
                </c:pt>
                <c:pt idx="581">
                  <c:v>#N/A</c:v>
                </c:pt>
                <c:pt idx="582">
                  <c:v>#N/A</c:v>
                </c:pt>
                <c:pt idx="583">
                  <c:v>#N/A</c:v>
                </c:pt>
                <c:pt idx="584">
                  <c:v>#N/A</c:v>
                </c:pt>
                <c:pt idx="585">
                  <c:v>#N/A</c:v>
                </c:pt>
                <c:pt idx="586">
                  <c:v>#N/A</c:v>
                </c:pt>
                <c:pt idx="587">
                  <c:v>2121000</c:v>
                </c:pt>
                <c:pt idx="588">
                  <c:v>2070000</c:v>
                </c:pt>
                <c:pt idx="589">
                  <c:v>#N/A</c:v>
                </c:pt>
                <c:pt idx="590">
                  <c:v>#N/A</c:v>
                </c:pt>
                <c:pt idx="591">
                  <c:v>#N/A</c:v>
                </c:pt>
                <c:pt idx="592">
                  <c:v>1771000</c:v>
                </c:pt>
                <c:pt idx="593">
                  <c:v>2003000</c:v>
                </c:pt>
                <c:pt idx="594">
                  <c:v>#N/A</c:v>
                </c:pt>
                <c:pt idx="595">
                  <c:v>2254000</c:v>
                </c:pt>
                <c:pt idx="596">
                  <c:v>#N/A</c:v>
                </c:pt>
                <c:pt idx="597">
                  <c:v>#N/A</c:v>
                </c:pt>
                <c:pt idx="598">
                  <c:v>#N/A</c:v>
                </c:pt>
                <c:pt idx="599">
                  <c:v>#N/A</c:v>
                </c:pt>
                <c:pt idx="600">
                  <c:v>1988000</c:v>
                </c:pt>
                <c:pt idx="601">
                  <c:v>3185000</c:v>
                </c:pt>
                <c:pt idx="602">
                  <c:v>#N/A</c:v>
                </c:pt>
                <c:pt idx="603">
                  <c:v>#N/A</c:v>
                </c:pt>
                <c:pt idx="604">
                  <c:v>#N/A</c:v>
                </c:pt>
                <c:pt idx="605">
                  <c:v>2123000</c:v>
                </c:pt>
                <c:pt idx="606">
                  <c:v>#N/A</c:v>
                </c:pt>
                <c:pt idx="607">
                  <c:v>#N/A</c:v>
                </c:pt>
                <c:pt idx="608">
                  <c:v>2503000</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1369000</c:v>
                </c:pt>
                <c:pt idx="624">
                  <c:v>#N/A</c:v>
                </c:pt>
                <c:pt idx="625">
                  <c:v>#N/A</c:v>
                </c:pt>
                <c:pt idx="626">
                  <c:v>1914000</c:v>
                </c:pt>
                <c:pt idx="627">
                  <c:v>#N/A</c:v>
                </c:pt>
                <c:pt idx="628">
                  <c:v>#N/A</c:v>
                </c:pt>
                <c:pt idx="629">
                  <c:v>#N/A</c:v>
                </c:pt>
                <c:pt idx="630">
                  <c:v>2055000</c:v>
                </c:pt>
                <c:pt idx="631">
                  <c:v>#N/A</c:v>
                </c:pt>
                <c:pt idx="632">
                  <c:v>3626000</c:v>
                </c:pt>
                <c:pt idx="633">
                  <c:v>#N/A</c:v>
                </c:pt>
                <c:pt idx="634">
                  <c:v>#N/A</c:v>
                </c:pt>
                <c:pt idx="635">
                  <c:v>#N/A</c:v>
                </c:pt>
                <c:pt idx="636">
                  <c:v>#N/A</c:v>
                </c:pt>
                <c:pt idx="637">
                  <c:v>#N/A</c:v>
                </c:pt>
                <c:pt idx="638">
                  <c:v>#N/A</c:v>
                </c:pt>
                <c:pt idx="639">
                  <c:v>#N/A</c:v>
                </c:pt>
                <c:pt idx="640">
                  <c:v>#N/A</c:v>
                </c:pt>
                <c:pt idx="641">
                  <c:v>#N/A</c:v>
                </c:pt>
                <c:pt idx="642">
                  <c:v>2025000</c:v>
                </c:pt>
                <c:pt idx="643">
                  <c:v>#N/A</c:v>
                </c:pt>
                <c:pt idx="644">
                  <c:v>2175000</c:v>
                </c:pt>
                <c:pt idx="645">
                  <c:v>#N/A</c:v>
                </c:pt>
                <c:pt idx="646">
                  <c:v>2576000</c:v>
                </c:pt>
                <c:pt idx="647">
                  <c:v>2659000</c:v>
                </c:pt>
                <c:pt idx="648">
                  <c:v>#N/A</c:v>
                </c:pt>
                <c:pt idx="649">
                  <c:v>#N/A</c:v>
                </c:pt>
                <c:pt idx="650">
                  <c:v>#N/A</c:v>
                </c:pt>
                <c:pt idx="651">
                  <c:v>2122000</c:v>
                </c:pt>
                <c:pt idx="652">
                  <c:v>#N/A</c:v>
                </c:pt>
                <c:pt idx="653">
                  <c:v>#N/A</c:v>
                </c:pt>
                <c:pt idx="654">
                  <c:v>2253000</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1839000</c:v>
                </c:pt>
                <c:pt idx="669">
                  <c:v>#N/A</c:v>
                </c:pt>
                <c:pt idx="670">
                  <c:v>2523000</c:v>
                </c:pt>
                <c:pt idx="671">
                  <c:v>#N/A</c:v>
                </c:pt>
                <c:pt idx="672">
                  <c:v>#N/A</c:v>
                </c:pt>
                <c:pt idx="673">
                  <c:v>1453000</c:v>
                </c:pt>
                <c:pt idx="674">
                  <c:v>#N/A</c:v>
                </c:pt>
                <c:pt idx="675">
                  <c:v>#N/A</c:v>
                </c:pt>
                <c:pt idx="676">
                  <c:v>#N/A</c:v>
                </c:pt>
                <c:pt idx="677">
                  <c:v>#N/A</c:v>
                </c:pt>
                <c:pt idx="678">
                  <c:v>#N/A</c:v>
                </c:pt>
                <c:pt idx="679">
                  <c:v>#N/A</c:v>
                </c:pt>
                <c:pt idx="680">
                  <c:v>#N/A</c:v>
                </c:pt>
                <c:pt idx="681">
                  <c:v>#N/A</c:v>
                </c:pt>
                <c:pt idx="682">
                  <c:v>1377000</c:v>
                </c:pt>
                <c:pt idx="683">
                  <c:v>#N/A</c:v>
                </c:pt>
                <c:pt idx="684">
                  <c:v>#N/A</c:v>
                </c:pt>
                <c:pt idx="685">
                  <c:v>#N/A</c:v>
                </c:pt>
                <c:pt idx="686">
                  <c:v>#N/A</c:v>
                </c:pt>
                <c:pt idx="687">
                  <c:v>#N/A</c:v>
                </c:pt>
                <c:pt idx="688">
                  <c:v>#N/A</c:v>
                </c:pt>
                <c:pt idx="689">
                  <c:v>#N/A</c:v>
                </c:pt>
                <c:pt idx="690">
                  <c:v>#N/A</c:v>
                </c:pt>
                <c:pt idx="691">
                  <c:v>2197000</c:v>
                </c:pt>
                <c:pt idx="692">
                  <c:v>#N/A</c:v>
                </c:pt>
                <c:pt idx="693">
                  <c:v>#N/A</c:v>
                </c:pt>
                <c:pt idx="694">
                  <c:v>#N/A</c:v>
                </c:pt>
                <c:pt idx="695">
                  <c:v>#N/A</c:v>
                </c:pt>
                <c:pt idx="696">
                  <c:v>#N/A</c:v>
                </c:pt>
                <c:pt idx="697">
                  <c:v>1149000</c:v>
                </c:pt>
                <c:pt idx="698">
                  <c:v>#N/A</c:v>
                </c:pt>
                <c:pt idx="699">
                  <c:v>1932000</c:v>
                </c:pt>
                <c:pt idx="700">
                  <c:v>#N/A</c:v>
                </c:pt>
                <c:pt idx="701">
                  <c:v>#N/A</c:v>
                </c:pt>
                <c:pt idx="702">
                  <c:v>3210000</c:v>
                </c:pt>
                <c:pt idx="703">
                  <c:v>1861000</c:v>
                </c:pt>
                <c:pt idx="704">
                  <c:v>#N/A</c:v>
                </c:pt>
                <c:pt idx="705">
                  <c:v>2178000</c:v>
                </c:pt>
                <c:pt idx="706">
                  <c:v>#N/A</c:v>
                </c:pt>
                <c:pt idx="707">
                  <c:v>#N/A</c:v>
                </c:pt>
                <c:pt idx="708">
                  <c:v>#N/A</c:v>
                </c:pt>
                <c:pt idx="709">
                  <c:v>2427000</c:v>
                </c:pt>
                <c:pt idx="710">
                  <c:v>#N/A</c:v>
                </c:pt>
                <c:pt idx="711">
                  <c:v>1939000</c:v>
                </c:pt>
                <c:pt idx="712">
                  <c:v>#N/A</c:v>
                </c:pt>
                <c:pt idx="713">
                  <c:v>1930000</c:v>
                </c:pt>
                <c:pt idx="714">
                  <c:v>#N/A</c:v>
                </c:pt>
                <c:pt idx="715">
                  <c:v>#N/A</c:v>
                </c:pt>
                <c:pt idx="716">
                  <c:v>#N/A</c:v>
                </c:pt>
                <c:pt idx="717">
                  <c:v>1728000</c:v>
                </c:pt>
                <c:pt idx="718">
                  <c:v>#N/A</c:v>
                </c:pt>
                <c:pt idx="719">
                  <c:v>#N/A</c:v>
                </c:pt>
                <c:pt idx="720">
                  <c:v>1759000</c:v>
                </c:pt>
                <c:pt idx="721">
                  <c:v>#N/A</c:v>
                </c:pt>
                <c:pt idx="722">
                  <c:v>2001000</c:v>
                </c:pt>
                <c:pt idx="723">
                  <c:v>#N/A</c:v>
                </c:pt>
                <c:pt idx="724">
                  <c:v>#N/A</c:v>
                </c:pt>
                <c:pt idx="725">
                  <c:v>#N/A</c:v>
                </c:pt>
                <c:pt idx="726">
                  <c:v>#N/A</c:v>
                </c:pt>
                <c:pt idx="727">
                  <c:v>#N/A</c:v>
                </c:pt>
                <c:pt idx="728">
                  <c:v>2203000</c:v>
                </c:pt>
                <c:pt idx="729">
                  <c:v>#N/A</c:v>
                </c:pt>
                <c:pt idx="730">
                  <c:v>2005000</c:v>
                </c:pt>
                <c:pt idx="731">
                  <c:v>2459000</c:v>
                </c:pt>
                <c:pt idx="732">
                  <c:v>#N/A</c:v>
                </c:pt>
                <c:pt idx="733">
                  <c:v>#N/A</c:v>
                </c:pt>
                <c:pt idx="734">
                  <c:v>#N/A</c:v>
                </c:pt>
                <c:pt idx="735">
                  <c:v>#N/A</c:v>
                </c:pt>
                <c:pt idx="736">
                  <c:v>2756000</c:v>
                </c:pt>
                <c:pt idx="737">
                  <c:v>1745000</c:v>
                </c:pt>
                <c:pt idx="738">
                  <c:v>#N/A</c:v>
                </c:pt>
                <c:pt idx="739">
                  <c:v>#N/A</c:v>
                </c:pt>
                <c:pt idx="740">
                  <c:v>#N/A</c:v>
                </c:pt>
                <c:pt idx="741">
                  <c:v>1950000</c:v>
                </c:pt>
                <c:pt idx="742">
                  <c:v>4268000</c:v>
                </c:pt>
                <c:pt idx="743">
                  <c:v>#N/A</c:v>
                </c:pt>
                <c:pt idx="744">
                  <c:v>#N/A</c:v>
                </c:pt>
                <c:pt idx="745">
                  <c:v>#N/A</c:v>
                </c:pt>
                <c:pt idx="746">
                  <c:v>#N/A</c:v>
                </c:pt>
                <c:pt idx="747">
                  <c:v>#N/A</c:v>
                </c:pt>
                <c:pt idx="748">
                  <c:v>#N/A</c:v>
                </c:pt>
                <c:pt idx="749">
                  <c:v>1483000</c:v>
                </c:pt>
                <c:pt idx="750">
                  <c:v>#N/A</c:v>
                </c:pt>
                <c:pt idx="751">
                  <c:v>1910000</c:v>
                </c:pt>
                <c:pt idx="752">
                  <c:v>#N/A</c:v>
                </c:pt>
                <c:pt idx="753">
                  <c:v>#N/A</c:v>
                </c:pt>
                <c:pt idx="754">
                  <c:v>#N/A</c:v>
                </c:pt>
                <c:pt idx="755">
                  <c:v>1910000</c:v>
                </c:pt>
                <c:pt idx="756">
                  <c:v>#N/A</c:v>
                </c:pt>
                <c:pt idx="757">
                  <c:v>#N/A</c:v>
                </c:pt>
                <c:pt idx="758">
                  <c:v>#N/A</c:v>
                </c:pt>
                <c:pt idx="759">
                  <c:v>1724000</c:v>
                </c:pt>
                <c:pt idx="760">
                  <c:v>987000</c:v>
                </c:pt>
                <c:pt idx="761">
                  <c:v>1618000</c:v>
                </c:pt>
                <c:pt idx="762">
                  <c:v>#N/A</c:v>
                </c:pt>
                <c:pt idx="763">
                  <c:v>2509000</c:v>
                </c:pt>
                <c:pt idx="764">
                  <c:v>#N/A</c:v>
                </c:pt>
                <c:pt idx="765">
                  <c:v>#N/A</c:v>
                </c:pt>
                <c:pt idx="766">
                  <c:v>#N/A</c:v>
                </c:pt>
                <c:pt idx="767">
                  <c:v>#N/A</c:v>
                </c:pt>
                <c:pt idx="768">
                  <c:v>#N/A</c:v>
                </c:pt>
                <c:pt idx="769">
                  <c:v>2488000</c:v>
                </c:pt>
                <c:pt idx="770">
                  <c:v>#N/A</c:v>
                </c:pt>
                <c:pt idx="771">
                  <c:v>2852000</c:v>
                </c:pt>
                <c:pt idx="772">
                  <c:v>#N/A</c:v>
                </c:pt>
                <c:pt idx="773">
                  <c:v>#N/A</c:v>
                </c:pt>
                <c:pt idx="774">
                  <c:v>#N/A</c:v>
                </c:pt>
                <c:pt idx="775">
                  <c:v>2941000</c:v>
                </c:pt>
                <c:pt idx="776">
                  <c:v>2470000</c:v>
                </c:pt>
                <c:pt idx="777">
                  <c:v>1560000</c:v>
                </c:pt>
                <c:pt idx="778">
                  <c:v>#N/A</c:v>
                </c:pt>
                <c:pt idx="779">
                  <c:v>1915000</c:v>
                </c:pt>
                <c:pt idx="780">
                  <c:v>#N/A</c:v>
                </c:pt>
                <c:pt idx="781">
                  <c:v>#N/A</c:v>
                </c:pt>
                <c:pt idx="782">
                  <c:v>#N/A</c:v>
                </c:pt>
                <c:pt idx="783">
                  <c:v>#N/A</c:v>
                </c:pt>
                <c:pt idx="784">
                  <c:v>#N/A</c:v>
                </c:pt>
                <c:pt idx="785">
                  <c:v>2018000</c:v>
                </c:pt>
                <c:pt idx="786">
                  <c:v>#N/A</c:v>
                </c:pt>
                <c:pt idx="787">
                  <c:v>#N/A</c:v>
                </c:pt>
                <c:pt idx="788">
                  <c:v>#N/A</c:v>
                </c:pt>
                <c:pt idx="789">
                  <c:v>#N/A</c:v>
                </c:pt>
                <c:pt idx="790">
                  <c:v>#N/A</c:v>
                </c:pt>
                <c:pt idx="791">
                  <c:v>#N/A</c:v>
                </c:pt>
                <c:pt idx="792">
                  <c:v>#N/A</c:v>
                </c:pt>
                <c:pt idx="793">
                  <c:v>#N/A</c:v>
                </c:pt>
                <c:pt idx="794">
                  <c:v>#N/A</c:v>
                </c:pt>
                <c:pt idx="795">
                  <c:v>#N/A</c:v>
                </c:pt>
                <c:pt idx="796">
                  <c:v>#N/A</c:v>
                </c:pt>
                <c:pt idx="797">
                  <c:v>2714000</c:v>
                </c:pt>
                <c:pt idx="798">
                  <c:v>#N/A</c:v>
                </c:pt>
                <c:pt idx="799">
                  <c:v>#N/A</c:v>
                </c:pt>
                <c:pt idx="800">
                  <c:v>1612000</c:v>
                </c:pt>
                <c:pt idx="801">
                  <c:v>1636000</c:v>
                </c:pt>
                <c:pt idx="802">
                  <c:v>#N/A</c:v>
                </c:pt>
                <c:pt idx="803">
                  <c:v>#N/A</c:v>
                </c:pt>
                <c:pt idx="804">
                  <c:v>#N/A</c:v>
                </c:pt>
                <c:pt idx="805">
                  <c:v>2358000</c:v>
                </c:pt>
                <c:pt idx="806">
                  <c:v>2049000</c:v>
                </c:pt>
                <c:pt idx="807">
                  <c:v>2444000</c:v>
                </c:pt>
                <c:pt idx="808">
                  <c:v>1670000</c:v>
                </c:pt>
                <c:pt idx="809">
                  <c:v>#N/A</c:v>
                </c:pt>
                <c:pt idx="810">
                  <c:v>#N/A</c:v>
                </c:pt>
                <c:pt idx="811">
                  <c:v>#N/A</c:v>
                </c:pt>
                <c:pt idx="812">
                  <c:v>#N/A</c:v>
                </c:pt>
                <c:pt idx="813">
                  <c:v>#N/A</c:v>
                </c:pt>
                <c:pt idx="814">
                  <c:v>#N/A</c:v>
                </c:pt>
                <c:pt idx="815">
                  <c:v>#N/A</c:v>
                </c:pt>
                <c:pt idx="816">
                  <c:v>3149000</c:v>
                </c:pt>
                <c:pt idx="817">
                  <c:v>2368000</c:v>
                </c:pt>
                <c:pt idx="818">
                  <c:v>#N/A</c:v>
                </c:pt>
                <c:pt idx="819">
                  <c:v>#N/A</c:v>
                </c:pt>
                <c:pt idx="820">
                  <c:v>1360000</c:v>
                </c:pt>
                <c:pt idx="821">
                  <c:v>#N/A</c:v>
                </c:pt>
                <c:pt idx="822">
                  <c:v>#N/A</c:v>
                </c:pt>
                <c:pt idx="823">
                  <c:v>#N/A</c:v>
                </c:pt>
                <c:pt idx="824">
                  <c:v>2285000</c:v>
                </c:pt>
                <c:pt idx="825">
                  <c:v>1623000</c:v>
                </c:pt>
                <c:pt idx="826">
                  <c:v>#N/A</c:v>
                </c:pt>
                <c:pt idx="827">
                  <c:v>#N/A</c:v>
                </c:pt>
                <c:pt idx="828">
                  <c:v>#N/A</c:v>
                </c:pt>
                <c:pt idx="829">
                  <c:v>#N/A</c:v>
                </c:pt>
                <c:pt idx="830">
                  <c:v>1689000</c:v>
                </c:pt>
                <c:pt idx="831">
                  <c:v>#N/A</c:v>
                </c:pt>
                <c:pt idx="832">
                  <c:v>#N/A</c:v>
                </c:pt>
                <c:pt idx="833">
                  <c:v>#N/A</c:v>
                </c:pt>
                <c:pt idx="834">
                  <c:v>#N/A</c:v>
                </c:pt>
                <c:pt idx="835">
                  <c:v>2145000</c:v>
                </c:pt>
                <c:pt idx="836">
                  <c:v>2935000</c:v>
                </c:pt>
                <c:pt idx="837">
                  <c:v>#N/A</c:v>
                </c:pt>
                <c:pt idx="838">
                  <c:v>#N/A</c:v>
                </c:pt>
                <c:pt idx="839">
                  <c:v>#N/A</c:v>
                </c:pt>
                <c:pt idx="840">
                  <c:v>#N/A</c:v>
                </c:pt>
                <c:pt idx="841">
                  <c:v>#N/A</c:v>
                </c:pt>
                <c:pt idx="842">
                  <c:v>2656000</c:v>
                </c:pt>
                <c:pt idx="843">
                  <c:v>#N/A</c:v>
                </c:pt>
                <c:pt idx="844">
                  <c:v>#N/A</c:v>
                </c:pt>
                <c:pt idx="845">
                  <c:v>#N/A</c:v>
                </c:pt>
                <c:pt idx="846">
                  <c:v>#N/A</c:v>
                </c:pt>
                <c:pt idx="847">
                  <c:v>#N/A</c:v>
                </c:pt>
                <c:pt idx="848">
                  <c:v>#N/A</c:v>
                </c:pt>
                <c:pt idx="849">
                  <c:v>#N/A</c:v>
                </c:pt>
                <c:pt idx="850">
                  <c:v>#N/A</c:v>
                </c:pt>
                <c:pt idx="851">
                  <c:v>4466000</c:v>
                </c:pt>
                <c:pt idx="852">
                  <c:v>#N/A</c:v>
                </c:pt>
                <c:pt idx="853">
                  <c:v>1356000</c:v>
                </c:pt>
                <c:pt idx="854">
                  <c:v>#N/A</c:v>
                </c:pt>
                <c:pt idx="855">
                  <c:v>#N/A</c:v>
                </c:pt>
                <c:pt idx="856">
                  <c:v>#N/A</c:v>
                </c:pt>
                <c:pt idx="857">
                  <c:v>#N/A</c:v>
                </c:pt>
                <c:pt idx="858">
                  <c:v>2757000</c:v>
                </c:pt>
                <c:pt idx="859">
                  <c:v>#N/A</c:v>
                </c:pt>
                <c:pt idx="860">
                  <c:v>2963000</c:v>
                </c:pt>
                <c:pt idx="861">
                  <c:v>2243000</c:v>
                </c:pt>
                <c:pt idx="862">
                  <c:v>#N/A</c:v>
                </c:pt>
                <c:pt idx="863">
                  <c:v>#N/A</c:v>
                </c:pt>
                <c:pt idx="864">
                  <c:v>#N/A</c:v>
                </c:pt>
                <c:pt idx="865">
                  <c:v>#N/A</c:v>
                </c:pt>
                <c:pt idx="866">
                  <c:v>#N/A</c:v>
                </c:pt>
                <c:pt idx="867">
                  <c:v>#N/A</c:v>
                </c:pt>
                <c:pt idx="868">
                  <c:v>2583000</c:v>
                </c:pt>
                <c:pt idx="869">
                  <c:v>#N/A</c:v>
                </c:pt>
                <c:pt idx="870">
                  <c:v>#N/A</c:v>
                </c:pt>
                <c:pt idx="871">
                  <c:v>#N/A</c:v>
                </c:pt>
                <c:pt idx="872">
                  <c:v>#N/A</c:v>
                </c:pt>
                <c:pt idx="873">
                  <c:v>#N/A</c:v>
                </c:pt>
                <c:pt idx="874">
                  <c:v>#N/A</c:v>
                </c:pt>
                <c:pt idx="875">
                  <c:v>2576000</c:v>
                </c:pt>
                <c:pt idx="876">
                  <c:v>#N/A</c:v>
                </c:pt>
                <c:pt idx="877">
                  <c:v>2967000</c:v>
                </c:pt>
                <c:pt idx="878">
                  <c:v>1961000</c:v>
                </c:pt>
                <c:pt idx="879">
                  <c:v>1673000</c:v>
                </c:pt>
                <c:pt idx="880">
                  <c:v>#N/A</c:v>
                </c:pt>
                <c:pt idx="881">
                  <c:v>#N/A</c:v>
                </c:pt>
                <c:pt idx="882">
                  <c:v>#N/A</c:v>
                </c:pt>
                <c:pt idx="883">
                  <c:v>#N/A</c:v>
                </c:pt>
                <c:pt idx="884">
                  <c:v>3542000</c:v>
                </c:pt>
                <c:pt idx="885">
                  <c:v>#N/A</c:v>
                </c:pt>
                <c:pt idx="886">
                  <c:v>#N/A</c:v>
                </c:pt>
                <c:pt idx="887">
                  <c:v>#N/A</c:v>
                </c:pt>
                <c:pt idx="888">
                  <c:v>#N/A</c:v>
                </c:pt>
                <c:pt idx="889">
                  <c:v>#N/A</c:v>
                </c:pt>
                <c:pt idx="890">
                  <c:v>2583000</c:v>
                </c:pt>
                <c:pt idx="891">
                  <c:v>#N/A</c:v>
                </c:pt>
                <c:pt idx="892">
                  <c:v>#N/A</c:v>
                </c:pt>
                <c:pt idx="893">
                  <c:v>#N/A</c:v>
                </c:pt>
                <c:pt idx="894">
                  <c:v>#N/A</c:v>
                </c:pt>
                <c:pt idx="895">
                  <c:v>#N/A</c:v>
                </c:pt>
                <c:pt idx="896">
                  <c:v>#N/A</c:v>
                </c:pt>
                <c:pt idx="897">
                  <c:v>3136000</c:v>
                </c:pt>
                <c:pt idx="898">
                  <c:v>#N/A</c:v>
                </c:pt>
                <c:pt idx="899">
                  <c:v>#N/A</c:v>
                </c:pt>
                <c:pt idx="900">
                  <c:v>#N/A</c:v>
                </c:pt>
                <c:pt idx="901">
                  <c:v>#N/A</c:v>
                </c:pt>
                <c:pt idx="902">
                  <c:v>#N/A</c:v>
                </c:pt>
                <c:pt idx="903">
                  <c:v>#N/A</c:v>
                </c:pt>
                <c:pt idx="904">
                  <c:v>2267000</c:v>
                </c:pt>
                <c:pt idx="905">
                  <c:v>2457000</c:v>
                </c:pt>
                <c:pt idx="906">
                  <c:v>1705000</c:v>
                </c:pt>
                <c:pt idx="907">
                  <c:v>#N/A</c:v>
                </c:pt>
                <c:pt idx="908">
                  <c:v>2837000</c:v>
                </c:pt>
                <c:pt idx="909">
                  <c:v>#N/A</c:v>
                </c:pt>
                <c:pt idx="910">
                  <c:v>#N/A</c:v>
                </c:pt>
                <c:pt idx="911">
                  <c:v>#N/A</c:v>
                </c:pt>
                <c:pt idx="912">
                  <c:v>#N/A</c:v>
                </c:pt>
                <c:pt idx="913">
                  <c:v>2749000</c:v>
                </c:pt>
                <c:pt idx="914">
                  <c:v>#N/A</c:v>
                </c:pt>
                <c:pt idx="915">
                  <c:v>#N/A</c:v>
                </c:pt>
                <c:pt idx="916">
                  <c:v>#N/A</c:v>
                </c:pt>
                <c:pt idx="917">
                  <c:v>1431000</c:v>
                </c:pt>
                <c:pt idx="918">
                  <c:v>3656000</c:v>
                </c:pt>
                <c:pt idx="919">
                  <c:v>1759000</c:v>
                </c:pt>
                <c:pt idx="920">
                  <c:v>2421000</c:v>
                </c:pt>
                <c:pt idx="921">
                  <c:v>#N/A</c:v>
                </c:pt>
                <c:pt idx="922">
                  <c:v>2997000</c:v>
                </c:pt>
                <c:pt idx="923">
                  <c:v>1720000</c:v>
                </c:pt>
                <c:pt idx="924">
                  <c:v>#N/A</c:v>
                </c:pt>
                <c:pt idx="925">
                  <c:v>#N/A</c:v>
                </c:pt>
                <c:pt idx="926">
                  <c:v>2008000</c:v>
                </c:pt>
                <c:pt idx="927">
                  <c:v>#N/A</c:v>
                </c:pt>
                <c:pt idx="928">
                  <c:v>1419000</c:v>
                </c:pt>
                <c:pt idx="929">
                  <c:v>#N/A</c:v>
                </c:pt>
                <c:pt idx="930">
                  <c:v>#N/A</c:v>
                </c:pt>
                <c:pt idx="931">
                  <c:v>#N/A</c:v>
                </c:pt>
                <c:pt idx="932">
                  <c:v>2888000</c:v>
                </c:pt>
                <c:pt idx="933">
                  <c:v>#N/A</c:v>
                </c:pt>
                <c:pt idx="934">
                  <c:v>#N/A</c:v>
                </c:pt>
                <c:pt idx="935">
                  <c:v>#N/A</c:v>
                </c:pt>
                <c:pt idx="936">
                  <c:v>3031000</c:v>
                </c:pt>
                <c:pt idx="937">
                  <c:v>#N/A</c:v>
                </c:pt>
                <c:pt idx="938">
                  <c:v>2028000</c:v>
                </c:pt>
                <c:pt idx="939">
                  <c:v>#N/A</c:v>
                </c:pt>
                <c:pt idx="940">
                  <c:v>3662000</c:v>
                </c:pt>
                <c:pt idx="941">
                  <c:v>1870000</c:v>
                </c:pt>
                <c:pt idx="942">
                  <c:v>#N/A</c:v>
                </c:pt>
                <c:pt idx="943">
                  <c:v>#N/A</c:v>
                </c:pt>
                <c:pt idx="944">
                  <c:v>#N/A</c:v>
                </c:pt>
                <c:pt idx="945">
                  <c:v>#N/A</c:v>
                </c:pt>
                <c:pt idx="946">
                  <c:v>#N/A</c:v>
                </c:pt>
                <c:pt idx="947">
                  <c:v>#N/A</c:v>
                </c:pt>
                <c:pt idx="948">
                  <c:v>#N/A</c:v>
                </c:pt>
                <c:pt idx="949">
                  <c:v>#N/A</c:v>
                </c:pt>
                <c:pt idx="950">
                  <c:v>2888000</c:v>
                </c:pt>
                <c:pt idx="951">
                  <c:v>#N/A</c:v>
                </c:pt>
                <c:pt idx="952">
                  <c:v>#N/A</c:v>
                </c:pt>
                <c:pt idx="953">
                  <c:v>#N/A</c:v>
                </c:pt>
                <c:pt idx="954">
                  <c:v>2073000</c:v>
                </c:pt>
                <c:pt idx="955">
                  <c:v>2771000</c:v>
                </c:pt>
                <c:pt idx="956">
                  <c:v>#N/A</c:v>
                </c:pt>
                <c:pt idx="957">
                  <c:v>#N/A</c:v>
                </c:pt>
                <c:pt idx="958">
                  <c:v>#N/A</c:v>
                </c:pt>
                <c:pt idx="959">
                  <c:v>2081000</c:v>
                </c:pt>
                <c:pt idx="960">
                  <c:v>3093000</c:v>
                </c:pt>
                <c:pt idx="961">
                  <c:v>#N/A</c:v>
                </c:pt>
                <c:pt idx="962">
                  <c:v>#N/A</c:v>
                </c:pt>
                <c:pt idx="963">
                  <c:v>#N/A</c:v>
                </c:pt>
                <c:pt idx="964">
                  <c:v>2842000</c:v>
                </c:pt>
                <c:pt idx="965">
                  <c:v>#N/A</c:v>
                </c:pt>
                <c:pt idx="966">
                  <c:v>1800000</c:v>
                </c:pt>
                <c:pt idx="967">
                  <c:v>#N/A</c:v>
                </c:pt>
                <c:pt idx="968">
                  <c:v>#N/A</c:v>
                </c:pt>
                <c:pt idx="969">
                  <c:v>#N/A</c:v>
                </c:pt>
                <c:pt idx="970">
                  <c:v>#N/A</c:v>
                </c:pt>
                <c:pt idx="971">
                  <c:v>#N/A</c:v>
                </c:pt>
                <c:pt idx="972">
                  <c:v>#N/A</c:v>
                </c:pt>
                <c:pt idx="973">
                  <c:v>#N/A</c:v>
                </c:pt>
                <c:pt idx="974">
                  <c:v>#N/A</c:v>
                </c:pt>
                <c:pt idx="975">
                  <c:v>#N/A</c:v>
                </c:pt>
                <c:pt idx="976">
                  <c:v>#N/A</c:v>
                </c:pt>
                <c:pt idx="977">
                  <c:v>3171000</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2401000</c:v>
                </c:pt>
                <c:pt idx="996">
                  <c:v>#N/A</c:v>
                </c:pt>
                <c:pt idx="997">
                  <c:v>2531000</c:v>
                </c:pt>
                <c:pt idx="998">
                  <c:v>2714000</c:v>
                </c:pt>
                <c:pt idx="999">
                  <c:v>#N/A</c:v>
                </c:pt>
                <c:pt idx="1000">
                  <c:v>#N/A</c:v>
                </c:pt>
                <c:pt idx="1001">
                  <c:v>#N/A</c:v>
                </c:pt>
                <c:pt idx="1002">
                  <c:v>#N/A</c:v>
                </c:pt>
                <c:pt idx="1003">
                  <c:v>#N/A</c:v>
                </c:pt>
                <c:pt idx="1004">
                  <c:v>#N/A</c:v>
                </c:pt>
                <c:pt idx="1005">
                  <c:v>2542000</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1404000</c:v>
                </c:pt>
                <c:pt idx="1021">
                  <c:v>2252000</c:v>
                </c:pt>
                <c:pt idx="1022">
                  <c:v>#N/A</c:v>
                </c:pt>
                <c:pt idx="1023">
                  <c:v>1550000</c:v>
                </c:pt>
                <c:pt idx="1024">
                  <c:v>#N/A</c:v>
                </c:pt>
                <c:pt idx="1025">
                  <c:v>#N/A</c:v>
                </c:pt>
                <c:pt idx="1026">
                  <c:v>#N/A</c:v>
                </c:pt>
                <c:pt idx="1027">
                  <c:v>1755000</c:v>
                </c:pt>
                <c:pt idx="1028">
                  <c:v>#N/A</c:v>
                </c:pt>
                <c:pt idx="1029">
                  <c:v>#N/A</c:v>
                </c:pt>
                <c:pt idx="1030">
                  <c:v>#N/A</c:v>
                </c:pt>
                <c:pt idx="1031">
                  <c:v>#N/A</c:v>
                </c:pt>
                <c:pt idx="1032">
                  <c:v>#N/A</c:v>
                </c:pt>
                <c:pt idx="1033">
                  <c:v>2818000</c:v>
                </c:pt>
                <c:pt idx="1034">
                  <c:v>1658000</c:v>
                </c:pt>
                <c:pt idx="1035">
                  <c:v>#N/A</c:v>
                </c:pt>
                <c:pt idx="1036">
                  <c:v>#N/A</c:v>
                </c:pt>
                <c:pt idx="1037">
                  <c:v>#N/A</c:v>
                </c:pt>
                <c:pt idx="1038">
                  <c:v>#N/A</c:v>
                </c:pt>
                <c:pt idx="1039">
                  <c:v>1145000</c:v>
                </c:pt>
                <c:pt idx="1040">
                  <c:v>#N/A</c:v>
                </c:pt>
                <c:pt idx="1041">
                  <c:v>2459000</c:v>
                </c:pt>
                <c:pt idx="1042">
                  <c:v>#N/A</c:v>
                </c:pt>
                <c:pt idx="1043">
                  <c:v>#N/A</c:v>
                </c:pt>
                <c:pt idx="1044">
                  <c:v>#N/A</c:v>
                </c:pt>
                <c:pt idx="1045">
                  <c:v>2563000</c:v>
                </c:pt>
                <c:pt idx="1046">
                  <c:v>#N/A</c:v>
                </c:pt>
                <c:pt idx="1047">
                  <c:v>3087000</c:v>
                </c:pt>
                <c:pt idx="1048">
                  <c:v>#N/A</c:v>
                </c:pt>
                <c:pt idx="1049">
                  <c:v>2402000</c:v>
                </c:pt>
                <c:pt idx="1050">
                  <c:v>#N/A</c:v>
                </c:pt>
                <c:pt idx="1051">
                  <c:v>#N/A</c:v>
                </c:pt>
                <c:pt idx="1052">
                  <c:v>#N/A</c:v>
                </c:pt>
                <c:pt idx="1053">
                  <c:v>#N/A</c:v>
                </c:pt>
                <c:pt idx="1054">
                  <c:v>#N/A</c:v>
                </c:pt>
                <c:pt idx="1055">
                  <c:v>#N/A</c:v>
                </c:pt>
                <c:pt idx="1056">
                  <c:v>#N/A</c:v>
                </c:pt>
                <c:pt idx="1057">
                  <c:v>#N/A</c:v>
                </c:pt>
                <c:pt idx="1058">
                  <c:v>#N/A</c:v>
                </c:pt>
                <c:pt idx="1059">
                  <c:v>#N/A</c:v>
                </c:pt>
                <c:pt idx="1060">
                  <c:v>#N/A</c:v>
                </c:pt>
                <c:pt idx="1061">
                  <c:v>1996000</c:v>
                </c:pt>
                <c:pt idx="1062">
                  <c:v>#N/A</c:v>
                </c:pt>
                <c:pt idx="1063">
                  <c:v>#N/A</c:v>
                </c:pt>
                <c:pt idx="1064">
                  <c:v>2209000</c:v>
                </c:pt>
                <c:pt idx="1065">
                  <c:v>#N/A</c:v>
                </c:pt>
                <c:pt idx="1066">
                  <c:v>2057000</c:v>
                </c:pt>
                <c:pt idx="1067">
                  <c:v>#N/A</c:v>
                </c:pt>
                <c:pt idx="1068">
                  <c:v>#N/A</c:v>
                </c:pt>
                <c:pt idx="1069">
                  <c:v>#N/A</c:v>
                </c:pt>
                <c:pt idx="1070">
                  <c:v>#N/A</c:v>
                </c:pt>
                <c:pt idx="1071">
                  <c:v>#N/A</c:v>
                </c:pt>
                <c:pt idx="1072">
                  <c:v>1493000</c:v>
                </c:pt>
                <c:pt idx="1073">
                  <c:v>#N/A</c:v>
                </c:pt>
                <c:pt idx="1074">
                  <c:v>#N/A</c:v>
                </c:pt>
                <c:pt idx="1075">
                  <c:v>#N/A</c:v>
                </c:pt>
                <c:pt idx="1076">
                  <c:v>#N/A</c:v>
                </c:pt>
                <c:pt idx="1077">
                  <c:v>2183000</c:v>
                </c:pt>
                <c:pt idx="1078">
                  <c:v>1853000</c:v>
                </c:pt>
                <c:pt idx="1079">
                  <c:v>1892000</c:v>
                </c:pt>
                <c:pt idx="1080">
                  <c:v>1799000</c:v>
                </c:pt>
                <c:pt idx="1081">
                  <c:v>#N/A</c:v>
                </c:pt>
                <c:pt idx="1082">
                  <c:v>#N/A</c:v>
                </c:pt>
                <c:pt idx="1083">
                  <c:v>#N/A</c:v>
                </c:pt>
                <c:pt idx="1084">
                  <c:v>#N/A</c:v>
                </c:pt>
                <c:pt idx="1085">
                  <c:v>#N/A</c:v>
                </c:pt>
                <c:pt idx="1086">
                  <c:v>3107000</c:v>
                </c:pt>
                <c:pt idx="1087">
                  <c:v>#N/A</c:v>
                </c:pt>
                <c:pt idx="1088">
                  <c:v>#N/A</c:v>
                </c:pt>
                <c:pt idx="1089">
                  <c:v>#N/A</c:v>
                </c:pt>
                <c:pt idx="1090">
                  <c:v>2311000</c:v>
                </c:pt>
                <c:pt idx="1091">
                  <c:v>#N/A</c:v>
                </c:pt>
                <c:pt idx="1092">
                  <c:v>2231000</c:v>
                </c:pt>
                <c:pt idx="1093">
                  <c:v>1855000</c:v>
                </c:pt>
                <c:pt idx="1094">
                  <c:v>2681000</c:v>
                </c:pt>
                <c:pt idx="1095">
                  <c:v>#N/A</c:v>
                </c:pt>
                <c:pt idx="1096">
                  <c:v>#N/A</c:v>
                </c:pt>
                <c:pt idx="1097">
                  <c:v>#N/A</c:v>
                </c:pt>
                <c:pt idx="1098">
                  <c:v>#N/A</c:v>
                </c:pt>
                <c:pt idx="1099">
                  <c:v>#N/A</c:v>
                </c:pt>
                <c:pt idx="1100">
                  <c:v>#N/A</c:v>
                </c:pt>
                <c:pt idx="1101">
                  <c:v>#N/A</c:v>
                </c:pt>
                <c:pt idx="1102">
                  <c:v>#N/A</c:v>
                </c:pt>
                <c:pt idx="1103">
                  <c:v>1731000</c:v>
                </c:pt>
                <c:pt idx="1104">
                  <c:v>#N/A</c:v>
                </c:pt>
                <c:pt idx="1105">
                  <c:v>#N/A</c:v>
                </c:pt>
                <c:pt idx="1106">
                  <c:v>#N/A</c:v>
                </c:pt>
                <c:pt idx="1107">
                  <c:v>#N/A</c:v>
                </c:pt>
                <c:pt idx="1108">
                  <c:v>#N/A</c:v>
                </c:pt>
                <c:pt idx="1109">
                  <c:v>1079000</c:v>
                </c:pt>
                <c:pt idx="1110">
                  <c:v>#N/A</c:v>
                </c:pt>
                <c:pt idx="1111">
                  <c:v>1729000</c:v>
                </c:pt>
                <c:pt idx="1112">
                  <c:v>3072000</c:v>
                </c:pt>
                <c:pt idx="1113">
                  <c:v>#N/A</c:v>
                </c:pt>
                <c:pt idx="1114">
                  <c:v>#N/A</c:v>
                </c:pt>
                <c:pt idx="1115">
                  <c:v>#N/A</c:v>
                </c:pt>
                <c:pt idx="1116">
                  <c:v>2119000</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2068000</c:v>
                </c:pt>
                <c:pt idx="1131">
                  <c:v>#N/A</c:v>
                </c:pt>
                <c:pt idx="1132">
                  <c:v>3553000</c:v>
                </c:pt>
                <c:pt idx="1133">
                  <c:v>#N/A</c:v>
                </c:pt>
                <c:pt idx="1134">
                  <c:v>#N/A</c:v>
                </c:pt>
                <c:pt idx="1135">
                  <c:v>#N/A</c:v>
                </c:pt>
                <c:pt idx="1136">
                  <c:v>1482000</c:v>
                </c:pt>
                <c:pt idx="1137">
                  <c:v>#N/A</c:v>
                </c:pt>
                <c:pt idx="1138">
                  <c:v>#N/A</c:v>
                </c:pt>
                <c:pt idx="1139">
                  <c:v>#N/A</c:v>
                </c:pt>
                <c:pt idx="1140">
                  <c:v>#N/A</c:v>
                </c:pt>
                <c:pt idx="1141">
                  <c:v>#N/A</c:v>
                </c:pt>
                <c:pt idx="1142">
                  <c:v>1974000</c:v>
                </c:pt>
                <c:pt idx="1143">
                  <c:v>1856000</c:v>
                </c:pt>
                <c:pt idx="1144">
                  <c:v>2142000</c:v>
                </c:pt>
                <c:pt idx="1145">
                  <c:v>1622000</c:v>
                </c:pt>
                <c:pt idx="1146">
                  <c:v>#N/A</c:v>
                </c:pt>
                <c:pt idx="1147">
                  <c:v>#N/A</c:v>
                </c:pt>
                <c:pt idx="1148">
                  <c:v>#N/A</c:v>
                </c:pt>
                <c:pt idx="1149">
                  <c:v>#N/A</c:v>
                </c:pt>
                <c:pt idx="1150">
                  <c:v>#N/A</c:v>
                </c:pt>
                <c:pt idx="1151">
                  <c:v>911000</c:v>
                </c:pt>
                <c:pt idx="1152">
                  <c:v>#N/A</c:v>
                </c:pt>
                <c:pt idx="1153">
                  <c:v>2975000</c:v>
                </c:pt>
                <c:pt idx="1154">
                  <c:v>#N/A</c:v>
                </c:pt>
                <c:pt idx="1155">
                  <c:v>#N/A</c:v>
                </c:pt>
                <c:pt idx="1156">
                  <c:v>#N/A</c:v>
                </c:pt>
                <c:pt idx="1157">
                  <c:v>#N/A</c:v>
                </c:pt>
                <c:pt idx="1158">
                  <c:v>1406000</c:v>
                </c:pt>
                <c:pt idx="1159">
                  <c:v>#N/A</c:v>
                </c:pt>
                <c:pt idx="1160">
                  <c:v>#N/A</c:v>
                </c:pt>
                <c:pt idx="1161">
                  <c:v>#N/A</c:v>
                </c:pt>
                <c:pt idx="1162">
                  <c:v>2138000</c:v>
                </c:pt>
                <c:pt idx="1163">
                  <c:v>#N/A</c:v>
                </c:pt>
                <c:pt idx="1164">
                  <c:v>1694000</c:v>
                </c:pt>
                <c:pt idx="1165">
                  <c:v>#N/A</c:v>
                </c:pt>
                <c:pt idx="1166">
                  <c:v>#N/A</c:v>
                </c:pt>
                <c:pt idx="1167">
                  <c:v>#N/A</c:v>
                </c:pt>
                <c:pt idx="1168">
                  <c:v>#N/A</c:v>
                </c:pt>
                <c:pt idx="1169">
                  <c:v>#N/A</c:v>
                </c:pt>
                <c:pt idx="1170">
                  <c:v>#N/A</c:v>
                </c:pt>
                <c:pt idx="1171">
                  <c:v>2716000</c:v>
                </c:pt>
                <c:pt idx="1172">
                  <c:v>#N/A</c:v>
                </c:pt>
                <c:pt idx="1173">
                  <c:v>#N/A</c:v>
                </c:pt>
                <c:pt idx="1174">
                  <c:v>#N/A</c:v>
                </c:pt>
                <c:pt idx="1175">
                  <c:v>#N/A</c:v>
                </c:pt>
                <c:pt idx="1176">
                  <c:v>3065000</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2506000</c:v>
                </c:pt>
                <c:pt idx="1190">
                  <c:v>#N/A</c:v>
                </c:pt>
                <c:pt idx="1191">
                  <c:v>#N/A</c:v>
                </c:pt>
                <c:pt idx="1192">
                  <c:v>#N/A</c:v>
                </c:pt>
                <c:pt idx="1193">
                  <c:v>#N/A</c:v>
                </c:pt>
                <c:pt idx="1194">
                  <c:v>2079000</c:v>
                </c:pt>
                <c:pt idx="1195">
                  <c:v>#N/A</c:v>
                </c:pt>
                <c:pt idx="1196">
                  <c:v>2260000</c:v>
                </c:pt>
                <c:pt idx="1197">
                  <c:v>3225000</c:v>
                </c:pt>
                <c:pt idx="1198">
                  <c:v>#N/A</c:v>
                </c:pt>
                <c:pt idx="1199">
                  <c:v>2525000</c:v>
                </c:pt>
                <c:pt idx="1200">
                  <c:v>2502000</c:v>
                </c:pt>
              </c:numCache>
            </c:numRef>
          </c:yVal>
          <c:smooth val="0"/>
          <c:extLst>
            <c:ext xmlns:c16="http://schemas.microsoft.com/office/drawing/2014/chart" uri="{C3380CC4-5D6E-409C-BE32-E72D297353CC}">
              <c16:uniqueId val="{00000001-E629-E440-B215-18940960DC09}"/>
            </c:ext>
          </c:extLst>
        </c:ser>
        <c:ser>
          <c:idx val="1"/>
          <c:order val="1"/>
          <c:tx>
            <c:v>Apartment</c:v>
          </c:tx>
          <c:spPr>
            <a:ln w="25400" cap="rnd">
              <a:noFill/>
              <a:round/>
            </a:ln>
            <a:effectLst/>
          </c:spPr>
          <c:marker>
            <c:symbol val="circle"/>
            <c:size val="5"/>
            <c:spPr>
              <a:solidFill>
                <a:schemeClr val="accent2"/>
              </a:solidFill>
              <a:ln w="9525">
                <a:solidFill>
                  <a:schemeClr val="accent2"/>
                </a:solidFill>
              </a:ln>
              <a:effectLst/>
            </c:spPr>
          </c:marker>
          <c:xVal>
            <c:strRef>
              <c:f>riyadh_realestate_dataset!$S:$S</c:f>
              <c:strCache>
                <c:ptCount val="1201"/>
                <c:pt idx="0">
                  <c:v>apt_area</c:v>
                </c:pt>
                <c:pt idx="1">
                  <c:v>160</c:v>
                </c:pt>
                <c:pt idx="2">
                  <c:v>141</c:v>
                </c:pt>
                <c:pt idx="3">
                  <c:v>#N/A</c:v>
                </c:pt>
                <c:pt idx="4">
                  <c:v>138</c:v>
                </c:pt>
                <c:pt idx="5">
                  <c:v>#N/A</c:v>
                </c:pt>
                <c:pt idx="6">
                  <c:v>168</c:v>
                </c:pt>
                <c:pt idx="7">
                  <c:v>131</c:v>
                </c:pt>
                <c:pt idx="8">
                  <c:v>161</c:v>
                </c:pt>
                <c:pt idx="9">
                  <c:v>#N/A</c:v>
                </c:pt>
                <c:pt idx="10">
                  <c:v>#N/A</c:v>
                </c:pt>
                <c:pt idx="11">
                  <c:v>#N/A</c:v>
                </c:pt>
                <c:pt idx="12">
                  <c:v>#N/A</c:v>
                </c:pt>
                <c:pt idx="13">
                  <c:v>#N/A</c:v>
                </c:pt>
                <c:pt idx="14">
                  <c:v>138</c:v>
                </c:pt>
                <c:pt idx="15">
                  <c:v>#N/A</c:v>
                </c:pt>
                <c:pt idx="16">
                  <c:v>#N/A</c:v>
                </c:pt>
                <c:pt idx="17">
                  <c:v>127</c:v>
                </c:pt>
                <c:pt idx="18">
                  <c:v>136</c:v>
                </c:pt>
                <c:pt idx="19">
                  <c:v>145</c:v>
                </c:pt>
                <c:pt idx="20">
                  <c:v>113</c:v>
                </c:pt>
                <c:pt idx="21">
                  <c:v>170</c:v>
                </c:pt>
                <c:pt idx="22">
                  <c:v>108</c:v>
                </c:pt>
                <c:pt idx="23">
                  <c:v>105</c:v>
                </c:pt>
                <c:pt idx="24">
                  <c:v>151</c:v>
                </c:pt>
                <c:pt idx="25">
                  <c:v>#N/A</c:v>
                </c:pt>
                <c:pt idx="26">
                  <c:v>#N/A</c:v>
                </c:pt>
                <c:pt idx="27">
                  <c:v>142</c:v>
                </c:pt>
                <c:pt idx="28">
                  <c:v>136</c:v>
                </c:pt>
                <c:pt idx="29">
                  <c:v>#N/A</c:v>
                </c:pt>
                <c:pt idx="30">
                  <c:v>177</c:v>
                </c:pt>
                <c:pt idx="31">
                  <c:v>#N/A</c:v>
                </c:pt>
                <c:pt idx="32">
                  <c:v>#N/A</c:v>
                </c:pt>
                <c:pt idx="33">
                  <c:v>125</c:v>
                </c:pt>
                <c:pt idx="34">
                  <c:v>163</c:v>
                </c:pt>
                <c:pt idx="35">
                  <c:v>176</c:v>
                </c:pt>
                <c:pt idx="36">
                  <c:v>#N/A</c:v>
                </c:pt>
                <c:pt idx="37">
                  <c:v>120</c:v>
                </c:pt>
                <c:pt idx="38">
                  <c:v>#N/A</c:v>
                </c:pt>
                <c:pt idx="39">
                  <c:v>#N/A</c:v>
                </c:pt>
                <c:pt idx="40">
                  <c:v>#N/A</c:v>
                </c:pt>
                <c:pt idx="41">
                  <c:v>#N/A</c:v>
                </c:pt>
                <c:pt idx="42">
                  <c:v>#N/A</c:v>
                </c:pt>
                <c:pt idx="43">
                  <c:v>#N/A</c:v>
                </c:pt>
                <c:pt idx="44">
                  <c:v>#N/A</c:v>
                </c:pt>
                <c:pt idx="45">
                  <c:v>144</c:v>
                </c:pt>
                <c:pt idx="46">
                  <c:v>192</c:v>
                </c:pt>
                <c:pt idx="47">
                  <c:v>#N/A</c:v>
                </c:pt>
                <c:pt idx="48">
                  <c:v>#N/A</c:v>
                </c:pt>
                <c:pt idx="49">
                  <c:v>138</c:v>
                </c:pt>
                <c:pt idx="50">
                  <c:v>#N/A</c:v>
                </c:pt>
                <c:pt idx="51">
                  <c:v>121</c:v>
                </c:pt>
                <c:pt idx="52">
                  <c:v>#N/A</c:v>
                </c:pt>
                <c:pt idx="53">
                  <c:v>172</c:v>
                </c:pt>
                <c:pt idx="54">
                  <c:v>155</c:v>
                </c:pt>
                <c:pt idx="55">
                  <c:v>#N/A</c:v>
                </c:pt>
                <c:pt idx="56">
                  <c:v>174</c:v>
                </c:pt>
                <c:pt idx="57">
                  <c:v>124</c:v>
                </c:pt>
                <c:pt idx="58">
                  <c:v>#N/A</c:v>
                </c:pt>
                <c:pt idx="59">
                  <c:v>#N/A</c:v>
                </c:pt>
                <c:pt idx="60">
                  <c:v>153</c:v>
                </c:pt>
                <c:pt idx="61">
                  <c:v>#N/A</c:v>
                </c:pt>
                <c:pt idx="62">
                  <c:v>#N/A</c:v>
                </c:pt>
                <c:pt idx="63">
                  <c:v>#N/A</c:v>
                </c:pt>
                <c:pt idx="64">
                  <c:v>#N/A</c:v>
                </c:pt>
                <c:pt idx="65">
                  <c:v>#N/A</c:v>
                </c:pt>
                <c:pt idx="66">
                  <c:v>143</c:v>
                </c:pt>
                <c:pt idx="67">
                  <c:v>#N/A</c:v>
                </c:pt>
                <c:pt idx="68">
                  <c:v>144</c:v>
                </c:pt>
                <c:pt idx="69">
                  <c:v>#N/A</c:v>
                </c:pt>
                <c:pt idx="70">
                  <c:v>#N/A</c:v>
                </c:pt>
                <c:pt idx="71">
                  <c:v>#N/A</c:v>
                </c:pt>
                <c:pt idx="72">
                  <c:v>#N/A</c:v>
                </c:pt>
                <c:pt idx="73">
                  <c:v>#N/A</c:v>
                </c:pt>
                <c:pt idx="74">
                  <c:v>168</c:v>
                </c:pt>
                <c:pt idx="75">
                  <c:v>187</c:v>
                </c:pt>
                <c:pt idx="76">
                  <c:v>#N/A</c:v>
                </c:pt>
                <c:pt idx="77">
                  <c:v>#N/A</c:v>
                </c:pt>
                <c:pt idx="78">
                  <c:v>#N/A</c:v>
                </c:pt>
                <c:pt idx="79">
                  <c:v>#N/A</c:v>
                </c:pt>
                <c:pt idx="80">
                  <c:v>#N/A</c:v>
                </c:pt>
                <c:pt idx="81">
                  <c:v>117</c:v>
                </c:pt>
                <c:pt idx="82">
                  <c:v>#N/A</c:v>
                </c:pt>
                <c:pt idx="83">
                  <c:v>#N/A</c:v>
                </c:pt>
                <c:pt idx="84">
                  <c:v>#N/A</c:v>
                </c:pt>
                <c:pt idx="85">
                  <c:v>#N/A</c:v>
                </c:pt>
                <c:pt idx="86">
                  <c:v>#N/A</c:v>
                </c:pt>
                <c:pt idx="87">
                  <c:v>97</c:v>
                </c:pt>
                <c:pt idx="88">
                  <c:v>#N/A</c:v>
                </c:pt>
                <c:pt idx="89">
                  <c:v>#N/A</c:v>
                </c:pt>
                <c:pt idx="90">
                  <c:v>168</c:v>
                </c:pt>
                <c:pt idx="91">
                  <c:v>#N/A</c:v>
                </c:pt>
                <c:pt idx="92">
                  <c:v>#N/A</c:v>
                </c:pt>
                <c:pt idx="93">
                  <c:v>#N/A</c:v>
                </c:pt>
                <c:pt idx="94">
                  <c:v>#N/A</c:v>
                </c:pt>
                <c:pt idx="95">
                  <c:v>154</c:v>
                </c:pt>
                <c:pt idx="96">
                  <c:v>#N/A</c:v>
                </c:pt>
                <c:pt idx="97">
                  <c:v>#N/A</c:v>
                </c:pt>
                <c:pt idx="98">
                  <c:v>#N/A</c:v>
                </c:pt>
                <c:pt idx="99">
                  <c:v>116</c:v>
                </c:pt>
                <c:pt idx="100">
                  <c:v>#N/A</c:v>
                </c:pt>
                <c:pt idx="101">
                  <c:v>#N/A</c:v>
                </c:pt>
                <c:pt idx="102">
                  <c:v>157</c:v>
                </c:pt>
                <c:pt idx="103">
                  <c:v>138</c:v>
                </c:pt>
                <c:pt idx="104">
                  <c:v>#N/A</c:v>
                </c:pt>
                <c:pt idx="105">
                  <c:v>143</c:v>
                </c:pt>
                <c:pt idx="106">
                  <c:v>#N/A</c:v>
                </c:pt>
                <c:pt idx="107">
                  <c:v>#N/A</c:v>
                </c:pt>
                <c:pt idx="108">
                  <c:v>189</c:v>
                </c:pt>
                <c:pt idx="109">
                  <c:v>164</c:v>
                </c:pt>
                <c:pt idx="110">
                  <c:v>119</c:v>
                </c:pt>
                <c:pt idx="111">
                  <c:v>113</c:v>
                </c:pt>
                <c:pt idx="112">
                  <c:v>159</c:v>
                </c:pt>
                <c:pt idx="113">
                  <c:v>138</c:v>
                </c:pt>
                <c:pt idx="114">
                  <c:v>#N/A</c:v>
                </c:pt>
                <c:pt idx="115">
                  <c:v>#N/A</c:v>
                </c:pt>
                <c:pt idx="116">
                  <c:v>#N/A</c:v>
                </c:pt>
                <c:pt idx="117">
                  <c:v>#N/A</c:v>
                </c:pt>
                <c:pt idx="118">
                  <c:v>100</c:v>
                </c:pt>
                <c:pt idx="119">
                  <c:v>#N/A</c:v>
                </c:pt>
                <c:pt idx="120">
                  <c:v>108</c:v>
                </c:pt>
                <c:pt idx="121">
                  <c:v>#N/A</c:v>
                </c:pt>
                <c:pt idx="122">
                  <c:v>150</c:v>
                </c:pt>
                <c:pt idx="123">
                  <c:v>147</c:v>
                </c:pt>
                <c:pt idx="124">
                  <c:v>111</c:v>
                </c:pt>
                <c:pt idx="125">
                  <c:v>#N/A</c:v>
                </c:pt>
                <c:pt idx="126">
                  <c:v>177</c:v>
                </c:pt>
                <c:pt idx="127">
                  <c:v>160</c:v>
                </c:pt>
                <c:pt idx="128">
                  <c:v>#N/A</c:v>
                </c:pt>
                <c:pt idx="129">
                  <c:v>160</c:v>
                </c:pt>
                <c:pt idx="130">
                  <c:v>#N/A</c:v>
                </c:pt>
                <c:pt idx="131">
                  <c:v>#N/A</c:v>
                </c:pt>
                <c:pt idx="132">
                  <c:v>165</c:v>
                </c:pt>
                <c:pt idx="133">
                  <c:v>#N/A</c:v>
                </c:pt>
                <c:pt idx="134">
                  <c:v>#N/A</c:v>
                </c:pt>
                <c:pt idx="135">
                  <c:v>#N/A</c:v>
                </c:pt>
                <c:pt idx="136">
                  <c:v>89</c:v>
                </c:pt>
                <c:pt idx="137">
                  <c:v>#N/A</c:v>
                </c:pt>
                <c:pt idx="138">
                  <c:v>#N/A</c:v>
                </c:pt>
                <c:pt idx="139">
                  <c:v>124</c:v>
                </c:pt>
                <c:pt idx="140">
                  <c:v>#N/A</c:v>
                </c:pt>
                <c:pt idx="141">
                  <c:v>#N/A</c:v>
                </c:pt>
                <c:pt idx="142">
                  <c:v>#N/A</c:v>
                </c:pt>
                <c:pt idx="143">
                  <c:v>#N/A</c:v>
                </c:pt>
                <c:pt idx="144">
                  <c:v>151</c:v>
                </c:pt>
                <c:pt idx="145">
                  <c:v>121</c:v>
                </c:pt>
                <c:pt idx="146">
                  <c:v>#N/A</c:v>
                </c:pt>
                <c:pt idx="147">
                  <c:v>160</c:v>
                </c:pt>
                <c:pt idx="148">
                  <c:v>171</c:v>
                </c:pt>
                <c:pt idx="149">
                  <c:v>#N/A</c:v>
                </c:pt>
                <c:pt idx="150">
                  <c:v>#N/A</c:v>
                </c:pt>
                <c:pt idx="151">
                  <c:v>#N/A</c:v>
                </c:pt>
                <c:pt idx="152">
                  <c:v>173</c:v>
                </c:pt>
                <c:pt idx="153">
                  <c:v>#N/A</c:v>
                </c:pt>
                <c:pt idx="154">
                  <c:v>#N/A</c:v>
                </c:pt>
                <c:pt idx="155">
                  <c:v>#N/A</c:v>
                </c:pt>
                <c:pt idx="156">
                  <c:v>#N/A</c:v>
                </c:pt>
                <c:pt idx="157">
                  <c:v>#N/A</c:v>
                </c:pt>
                <c:pt idx="158">
                  <c:v>168</c:v>
                </c:pt>
                <c:pt idx="159">
                  <c:v>#N/A</c:v>
                </c:pt>
                <c:pt idx="160">
                  <c:v>114</c:v>
                </c:pt>
                <c:pt idx="161">
                  <c:v>#N/A</c:v>
                </c:pt>
                <c:pt idx="162">
                  <c:v>#N/A</c:v>
                </c:pt>
                <c:pt idx="163">
                  <c:v>#N/A</c:v>
                </c:pt>
                <c:pt idx="164">
                  <c:v>#N/A</c:v>
                </c:pt>
                <c:pt idx="165">
                  <c:v>116</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149</c:v>
                </c:pt>
                <c:pt idx="183">
                  <c:v>#N/A</c:v>
                </c:pt>
                <c:pt idx="184">
                  <c:v>#N/A</c:v>
                </c:pt>
                <c:pt idx="185">
                  <c:v>#N/A</c:v>
                </c:pt>
                <c:pt idx="186">
                  <c:v>#N/A</c:v>
                </c:pt>
                <c:pt idx="187">
                  <c:v>184</c:v>
                </c:pt>
                <c:pt idx="188">
                  <c:v>#N/A</c:v>
                </c:pt>
                <c:pt idx="189">
                  <c:v>155</c:v>
                </c:pt>
                <c:pt idx="190">
                  <c:v>141</c:v>
                </c:pt>
                <c:pt idx="191">
                  <c:v>#N/A</c:v>
                </c:pt>
                <c:pt idx="192">
                  <c:v>#N/A</c:v>
                </c:pt>
                <c:pt idx="193">
                  <c:v>180</c:v>
                </c:pt>
                <c:pt idx="194">
                  <c:v>169</c:v>
                </c:pt>
                <c:pt idx="195">
                  <c:v>#N/A</c:v>
                </c:pt>
                <c:pt idx="196">
                  <c:v>118</c:v>
                </c:pt>
                <c:pt idx="197">
                  <c:v>#N/A</c:v>
                </c:pt>
                <c:pt idx="198">
                  <c:v>#N/A</c:v>
                </c:pt>
                <c:pt idx="199">
                  <c:v>157</c:v>
                </c:pt>
                <c:pt idx="200">
                  <c:v>#N/A</c:v>
                </c:pt>
                <c:pt idx="201">
                  <c:v>#N/A</c:v>
                </c:pt>
                <c:pt idx="202">
                  <c:v>#N/A</c:v>
                </c:pt>
                <c:pt idx="203">
                  <c:v>#N/A</c:v>
                </c:pt>
                <c:pt idx="204">
                  <c:v>#N/A</c:v>
                </c:pt>
                <c:pt idx="205">
                  <c:v>102</c:v>
                </c:pt>
                <c:pt idx="206">
                  <c:v>#N/A</c:v>
                </c:pt>
                <c:pt idx="207">
                  <c:v>#N/A</c:v>
                </c:pt>
                <c:pt idx="208">
                  <c:v>#N/A</c:v>
                </c:pt>
                <c:pt idx="209">
                  <c:v>#N/A</c:v>
                </c:pt>
                <c:pt idx="210">
                  <c:v>140</c:v>
                </c:pt>
                <c:pt idx="211">
                  <c:v>#N/A</c:v>
                </c:pt>
                <c:pt idx="212">
                  <c:v>#N/A</c:v>
                </c:pt>
                <c:pt idx="213">
                  <c:v>#N/A</c:v>
                </c:pt>
                <c:pt idx="214">
                  <c:v>#N/A</c:v>
                </c:pt>
                <c:pt idx="215">
                  <c:v>142</c:v>
                </c:pt>
                <c:pt idx="216">
                  <c:v>#N/A</c:v>
                </c:pt>
                <c:pt idx="217">
                  <c:v>152</c:v>
                </c:pt>
                <c:pt idx="218">
                  <c:v>145</c:v>
                </c:pt>
                <c:pt idx="219">
                  <c:v>#N/A</c:v>
                </c:pt>
                <c:pt idx="220">
                  <c:v>#N/A</c:v>
                </c:pt>
                <c:pt idx="221">
                  <c:v>#N/A</c:v>
                </c:pt>
                <c:pt idx="222">
                  <c:v>122</c:v>
                </c:pt>
                <c:pt idx="223">
                  <c:v>211</c:v>
                </c:pt>
                <c:pt idx="224">
                  <c:v>#N/A</c:v>
                </c:pt>
                <c:pt idx="225">
                  <c:v>#N/A</c:v>
                </c:pt>
                <c:pt idx="226">
                  <c:v>#N/A</c:v>
                </c:pt>
                <c:pt idx="227">
                  <c:v>#N/A</c:v>
                </c:pt>
                <c:pt idx="228">
                  <c:v>201</c:v>
                </c:pt>
                <c:pt idx="229">
                  <c:v>#N/A</c:v>
                </c:pt>
                <c:pt idx="230">
                  <c:v>160</c:v>
                </c:pt>
                <c:pt idx="231">
                  <c:v>#N/A</c:v>
                </c:pt>
                <c:pt idx="232">
                  <c:v>#N/A</c:v>
                </c:pt>
                <c:pt idx="233">
                  <c:v>#N/A</c:v>
                </c:pt>
                <c:pt idx="234">
                  <c:v>#N/A</c:v>
                </c:pt>
                <c:pt idx="235">
                  <c:v>#N/A</c:v>
                </c:pt>
                <c:pt idx="236">
                  <c:v>186</c:v>
                </c:pt>
                <c:pt idx="237">
                  <c:v>#N/A</c:v>
                </c:pt>
                <c:pt idx="238">
                  <c:v>#N/A</c:v>
                </c:pt>
                <c:pt idx="239">
                  <c:v>145</c:v>
                </c:pt>
                <c:pt idx="240">
                  <c:v>#N/A</c:v>
                </c:pt>
                <c:pt idx="241">
                  <c:v>#N/A</c:v>
                </c:pt>
                <c:pt idx="242">
                  <c:v>#N/A</c:v>
                </c:pt>
                <c:pt idx="243">
                  <c:v>#N/A</c:v>
                </c:pt>
                <c:pt idx="244">
                  <c:v>#N/A</c:v>
                </c:pt>
                <c:pt idx="245">
                  <c:v>99</c:v>
                </c:pt>
                <c:pt idx="246">
                  <c:v>#N/A</c:v>
                </c:pt>
                <c:pt idx="247">
                  <c:v>192</c:v>
                </c:pt>
                <c:pt idx="248">
                  <c:v>148</c:v>
                </c:pt>
                <c:pt idx="249">
                  <c:v>#N/A</c:v>
                </c:pt>
                <c:pt idx="250">
                  <c:v>198</c:v>
                </c:pt>
                <c:pt idx="251">
                  <c:v>#N/A</c:v>
                </c:pt>
                <c:pt idx="252">
                  <c:v>186</c:v>
                </c:pt>
                <c:pt idx="253">
                  <c:v>#N/A</c:v>
                </c:pt>
                <c:pt idx="254">
                  <c:v>#N/A</c:v>
                </c:pt>
                <c:pt idx="255">
                  <c:v>#N/A</c:v>
                </c:pt>
                <c:pt idx="256">
                  <c:v>#N/A</c:v>
                </c:pt>
                <c:pt idx="257">
                  <c:v>#N/A</c:v>
                </c:pt>
                <c:pt idx="258">
                  <c:v>#N/A</c:v>
                </c:pt>
                <c:pt idx="259">
                  <c:v>#N/A</c:v>
                </c:pt>
                <c:pt idx="260">
                  <c:v>143</c:v>
                </c:pt>
                <c:pt idx="261">
                  <c:v>83</c:v>
                </c:pt>
                <c:pt idx="262">
                  <c:v>142</c:v>
                </c:pt>
                <c:pt idx="263">
                  <c:v>156</c:v>
                </c:pt>
                <c:pt idx="264">
                  <c:v>117</c:v>
                </c:pt>
                <c:pt idx="265">
                  <c:v>#N/A</c:v>
                </c:pt>
                <c:pt idx="266">
                  <c:v>#N/A</c:v>
                </c:pt>
                <c:pt idx="267">
                  <c:v>#N/A</c:v>
                </c:pt>
                <c:pt idx="268">
                  <c:v>#N/A</c:v>
                </c:pt>
                <c:pt idx="269">
                  <c:v>#N/A</c:v>
                </c:pt>
                <c:pt idx="270">
                  <c:v>114</c:v>
                </c:pt>
                <c:pt idx="271">
                  <c:v>#N/A</c:v>
                </c:pt>
                <c:pt idx="272">
                  <c:v>#N/A</c:v>
                </c:pt>
                <c:pt idx="273">
                  <c:v>124</c:v>
                </c:pt>
                <c:pt idx="274">
                  <c:v>151</c:v>
                </c:pt>
                <c:pt idx="275">
                  <c:v>142</c:v>
                </c:pt>
                <c:pt idx="276">
                  <c:v>#N/A</c:v>
                </c:pt>
                <c:pt idx="277">
                  <c:v>#N/A</c:v>
                </c:pt>
                <c:pt idx="278">
                  <c:v>#N/A</c:v>
                </c:pt>
                <c:pt idx="279">
                  <c:v>100</c:v>
                </c:pt>
                <c:pt idx="280">
                  <c:v>186</c:v>
                </c:pt>
                <c:pt idx="281">
                  <c:v>#N/A</c:v>
                </c:pt>
                <c:pt idx="282">
                  <c:v>154</c:v>
                </c:pt>
                <c:pt idx="283">
                  <c:v>141</c:v>
                </c:pt>
                <c:pt idx="284">
                  <c:v>116</c:v>
                </c:pt>
                <c:pt idx="285">
                  <c:v>#N/A</c:v>
                </c:pt>
                <c:pt idx="286">
                  <c:v>102</c:v>
                </c:pt>
                <c:pt idx="287">
                  <c:v>126</c:v>
                </c:pt>
                <c:pt idx="288">
                  <c:v>#N/A</c:v>
                </c:pt>
                <c:pt idx="289">
                  <c:v>#N/A</c:v>
                </c:pt>
                <c:pt idx="290">
                  <c:v>171</c:v>
                </c:pt>
                <c:pt idx="291">
                  <c:v>#N/A</c:v>
                </c:pt>
                <c:pt idx="292">
                  <c:v>119</c:v>
                </c:pt>
                <c:pt idx="293">
                  <c:v>114</c:v>
                </c:pt>
                <c:pt idx="294">
                  <c:v>#N/A</c:v>
                </c:pt>
                <c:pt idx="295">
                  <c:v>173</c:v>
                </c:pt>
                <c:pt idx="296">
                  <c:v>202</c:v>
                </c:pt>
                <c:pt idx="297">
                  <c:v>#N/A</c:v>
                </c:pt>
                <c:pt idx="298">
                  <c:v>#N/A</c:v>
                </c:pt>
                <c:pt idx="299">
                  <c:v>125</c:v>
                </c:pt>
                <c:pt idx="300">
                  <c:v>#N/A</c:v>
                </c:pt>
                <c:pt idx="301">
                  <c:v>#N/A</c:v>
                </c:pt>
                <c:pt idx="302">
                  <c:v>120</c:v>
                </c:pt>
                <c:pt idx="303">
                  <c:v>138</c:v>
                </c:pt>
                <c:pt idx="304">
                  <c:v>118</c:v>
                </c:pt>
                <c:pt idx="305">
                  <c:v>#N/A</c:v>
                </c:pt>
                <c:pt idx="306">
                  <c:v>#N/A</c:v>
                </c:pt>
                <c:pt idx="307">
                  <c:v>#N/A</c:v>
                </c:pt>
                <c:pt idx="308">
                  <c:v>168</c:v>
                </c:pt>
                <c:pt idx="309">
                  <c:v>#N/A</c:v>
                </c:pt>
                <c:pt idx="310">
                  <c:v>#N/A</c:v>
                </c:pt>
                <c:pt idx="311">
                  <c:v>#N/A</c:v>
                </c:pt>
                <c:pt idx="312">
                  <c:v>#N/A</c:v>
                </c:pt>
                <c:pt idx="313">
                  <c:v>#N/A</c:v>
                </c:pt>
                <c:pt idx="314">
                  <c:v>#N/A</c:v>
                </c:pt>
                <c:pt idx="315">
                  <c:v>125</c:v>
                </c:pt>
                <c:pt idx="316">
                  <c:v>#N/A</c:v>
                </c:pt>
                <c:pt idx="317">
                  <c:v>#N/A</c:v>
                </c:pt>
                <c:pt idx="318">
                  <c:v>#N/A</c:v>
                </c:pt>
                <c:pt idx="319">
                  <c:v>161</c:v>
                </c:pt>
                <c:pt idx="320">
                  <c:v>188</c:v>
                </c:pt>
                <c:pt idx="321">
                  <c:v>#N/A</c:v>
                </c:pt>
                <c:pt idx="322">
                  <c:v>#N/A</c:v>
                </c:pt>
                <c:pt idx="323">
                  <c:v>156</c:v>
                </c:pt>
                <c:pt idx="324">
                  <c:v>#N/A</c:v>
                </c:pt>
                <c:pt idx="325">
                  <c:v>#N/A</c:v>
                </c:pt>
                <c:pt idx="326">
                  <c:v>#N/A</c:v>
                </c:pt>
                <c:pt idx="327">
                  <c:v>#N/A</c:v>
                </c:pt>
                <c:pt idx="328">
                  <c:v>133</c:v>
                </c:pt>
                <c:pt idx="329">
                  <c:v>#N/A</c:v>
                </c:pt>
                <c:pt idx="330">
                  <c:v>#N/A</c:v>
                </c:pt>
                <c:pt idx="331">
                  <c:v>#N/A</c:v>
                </c:pt>
                <c:pt idx="332">
                  <c:v>135</c:v>
                </c:pt>
                <c:pt idx="333">
                  <c:v>#N/A</c:v>
                </c:pt>
                <c:pt idx="334">
                  <c:v>115</c:v>
                </c:pt>
                <c:pt idx="335">
                  <c:v>#N/A</c:v>
                </c:pt>
                <c:pt idx="336">
                  <c:v>195</c:v>
                </c:pt>
                <c:pt idx="337">
                  <c:v>170</c:v>
                </c:pt>
                <c:pt idx="338">
                  <c:v>#N/A</c:v>
                </c:pt>
                <c:pt idx="339">
                  <c:v>#N/A</c:v>
                </c:pt>
                <c:pt idx="340">
                  <c:v>#N/A</c:v>
                </c:pt>
                <c:pt idx="341">
                  <c:v>#N/A</c:v>
                </c:pt>
                <c:pt idx="342">
                  <c:v>#N/A</c:v>
                </c:pt>
                <c:pt idx="343">
                  <c:v>131</c:v>
                </c:pt>
                <c:pt idx="344">
                  <c:v>#N/A</c:v>
                </c:pt>
                <c:pt idx="345">
                  <c:v>#N/A</c:v>
                </c:pt>
                <c:pt idx="346">
                  <c:v>131</c:v>
                </c:pt>
                <c:pt idx="347">
                  <c:v>#N/A</c:v>
                </c:pt>
                <c:pt idx="348">
                  <c:v>#N/A</c:v>
                </c:pt>
                <c:pt idx="349">
                  <c:v>#N/A</c:v>
                </c:pt>
                <c:pt idx="350">
                  <c:v>#N/A</c:v>
                </c:pt>
                <c:pt idx="351">
                  <c:v>168</c:v>
                </c:pt>
                <c:pt idx="352">
                  <c:v>117</c:v>
                </c:pt>
                <c:pt idx="353">
                  <c:v>#N/A</c:v>
                </c:pt>
                <c:pt idx="354">
                  <c:v>#N/A</c:v>
                </c:pt>
                <c:pt idx="355">
                  <c:v>92</c:v>
                </c:pt>
                <c:pt idx="356">
                  <c:v>#N/A</c:v>
                </c:pt>
                <c:pt idx="357">
                  <c:v>153</c:v>
                </c:pt>
                <c:pt idx="358">
                  <c:v>#N/A</c:v>
                </c:pt>
                <c:pt idx="359">
                  <c:v>148</c:v>
                </c:pt>
                <c:pt idx="360">
                  <c:v>#N/A</c:v>
                </c:pt>
                <c:pt idx="361">
                  <c:v>#N/A</c:v>
                </c:pt>
                <c:pt idx="362">
                  <c:v>159</c:v>
                </c:pt>
                <c:pt idx="363">
                  <c:v>193</c:v>
                </c:pt>
                <c:pt idx="364">
                  <c:v>130</c:v>
                </c:pt>
                <c:pt idx="365">
                  <c:v>115</c:v>
                </c:pt>
                <c:pt idx="366">
                  <c:v>#N/A</c:v>
                </c:pt>
                <c:pt idx="367">
                  <c:v>147</c:v>
                </c:pt>
                <c:pt idx="368">
                  <c:v>178</c:v>
                </c:pt>
                <c:pt idx="369">
                  <c:v>140</c:v>
                </c:pt>
                <c:pt idx="370">
                  <c:v>#N/A</c:v>
                </c:pt>
                <c:pt idx="371">
                  <c:v>#N/A</c:v>
                </c:pt>
                <c:pt idx="372">
                  <c:v>95</c:v>
                </c:pt>
                <c:pt idx="373">
                  <c:v>#N/A</c:v>
                </c:pt>
                <c:pt idx="374">
                  <c:v>106</c:v>
                </c:pt>
                <c:pt idx="375">
                  <c:v>#N/A</c:v>
                </c:pt>
                <c:pt idx="376">
                  <c:v>#N/A</c:v>
                </c:pt>
                <c:pt idx="377">
                  <c:v>64</c:v>
                </c:pt>
                <c:pt idx="378">
                  <c:v>#N/A</c:v>
                </c:pt>
                <c:pt idx="379">
                  <c:v>200</c:v>
                </c:pt>
                <c:pt idx="380">
                  <c:v>#N/A</c:v>
                </c:pt>
                <c:pt idx="381">
                  <c:v>#N/A</c:v>
                </c:pt>
                <c:pt idx="382">
                  <c:v>112</c:v>
                </c:pt>
                <c:pt idx="383">
                  <c:v>222</c:v>
                </c:pt>
                <c:pt idx="384">
                  <c:v>#N/A</c:v>
                </c:pt>
                <c:pt idx="385">
                  <c:v>#N/A</c:v>
                </c:pt>
                <c:pt idx="386">
                  <c:v>#N/A</c:v>
                </c:pt>
                <c:pt idx="387">
                  <c:v>#N/A</c:v>
                </c:pt>
                <c:pt idx="388">
                  <c:v>#N/A</c:v>
                </c:pt>
                <c:pt idx="389">
                  <c:v>#N/A</c:v>
                </c:pt>
                <c:pt idx="390">
                  <c:v>190</c:v>
                </c:pt>
                <c:pt idx="391">
                  <c:v>#N/A</c:v>
                </c:pt>
                <c:pt idx="392">
                  <c:v>83</c:v>
                </c:pt>
                <c:pt idx="393">
                  <c:v>#N/A</c:v>
                </c:pt>
                <c:pt idx="394">
                  <c:v>122</c:v>
                </c:pt>
                <c:pt idx="395">
                  <c:v>173</c:v>
                </c:pt>
                <c:pt idx="396">
                  <c:v>#N/A</c:v>
                </c:pt>
                <c:pt idx="397">
                  <c:v>#N/A</c:v>
                </c:pt>
                <c:pt idx="398">
                  <c:v>#N/A</c:v>
                </c:pt>
                <c:pt idx="399">
                  <c:v>#N/A</c:v>
                </c:pt>
                <c:pt idx="400">
                  <c:v>#N/A</c:v>
                </c:pt>
                <c:pt idx="401">
                  <c:v>#N/A</c:v>
                </c:pt>
                <c:pt idx="402">
                  <c:v>134</c:v>
                </c:pt>
                <c:pt idx="403">
                  <c:v>134</c:v>
                </c:pt>
                <c:pt idx="404">
                  <c:v>180</c:v>
                </c:pt>
                <c:pt idx="405">
                  <c:v>#N/A</c:v>
                </c:pt>
                <c:pt idx="406">
                  <c:v>#N/A</c:v>
                </c:pt>
                <c:pt idx="407">
                  <c:v>155</c:v>
                </c:pt>
                <c:pt idx="408">
                  <c:v>#N/A</c:v>
                </c:pt>
                <c:pt idx="409">
                  <c:v>#N/A</c:v>
                </c:pt>
                <c:pt idx="410">
                  <c:v>#N/A</c:v>
                </c:pt>
                <c:pt idx="411">
                  <c:v>#N/A</c:v>
                </c:pt>
                <c:pt idx="412">
                  <c:v>#N/A</c:v>
                </c:pt>
                <c:pt idx="413">
                  <c:v>#N/A</c:v>
                </c:pt>
                <c:pt idx="414">
                  <c:v>#N/A</c:v>
                </c:pt>
                <c:pt idx="415">
                  <c:v>#N/A</c:v>
                </c:pt>
                <c:pt idx="416">
                  <c:v>157</c:v>
                </c:pt>
                <c:pt idx="417">
                  <c:v>#N/A</c:v>
                </c:pt>
                <c:pt idx="418">
                  <c:v>#N/A</c:v>
                </c:pt>
                <c:pt idx="419">
                  <c:v>#N/A</c:v>
                </c:pt>
                <c:pt idx="420">
                  <c:v>94</c:v>
                </c:pt>
                <c:pt idx="421">
                  <c:v>#N/A</c:v>
                </c:pt>
                <c:pt idx="422">
                  <c:v>139</c:v>
                </c:pt>
                <c:pt idx="423">
                  <c:v>#N/A</c:v>
                </c:pt>
                <c:pt idx="424">
                  <c:v>122</c:v>
                </c:pt>
                <c:pt idx="425">
                  <c:v>151</c:v>
                </c:pt>
                <c:pt idx="426">
                  <c:v>#N/A</c:v>
                </c:pt>
                <c:pt idx="427">
                  <c:v>176</c:v>
                </c:pt>
                <c:pt idx="428">
                  <c:v>159</c:v>
                </c:pt>
                <c:pt idx="429">
                  <c:v>153</c:v>
                </c:pt>
                <c:pt idx="430">
                  <c:v>#N/A</c:v>
                </c:pt>
                <c:pt idx="431">
                  <c:v>90</c:v>
                </c:pt>
                <c:pt idx="432">
                  <c:v>#N/A</c:v>
                </c:pt>
                <c:pt idx="433">
                  <c:v>161</c:v>
                </c:pt>
                <c:pt idx="434">
                  <c:v>#N/A</c:v>
                </c:pt>
                <c:pt idx="435">
                  <c:v>#N/A</c:v>
                </c:pt>
                <c:pt idx="436">
                  <c:v>#N/A</c:v>
                </c:pt>
                <c:pt idx="437">
                  <c:v>116</c:v>
                </c:pt>
                <c:pt idx="438">
                  <c:v>#N/A</c:v>
                </c:pt>
                <c:pt idx="439">
                  <c:v>#N/A</c:v>
                </c:pt>
                <c:pt idx="440">
                  <c:v>151</c:v>
                </c:pt>
                <c:pt idx="441">
                  <c:v>#N/A</c:v>
                </c:pt>
                <c:pt idx="442">
                  <c:v>#N/A</c:v>
                </c:pt>
                <c:pt idx="443">
                  <c:v>179</c:v>
                </c:pt>
                <c:pt idx="444">
                  <c:v>#N/A</c:v>
                </c:pt>
                <c:pt idx="445">
                  <c:v>#N/A</c:v>
                </c:pt>
                <c:pt idx="446">
                  <c:v>#N/A</c:v>
                </c:pt>
                <c:pt idx="447">
                  <c:v>166</c:v>
                </c:pt>
                <c:pt idx="448">
                  <c:v>#N/A</c:v>
                </c:pt>
                <c:pt idx="449">
                  <c:v>164</c:v>
                </c:pt>
                <c:pt idx="450">
                  <c:v>#N/A</c:v>
                </c:pt>
                <c:pt idx="451">
                  <c:v>#N/A</c:v>
                </c:pt>
                <c:pt idx="452">
                  <c:v>#N/A</c:v>
                </c:pt>
                <c:pt idx="453">
                  <c:v>156</c:v>
                </c:pt>
                <c:pt idx="454">
                  <c:v>163</c:v>
                </c:pt>
                <c:pt idx="455">
                  <c:v>#N/A</c:v>
                </c:pt>
                <c:pt idx="456">
                  <c:v>159</c:v>
                </c:pt>
                <c:pt idx="457">
                  <c:v>158</c:v>
                </c:pt>
                <c:pt idx="458">
                  <c:v>#N/A</c:v>
                </c:pt>
                <c:pt idx="459">
                  <c:v>#N/A</c:v>
                </c:pt>
                <c:pt idx="460">
                  <c:v>#N/A</c:v>
                </c:pt>
                <c:pt idx="461">
                  <c:v>#N/A</c:v>
                </c:pt>
                <c:pt idx="462">
                  <c:v>#N/A</c:v>
                </c:pt>
                <c:pt idx="463">
                  <c:v>#N/A</c:v>
                </c:pt>
                <c:pt idx="464">
                  <c:v>#N/A</c:v>
                </c:pt>
                <c:pt idx="465">
                  <c:v>#N/A</c:v>
                </c:pt>
                <c:pt idx="466">
                  <c:v>#N/A</c:v>
                </c:pt>
                <c:pt idx="467">
                  <c:v>183</c:v>
                </c:pt>
                <c:pt idx="468">
                  <c:v>#N/A</c:v>
                </c:pt>
                <c:pt idx="469">
                  <c:v>188</c:v>
                </c:pt>
                <c:pt idx="470">
                  <c:v>151</c:v>
                </c:pt>
                <c:pt idx="471">
                  <c:v>#N/A</c:v>
                </c:pt>
                <c:pt idx="472">
                  <c:v>172</c:v>
                </c:pt>
                <c:pt idx="473">
                  <c:v>147</c:v>
                </c:pt>
                <c:pt idx="474">
                  <c:v>#N/A</c:v>
                </c:pt>
                <c:pt idx="475">
                  <c:v>#N/A</c:v>
                </c:pt>
                <c:pt idx="476">
                  <c:v>#N/A</c:v>
                </c:pt>
                <c:pt idx="477">
                  <c:v>#N/A</c:v>
                </c:pt>
                <c:pt idx="478">
                  <c:v>#N/A</c:v>
                </c:pt>
                <c:pt idx="479">
                  <c:v>#N/A</c:v>
                </c:pt>
                <c:pt idx="480">
                  <c:v>137</c:v>
                </c:pt>
                <c:pt idx="481">
                  <c:v>115</c:v>
                </c:pt>
                <c:pt idx="482">
                  <c:v>#N/A</c:v>
                </c:pt>
                <c:pt idx="483">
                  <c:v>#N/A</c:v>
                </c:pt>
                <c:pt idx="484">
                  <c:v>#N/A</c:v>
                </c:pt>
                <c:pt idx="485">
                  <c:v>175</c:v>
                </c:pt>
                <c:pt idx="486">
                  <c:v>#N/A</c:v>
                </c:pt>
                <c:pt idx="487">
                  <c:v>111</c:v>
                </c:pt>
                <c:pt idx="488">
                  <c:v>#N/A</c:v>
                </c:pt>
                <c:pt idx="489">
                  <c:v>#N/A</c:v>
                </c:pt>
                <c:pt idx="490">
                  <c:v>#N/A</c:v>
                </c:pt>
                <c:pt idx="491">
                  <c:v>#N/A</c:v>
                </c:pt>
                <c:pt idx="492">
                  <c:v>129</c:v>
                </c:pt>
                <c:pt idx="493">
                  <c:v>#N/A</c:v>
                </c:pt>
                <c:pt idx="494">
                  <c:v>181</c:v>
                </c:pt>
                <c:pt idx="495">
                  <c:v>188</c:v>
                </c:pt>
                <c:pt idx="496">
                  <c:v>128</c:v>
                </c:pt>
                <c:pt idx="497">
                  <c:v>#N/A</c:v>
                </c:pt>
                <c:pt idx="498">
                  <c:v>#N/A</c:v>
                </c:pt>
                <c:pt idx="499">
                  <c:v>191</c:v>
                </c:pt>
                <c:pt idx="500">
                  <c:v>#N/A</c:v>
                </c:pt>
                <c:pt idx="501">
                  <c:v>127</c:v>
                </c:pt>
                <c:pt idx="502">
                  <c:v>#N/A</c:v>
                </c:pt>
                <c:pt idx="503">
                  <c:v>154</c:v>
                </c:pt>
                <c:pt idx="504">
                  <c:v>155</c:v>
                </c:pt>
                <c:pt idx="505">
                  <c:v>#N/A</c:v>
                </c:pt>
                <c:pt idx="506">
                  <c:v>#N/A</c:v>
                </c:pt>
                <c:pt idx="507">
                  <c:v>#N/A</c:v>
                </c:pt>
                <c:pt idx="508">
                  <c:v>#N/A</c:v>
                </c:pt>
                <c:pt idx="509">
                  <c:v>#N/A</c:v>
                </c:pt>
                <c:pt idx="510">
                  <c:v>152</c:v>
                </c:pt>
                <c:pt idx="511">
                  <c:v>#N/A</c:v>
                </c:pt>
                <c:pt idx="512">
                  <c:v>129</c:v>
                </c:pt>
                <c:pt idx="513">
                  <c:v>165</c:v>
                </c:pt>
                <c:pt idx="514">
                  <c:v>200</c:v>
                </c:pt>
                <c:pt idx="515">
                  <c:v>163</c:v>
                </c:pt>
                <c:pt idx="516">
                  <c:v>#N/A</c:v>
                </c:pt>
                <c:pt idx="517">
                  <c:v>170</c:v>
                </c:pt>
                <c:pt idx="518">
                  <c:v>160</c:v>
                </c:pt>
                <c:pt idx="519">
                  <c:v>#N/A</c:v>
                </c:pt>
                <c:pt idx="520">
                  <c:v>164</c:v>
                </c:pt>
                <c:pt idx="521">
                  <c:v>140</c:v>
                </c:pt>
                <c:pt idx="522">
                  <c:v>#N/A</c:v>
                </c:pt>
                <c:pt idx="523">
                  <c:v>#N/A</c:v>
                </c:pt>
                <c:pt idx="524">
                  <c:v>133</c:v>
                </c:pt>
                <c:pt idx="525">
                  <c:v>#N/A</c:v>
                </c:pt>
                <c:pt idx="526">
                  <c:v>#N/A</c:v>
                </c:pt>
                <c:pt idx="527">
                  <c:v>164</c:v>
                </c:pt>
                <c:pt idx="528">
                  <c:v>#N/A</c:v>
                </c:pt>
                <c:pt idx="529">
                  <c:v>152</c:v>
                </c:pt>
                <c:pt idx="530">
                  <c:v>#N/A</c:v>
                </c:pt>
                <c:pt idx="531">
                  <c:v>163</c:v>
                </c:pt>
                <c:pt idx="532">
                  <c:v>#N/A</c:v>
                </c:pt>
                <c:pt idx="533">
                  <c:v>132</c:v>
                </c:pt>
                <c:pt idx="534">
                  <c:v>151</c:v>
                </c:pt>
                <c:pt idx="535">
                  <c:v>149</c:v>
                </c:pt>
                <c:pt idx="536">
                  <c:v>#N/A</c:v>
                </c:pt>
                <c:pt idx="537">
                  <c:v>#N/A</c:v>
                </c:pt>
                <c:pt idx="538">
                  <c:v>156</c:v>
                </c:pt>
                <c:pt idx="539">
                  <c:v>192</c:v>
                </c:pt>
                <c:pt idx="540">
                  <c:v>#N/A</c:v>
                </c:pt>
                <c:pt idx="541">
                  <c:v>#N/A</c:v>
                </c:pt>
                <c:pt idx="542">
                  <c:v>#N/A</c:v>
                </c:pt>
                <c:pt idx="543">
                  <c:v>114</c:v>
                </c:pt>
                <c:pt idx="544">
                  <c:v>#N/A</c:v>
                </c:pt>
                <c:pt idx="545">
                  <c:v>107</c:v>
                </c:pt>
                <c:pt idx="546">
                  <c:v>171</c:v>
                </c:pt>
                <c:pt idx="547">
                  <c:v>165</c:v>
                </c:pt>
                <c:pt idx="548">
                  <c:v>#N/A</c:v>
                </c:pt>
                <c:pt idx="549">
                  <c:v>#N/A</c:v>
                </c:pt>
                <c:pt idx="550">
                  <c:v>#N/A</c:v>
                </c:pt>
                <c:pt idx="551">
                  <c:v>138</c:v>
                </c:pt>
                <c:pt idx="552">
                  <c:v>156</c:v>
                </c:pt>
                <c:pt idx="553">
                  <c:v>#N/A</c:v>
                </c:pt>
                <c:pt idx="554">
                  <c:v>#N/A</c:v>
                </c:pt>
                <c:pt idx="555">
                  <c:v>155</c:v>
                </c:pt>
                <c:pt idx="556">
                  <c:v>#N/A</c:v>
                </c:pt>
                <c:pt idx="557">
                  <c:v>#N/A</c:v>
                </c:pt>
                <c:pt idx="558">
                  <c:v>185</c:v>
                </c:pt>
                <c:pt idx="559">
                  <c:v>#N/A</c:v>
                </c:pt>
                <c:pt idx="560">
                  <c:v>#N/A</c:v>
                </c:pt>
                <c:pt idx="561">
                  <c:v>125</c:v>
                </c:pt>
                <c:pt idx="562">
                  <c:v>199</c:v>
                </c:pt>
                <c:pt idx="563">
                  <c:v>149</c:v>
                </c:pt>
                <c:pt idx="564">
                  <c:v>125</c:v>
                </c:pt>
                <c:pt idx="565">
                  <c:v>#N/A</c:v>
                </c:pt>
                <c:pt idx="566">
                  <c:v>#N/A</c:v>
                </c:pt>
                <c:pt idx="567">
                  <c:v>131</c:v>
                </c:pt>
                <c:pt idx="568">
                  <c:v>#N/A</c:v>
                </c:pt>
                <c:pt idx="569">
                  <c:v>#N/A</c:v>
                </c:pt>
                <c:pt idx="570">
                  <c:v>#N/A</c:v>
                </c:pt>
                <c:pt idx="571">
                  <c:v>116</c:v>
                </c:pt>
                <c:pt idx="572">
                  <c:v>144</c:v>
                </c:pt>
                <c:pt idx="573">
                  <c:v>145</c:v>
                </c:pt>
                <c:pt idx="574">
                  <c:v>110</c:v>
                </c:pt>
                <c:pt idx="575">
                  <c:v>#N/A</c:v>
                </c:pt>
                <c:pt idx="576">
                  <c:v>#N/A</c:v>
                </c:pt>
                <c:pt idx="577">
                  <c:v>138</c:v>
                </c:pt>
                <c:pt idx="578">
                  <c:v>#N/A</c:v>
                </c:pt>
                <c:pt idx="579">
                  <c:v>#N/A</c:v>
                </c:pt>
                <c:pt idx="580">
                  <c:v>#N/A</c:v>
                </c:pt>
                <c:pt idx="581">
                  <c:v>#N/A</c:v>
                </c:pt>
                <c:pt idx="582">
                  <c:v>#N/A</c:v>
                </c:pt>
                <c:pt idx="583">
                  <c:v>#N/A</c:v>
                </c:pt>
                <c:pt idx="584">
                  <c:v>#N/A</c:v>
                </c:pt>
                <c:pt idx="585">
                  <c:v>147</c:v>
                </c:pt>
                <c:pt idx="586">
                  <c:v>126</c:v>
                </c:pt>
                <c:pt idx="587">
                  <c:v>#N/A</c:v>
                </c:pt>
                <c:pt idx="588">
                  <c:v>#N/A</c:v>
                </c:pt>
                <c:pt idx="589">
                  <c:v>185</c:v>
                </c:pt>
                <c:pt idx="590">
                  <c:v>#N/A</c:v>
                </c:pt>
                <c:pt idx="591">
                  <c:v>197</c:v>
                </c:pt>
                <c:pt idx="592">
                  <c:v>#N/A</c:v>
                </c:pt>
                <c:pt idx="593">
                  <c:v>#N/A</c:v>
                </c:pt>
                <c:pt idx="594">
                  <c:v>#N/A</c:v>
                </c:pt>
                <c:pt idx="595">
                  <c:v>#N/A</c:v>
                </c:pt>
                <c:pt idx="596">
                  <c:v>128</c:v>
                </c:pt>
                <c:pt idx="597">
                  <c:v>#N/A</c:v>
                </c:pt>
                <c:pt idx="598">
                  <c:v>#N/A</c:v>
                </c:pt>
                <c:pt idx="599">
                  <c:v>#N/A</c:v>
                </c:pt>
                <c:pt idx="600">
                  <c:v>#N/A</c:v>
                </c:pt>
                <c:pt idx="601">
                  <c:v>#N/A</c:v>
                </c:pt>
                <c:pt idx="602">
                  <c:v>95</c:v>
                </c:pt>
                <c:pt idx="603">
                  <c:v>#N/A</c:v>
                </c:pt>
                <c:pt idx="604">
                  <c:v>#N/A</c:v>
                </c:pt>
                <c:pt idx="605">
                  <c:v>#N/A</c:v>
                </c:pt>
                <c:pt idx="606">
                  <c:v>176</c:v>
                </c:pt>
                <c:pt idx="607">
                  <c:v>#N/A</c:v>
                </c:pt>
                <c:pt idx="608">
                  <c:v>#N/A</c:v>
                </c:pt>
                <c:pt idx="609">
                  <c:v>165</c:v>
                </c:pt>
                <c:pt idx="610">
                  <c:v>98</c:v>
                </c:pt>
                <c:pt idx="611">
                  <c:v>#N/A</c:v>
                </c:pt>
                <c:pt idx="612">
                  <c:v>#N/A</c:v>
                </c:pt>
                <c:pt idx="613">
                  <c:v>160</c:v>
                </c:pt>
                <c:pt idx="614">
                  <c:v>#N/A</c:v>
                </c:pt>
                <c:pt idx="615">
                  <c:v>144</c:v>
                </c:pt>
                <c:pt idx="616">
                  <c:v>180</c:v>
                </c:pt>
                <c:pt idx="617">
                  <c:v>168</c:v>
                </c:pt>
                <c:pt idx="618">
                  <c:v>60</c:v>
                </c:pt>
                <c:pt idx="619">
                  <c:v>#N/A</c:v>
                </c:pt>
                <c:pt idx="620">
                  <c:v>#N/A</c:v>
                </c:pt>
                <c:pt idx="621">
                  <c:v>#N/A</c:v>
                </c:pt>
                <c:pt idx="622">
                  <c:v>180</c:v>
                </c:pt>
                <c:pt idx="623">
                  <c:v>#N/A</c:v>
                </c:pt>
                <c:pt idx="624">
                  <c:v>#N/A</c:v>
                </c:pt>
                <c:pt idx="625">
                  <c:v>147</c:v>
                </c:pt>
                <c:pt idx="626">
                  <c:v>#N/A</c:v>
                </c:pt>
                <c:pt idx="627">
                  <c:v>98</c:v>
                </c:pt>
                <c:pt idx="628">
                  <c:v>132</c:v>
                </c:pt>
                <c:pt idx="629">
                  <c:v>#N/A</c:v>
                </c:pt>
                <c:pt idx="630">
                  <c:v>#N/A</c:v>
                </c:pt>
                <c:pt idx="631">
                  <c:v>135</c:v>
                </c:pt>
                <c:pt idx="632">
                  <c:v>#N/A</c:v>
                </c:pt>
                <c:pt idx="633">
                  <c:v>176</c:v>
                </c:pt>
                <c:pt idx="634">
                  <c:v>152</c:v>
                </c:pt>
                <c:pt idx="635">
                  <c:v>143</c:v>
                </c:pt>
                <c:pt idx="636">
                  <c:v>#N/A</c:v>
                </c:pt>
                <c:pt idx="637">
                  <c:v>167</c:v>
                </c:pt>
                <c:pt idx="638">
                  <c:v>143</c:v>
                </c:pt>
                <c:pt idx="639">
                  <c:v>172</c:v>
                </c:pt>
                <c:pt idx="640">
                  <c:v>155</c:v>
                </c:pt>
                <c:pt idx="641">
                  <c:v>#N/A</c:v>
                </c:pt>
                <c:pt idx="642">
                  <c:v>#N/A</c:v>
                </c:pt>
                <c:pt idx="643">
                  <c:v>178</c:v>
                </c:pt>
                <c:pt idx="644">
                  <c:v>#N/A</c:v>
                </c:pt>
                <c:pt idx="645">
                  <c:v>126</c:v>
                </c:pt>
                <c:pt idx="646">
                  <c:v>#N/A</c:v>
                </c:pt>
                <c:pt idx="647">
                  <c:v>#N/A</c:v>
                </c:pt>
                <c:pt idx="648">
                  <c:v>#N/A</c:v>
                </c:pt>
                <c:pt idx="649">
                  <c:v>#N/A</c:v>
                </c:pt>
                <c:pt idx="650">
                  <c:v>143</c:v>
                </c:pt>
                <c:pt idx="651">
                  <c:v>#N/A</c:v>
                </c:pt>
                <c:pt idx="652">
                  <c:v>#N/A</c:v>
                </c:pt>
                <c:pt idx="653">
                  <c:v>194</c:v>
                </c:pt>
                <c:pt idx="654">
                  <c:v>#N/A</c:v>
                </c:pt>
                <c:pt idx="655">
                  <c:v>143</c:v>
                </c:pt>
                <c:pt idx="656">
                  <c:v>#N/A</c:v>
                </c:pt>
                <c:pt idx="657">
                  <c:v>#N/A</c:v>
                </c:pt>
                <c:pt idx="658">
                  <c:v>#N/A</c:v>
                </c:pt>
                <c:pt idx="659">
                  <c:v>#N/A</c:v>
                </c:pt>
                <c:pt idx="660">
                  <c:v>#N/A</c:v>
                </c:pt>
                <c:pt idx="661">
                  <c:v>#N/A</c:v>
                </c:pt>
                <c:pt idx="662">
                  <c:v>186</c:v>
                </c:pt>
                <c:pt idx="663">
                  <c:v>140</c:v>
                </c:pt>
                <c:pt idx="664">
                  <c:v>#N/A</c:v>
                </c:pt>
                <c:pt idx="665">
                  <c:v>193</c:v>
                </c:pt>
                <c:pt idx="666">
                  <c:v>#N/A</c:v>
                </c:pt>
                <c:pt idx="667">
                  <c:v>#N/A</c:v>
                </c:pt>
                <c:pt idx="668">
                  <c:v>#N/A</c:v>
                </c:pt>
                <c:pt idx="669">
                  <c:v>194</c:v>
                </c:pt>
                <c:pt idx="670">
                  <c:v>#N/A</c:v>
                </c:pt>
                <c:pt idx="671">
                  <c:v>#N/A</c:v>
                </c:pt>
                <c:pt idx="672">
                  <c:v>135</c:v>
                </c:pt>
                <c:pt idx="673">
                  <c:v>#N/A</c:v>
                </c:pt>
                <c:pt idx="674">
                  <c:v>96</c:v>
                </c:pt>
                <c:pt idx="675">
                  <c:v>187</c:v>
                </c:pt>
                <c:pt idx="676">
                  <c:v>#N/A</c:v>
                </c:pt>
                <c:pt idx="677">
                  <c:v>#N/A</c:v>
                </c:pt>
                <c:pt idx="678">
                  <c:v>153</c:v>
                </c:pt>
                <c:pt idx="679">
                  <c:v>122</c:v>
                </c:pt>
                <c:pt idx="680">
                  <c:v>#N/A</c:v>
                </c:pt>
                <c:pt idx="681">
                  <c:v>#N/A</c:v>
                </c:pt>
                <c:pt idx="682">
                  <c:v>#N/A</c:v>
                </c:pt>
                <c:pt idx="683">
                  <c:v>173</c:v>
                </c:pt>
                <c:pt idx="684">
                  <c:v>#N/A</c:v>
                </c:pt>
                <c:pt idx="685">
                  <c:v>116</c:v>
                </c:pt>
                <c:pt idx="686">
                  <c:v>138</c:v>
                </c:pt>
                <c:pt idx="687">
                  <c:v>#N/A</c:v>
                </c:pt>
                <c:pt idx="688">
                  <c:v>105</c:v>
                </c:pt>
                <c:pt idx="689">
                  <c:v>97</c:v>
                </c:pt>
                <c:pt idx="690">
                  <c:v>#N/A</c:v>
                </c:pt>
                <c:pt idx="691">
                  <c:v>#N/A</c:v>
                </c:pt>
                <c:pt idx="692">
                  <c:v>186</c:v>
                </c:pt>
                <c:pt idx="693">
                  <c:v>#N/A</c:v>
                </c:pt>
                <c:pt idx="694">
                  <c:v>161</c:v>
                </c:pt>
                <c:pt idx="695">
                  <c:v>124</c:v>
                </c:pt>
                <c:pt idx="696">
                  <c:v>125</c:v>
                </c:pt>
                <c:pt idx="697">
                  <c:v>#N/A</c:v>
                </c:pt>
                <c:pt idx="698">
                  <c:v>124</c:v>
                </c:pt>
                <c:pt idx="699">
                  <c:v>#N/A</c:v>
                </c:pt>
                <c:pt idx="700">
                  <c:v>182</c:v>
                </c:pt>
                <c:pt idx="701">
                  <c:v>#N/A</c:v>
                </c:pt>
                <c:pt idx="702">
                  <c:v>#N/A</c:v>
                </c:pt>
                <c:pt idx="703">
                  <c:v>#N/A</c:v>
                </c:pt>
                <c:pt idx="704">
                  <c:v>157</c:v>
                </c:pt>
                <c:pt idx="705">
                  <c:v>#N/A</c:v>
                </c:pt>
                <c:pt idx="706">
                  <c:v>141</c:v>
                </c:pt>
                <c:pt idx="707">
                  <c:v>#N/A</c:v>
                </c:pt>
                <c:pt idx="708">
                  <c:v>104</c:v>
                </c:pt>
                <c:pt idx="709">
                  <c:v>#N/A</c:v>
                </c:pt>
                <c:pt idx="710">
                  <c:v>194</c:v>
                </c:pt>
                <c:pt idx="711">
                  <c:v>#N/A</c:v>
                </c:pt>
                <c:pt idx="712">
                  <c:v>194</c:v>
                </c:pt>
                <c:pt idx="713">
                  <c:v>#N/A</c:v>
                </c:pt>
                <c:pt idx="714">
                  <c:v>#N/A</c:v>
                </c:pt>
                <c:pt idx="715">
                  <c:v>#N/A</c:v>
                </c:pt>
                <c:pt idx="716">
                  <c:v>#N/A</c:v>
                </c:pt>
                <c:pt idx="717">
                  <c:v>#N/A</c:v>
                </c:pt>
                <c:pt idx="718">
                  <c:v>#N/A</c:v>
                </c:pt>
                <c:pt idx="719">
                  <c:v>85</c:v>
                </c:pt>
                <c:pt idx="720">
                  <c:v>#N/A</c:v>
                </c:pt>
                <c:pt idx="721">
                  <c:v>#N/A</c:v>
                </c:pt>
                <c:pt idx="722">
                  <c:v>#N/A</c:v>
                </c:pt>
                <c:pt idx="723">
                  <c:v>162</c:v>
                </c:pt>
                <c:pt idx="724">
                  <c:v>#N/A</c:v>
                </c:pt>
                <c:pt idx="725">
                  <c:v>#N/A</c:v>
                </c:pt>
                <c:pt idx="726">
                  <c:v>#N/A</c:v>
                </c:pt>
                <c:pt idx="727">
                  <c:v>#N/A</c:v>
                </c:pt>
                <c:pt idx="728">
                  <c:v>#N/A</c:v>
                </c:pt>
                <c:pt idx="729">
                  <c:v>112</c:v>
                </c:pt>
                <c:pt idx="730">
                  <c:v>#N/A</c:v>
                </c:pt>
                <c:pt idx="731">
                  <c:v>#N/A</c:v>
                </c:pt>
                <c:pt idx="732">
                  <c:v>149</c:v>
                </c:pt>
                <c:pt idx="733">
                  <c:v>151</c:v>
                </c:pt>
                <c:pt idx="734">
                  <c:v>136</c:v>
                </c:pt>
                <c:pt idx="735">
                  <c:v>166</c:v>
                </c:pt>
                <c:pt idx="736">
                  <c:v>#N/A</c:v>
                </c:pt>
                <c:pt idx="737">
                  <c:v>#N/A</c:v>
                </c:pt>
                <c:pt idx="738">
                  <c:v>#N/A</c:v>
                </c:pt>
                <c:pt idx="739">
                  <c:v>90</c:v>
                </c:pt>
                <c:pt idx="740">
                  <c:v>160</c:v>
                </c:pt>
                <c:pt idx="741">
                  <c:v>#N/A</c:v>
                </c:pt>
                <c:pt idx="742">
                  <c:v>#N/A</c:v>
                </c:pt>
                <c:pt idx="743">
                  <c:v>147</c:v>
                </c:pt>
                <c:pt idx="744">
                  <c:v>142</c:v>
                </c:pt>
                <c:pt idx="745">
                  <c:v>153</c:v>
                </c:pt>
                <c:pt idx="746">
                  <c:v>#N/A</c:v>
                </c:pt>
                <c:pt idx="747">
                  <c:v>140</c:v>
                </c:pt>
                <c:pt idx="748">
                  <c:v>122</c:v>
                </c:pt>
                <c:pt idx="749">
                  <c:v>#N/A</c:v>
                </c:pt>
                <c:pt idx="750">
                  <c:v>145</c:v>
                </c:pt>
                <c:pt idx="751">
                  <c:v>#N/A</c:v>
                </c:pt>
                <c:pt idx="752">
                  <c:v>170</c:v>
                </c:pt>
                <c:pt idx="753">
                  <c:v>#N/A</c:v>
                </c:pt>
                <c:pt idx="754">
                  <c:v>106</c:v>
                </c:pt>
                <c:pt idx="755">
                  <c:v>#N/A</c:v>
                </c:pt>
                <c:pt idx="756">
                  <c:v>#N/A</c:v>
                </c:pt>
                <c:pt idx="757">
                  <c:v>147</c:v>
                </c:pt>
                <c:pt idx="758">
                  <c:v>161</c:v>
                </c:pt>
                <c:pt idx="759">
                  <c:v>#N/A</c:v>
                </c:pt>
                <c:pt idx="760">
                  <c:v>#N/A</c:v>
                </c:pt>
                <c:pt idx="761">
                  <c:v>#N/A</c:v>
                </c:pt>
                <c:pt idx="762">
                  <c:v>#N/A</c:v>
                </c:pt>
                <c:pt idx="763">
                  <c:v>#N/A</c:v>
                </c:pt>
                <c:pt idx="764">
                  <c:v>#N/A</c:v>
                </c:pt>
                <c:pt idx="765">
                  <c:v>149</c:v>
                </c:pt>
                <c:pt idx="766">
                  <c:v>#N/A</c:v>
                </c:pt>
                <c:pt idx="767">
                  <c:v>#N/A</c:v>
                </c:pt>
                <c:pt idx="768">
                  <c:v>#N/A</c:v>
                </c:pt>
                <c:pt idx="769">
                  <c:v>#N/A</c:v>
                </c:pt>
                <c:pt idx="770">
                  <c:v>145</c:v>
                </c:pt>
                <c:pt idx="771">
                  <c:v>#N/A</c:v>
                </c:pt>
                <c:pt idx="772">
                  <c:v>#N/A</c:v>
                </c:pt>
                <c:pt idx="773">
                  <c:v>#N/A</c:v>
                </c:pt>
                <c:pt idx="774">
                  <c:v>#N/A</c:v>
                </c:pt>
                <c:pt idx="775">
                  <c:v>#N/A</c:v>
                </c:pt>
                <c:pt idx="776">
                  <c:v>#N/A</c:v>
                </c:pt>
                <c:pt idx="777">
                  <c:v>#N/A</c:v>
                </c:pt>
                <c:pt idx="778">
                  <c:v>67</c:v>
                </c:pt>
                <c:pt idx="779">
                  <c:v>#N/A</c:v>
                </c:pt>
                <c:pt idx="780">
                  <c:v>#N/A</c:v>
                </c:pt>
                <c:pt idx="781">
                  <c:v>#N/A</c:v>
                </c:pt>
                <c:pt idx="782">
                  <c:v>#N/A</c:v>
                </c:pt>
                <c:pt idx="783">
                  <c:v>#N/A</c:v>
                </c:pt>
                <c:pt idx="784">
                  <c:v>#N/A</c:v>
                </c:pt>
                <c:pt idx="785">
                  <c:v>#N/A</c:v>
                </c:pt>
                <c:pt idx="786">
                  <c:v>118</c:v>
                </c:pt>
                <c:pt idx="787">
                  <c:v>#N/A</c:v>
                </c:pt>
                <c:pt idx="788">
                  <c:v>#N/A</c:v>
                </c:pt>
                <c:pt idx="789">
                  <c:v>#N/A</c:v>
                </c:pt>
                <c:pt idx="790">
                  <c:v>#N/A</c:v>
                </c:pt>
                <c:pt idx="791">
                  <c:v>#N/A</c:v>
                </c:pt>
                <c:pt idx="792">
                  <c:v>#N/A</c:v>
                </c:pt>
                <c:pt idx="793">
                  <c:v>210</c:v>
                </c:pt>
                <c:pt idx="794">
                  <c:v>127</c:v>
                </c:pt>
                <c:pt idx="795">
                  <c:v>#N/A</c:v>
                </c:pt>
                <c:pt idx="796">
                  <c:v>#N/A</c:v>
                </c:pt>
                <c:pt idx="797">
                  <c:v>#N/A</c:v>
                </c:pt>
                <c:pt idx="798">
                  <c:v>#N/A</c:v>
                </c:pt>
                <c:pt idx="799">
                  <c:v>134</c:v>
                </c:pt>
                <c:pt idx="800">
                  <c:v>#N/A</c:v>
                </c:pt>
                <c:pt idx="801">
                  <c:v>#N/A</c:v>
                </c:pt>
                <c:pt idx="802">
                  <c:v>116</c:v>
                </c:pt>
                <c:pt idx="803">
                  <c:v>#N/A</c:v>
                </c:pt>
                <c:pt idx="804">
                  <c:v>#N/A</c:v>
                </c:pt>
                <c:pt idx="805">
                  <c:v>#N/A</c:v>
                </c:pt>
                <c:pt idx="806">
                  <c:v>#N/A</c:v>
                </c:pt>
                <c:pt idx="807">
                  <c:v>#N/A</c:v>
                </c:pt>
                <c:pt idx="808">
                  <c:v>#N/A</c:v>
                </c:pt>
                <c:pt idx="809">
                  <c:v>135</c:v>
                </c:pt>
                <c:pt idx="810">
                  <c:v>#N/A</c:v>
                </c:pt>
                <c:pt idx="811">
                  <c:v>#N/A</c:v>
                </c:pt>
                <c:pt idx="812">
                  <c:v>210</c:v>
                </c:pt>
                <c:pt idx="813">
                  <c:v>#N/A</c:v>
                </c:pt>
                <c:pt idx="814">
                  <c:v>#N/A</c:v>
                </c:pt>
                <c:pt idx="815">
                  <c:v>191</c:v>
                </c:pt>
                <c:pt idx="816">
                  <c:v>#N/A</c:v>
                </c:pt>
                <c:pt idx="817">
                  <c:v>#N/A</c:v>
                </c:pt>
                <c:pt idx="818">
                  <c:v>120</c:v>
                </c:pt>
                <c:pt idx="819">
                  <c:v>#N/A</c:v>
                </c:pt>
                <c:pt idx="820">
                  <c:v>#N/A</c:v>
                </c:pt>
                <c:pt idx="821">
                  <c:v>138</c:v>
                </c:pt>
                <c:pt idx="822">
                  <c:v>137</c:v>
                </c:pt>
                <c:pt idx="823">
                  <c:v>#N/A</c:v>
                </c:pt>
                <c:pt idx="824">
                  <c:v>#N/A</c:v>
                </c:pt>
                <c:pt idx="825">
                  <c:v>#N/A</c:v>
                </c:pt>
                <c:pt idx="826">
                  <c:v>153</c:v>
                </c:pt>
                <c:pt idx="827">
                  <c:v>160</c:v>
                </c:pt>
                <c:pt idx="828">
                  <c:v>167</c:v>
                </c:pt>
                <c:pt idx="829">
                  <c:v>150</c:v>
                </c:pt>
                <c:pt idx="830">
                  <c:v>#N/A</c:v>
                </c:pt>
                <c:pt idx="831">
                  <c:v>#N/A</c:v>
                </c:pt>
                <c:pt idx="832">
                  <c:v>125</c:v>
                </c:pt>
                <c:pt idx="833">
                  <c:v>#N/A</c:v>
                </c:pt>
                <c:pt idx="834">
                  <c:v>146</c:v>
                </c:pt>
                <c:pt idx="835">
                  <c:v>#N/A</c:v>
                </c:pt>
                <c:pt idx="836">
                  <c:v>#N/A</c:v>
                </c:pt>
                <c:pt idx="837">
                  <c:v>168</c:v>
                </c:pt>
                <c:pt idx="838">
                  <c:v>156</c:v>
                </c:pt>
                <c:pt idx="839">
                  <c:v>141</c:v>
                </c:pt>
                <c:pt idx="840">
                  <c:v>108</c:v>
                </c:pt>
                <c:pt idx="841">
                  <c:v>139</c:v>
                </c:pt>
                <c:pt idx="842">
                  <c:v>#N/A</c:v>
                </c:pt>
                <c:pt idx="843">
                  <c:v>195</c:v>
                </c:pt>
                <c:pt idx="844">
                  <c:v>157</c:v>
                </c:pt>
                <c:pt idx="845">
                  <c:v>181</c:v>
                </c:pt>
                <c:pt idx="846">
                  <c:v>#N/A</c:v>
                </c:pt>
                <c:pt idx="847">
                  <c:v>121</c:v>
                </c:pt>
                <c:pt idx="848">
                  <c:v>#N/A</c:v>
                </c:pt>
                <c:pt idx="849">
                  <c:v>#N/A</c:v>
                </c:pt>
                <c:pt idx="850">
                  <c:v>132</c:v>
                </c:pt>
                <c:pt idx="851">
                  <c:v>#N/A</c:v>
                </c:pt>
                <c:pt idx="852">
                  <c:v>#N/A</c:v>
                </c:pt>
                <c:pt idx="853">
                  <c:v>#N/A</c:v>
                </c:pt>
                <c:pt idx="854">
                  <c:v>92</c:v>
                </c:pt>
                <c:pt idx="855">
                  <c:v>#N/A</c:v>
                </c:pt>
                <c:pt idx="856">
                  <c:v>183</c:v>
                </c:pt>
                <c:pt idx="857">
                  <c:v>128</c:v>
                </c:pt>
                <c:pt idx="858">
                  <c:v>#N/A</c:v>
                </c:pt>
                <c:pt idx="859">
                  <c:v>#N/A</c:v>
                </c:pt>
                <c:pt idx="860">
                  <c:v>#N/A</c:v>
                </c:pt>
                <c:pt idx="861">
                  <c:v>#N/A</c:v>
                </c:pt>
                <c:pt idx="862">
                  <c:v>163</c:v>
                </c:pt>
                <c:pt idx="863">
                  <c:v>120</c:v>
                </c:pt>
                <c:pt idx="864">
                  <c:v>#N/A</c:v>
                </c:pt>
                <c:pt idx="865">
                  <c:v>166</c:v>
                </c:pt>
                <c:pt idx="866">
                  <c:v>#N/A</c:v>
                </c:pt>
                <c:pt idx="867">
                  <c:v>111</c:v>
                </c:pt>
                <c:pt idx="868">
                  <c:v>#N/A</c:v>
                </c:pt>
                <c:pt idx="869">
                  <c:v>#N/A</c:v>
                </c:pt>
                <c:pt idx="870">
                  <c:v>141</c:v>
                </c:pt>
                <c:pt idx="871">
                  <c:v>#N/A</c:v>
                </c:pt>
                <c:pt idx="872">
                  <c:v>201</c:v>
                </c:pt>
                <c:pt idx="873">
                  <c:v>138</c:v>
                </c:pt>
                <c:pt idx="874">
                  <c:v>116</c:v>
                </c:pt>
                <c:pt idx="875">
                  <c:v>#N/A</c:v>
                </c:pt>
                <c:pt idx="876">
                  <c:v>191</c:v>
                </c:pt>
                <c:pt idx="877">
                  <c:v>#N/A</c:v>
                </c:pt>
                <c:pt idx="878">
                  <c:v>#N/A</c:v>
                </c:pt>
                <c:pt idx="879">
                  <c:v>#N/A</c:v>
                </c:pt>
                <c:pt idx="880">
                  <c:v>97</c:v>
                </c:pt>
                <c:pt idx="881">
                  <c:v>#N/A</c:v>
                </c:pt>
                <c:pt idx="882">
                  <c:v>129</c:v>
                </c:pt>
                <c:pt idx="883">
                  <c:v>144</c:v>
                </c:pt>
                <c:pt idx="884">
                  <c:v>#N/A</c:v>
                </c:pt>
                <c:pt idx="885">
                  <c:v>#N/A</c:v>
                </c:pt>
                <c:pt idx="886">
                  <c:v>#N/A</c:v>
                </c:pt>
                <c:pt idx="887">
                  <c:v>#N/A</c:v>
                </c:pt>
                <c:pt idx="888">
                  <c:v>#N/A</c:v>
                </c:pt>
                <c:pt idx="889">
                  <c:v>#N/A</c:v>
                </c:pt>
                <c:pt idx="890">
                  <c:v>#N/A</c:v>
                </c:pt>
                <c:pt idx="891">
                  <c:v>138</c:v>
                </c:pt>
                <c:pt idx="892">
                  <c:v>156</c:v>
                </c:pt>
                <c:pt idx="893">
                  <c:v>#N/A</c:v>
                </c:pt>
                <c:pt idx="894">
                  <c:v>#N/A</c:v>
                </c:pt>
                <c:pt idx="895">
                  <c:v>72</c:v>
                </c:pt>
                <c:pt idx="896">
                  <c:v>172</c:v>
                </c:pt>
                <c:pt idx="897">
                  <c:v>#N/A</c:v>
                </c:pt>
                <c:pt idx="898">
                  <c:v>160</c:v>
                </c:pt>
                <c:pt idx="899">
                  <c:v>#N/A</c:v>
                </c:pt>
                <c:pt idx="900">
                  <c:v>#N/A</c:v>
                </c:pt>
                <c:pt idx="901">
                  <c:v>169</c:v>
                </c:pt>
                <c:pt idx="902">
                  <c:v>107</c:v>
                </c:pt>
                <c:pt idx="903">
                  <c:v>159</c:v>
                </c:pt>
                <c:pt idx="904">
                  <c:v>#N/A</c:v>
                </c:pt>
                <c:pt idx="905">
                  <c:v>#N/A</c:v>
                </c:pt>
                <c:pt idx="906">
                  <c:v>#N/A</c:v>
                </c:pt>
                <c:pt idx="907">
                  <c:v>#N/A</c:v>
                </c:pt>
                <c:pt idx="908">
                  <c:v>#N/A</c:v>
                </c:pt>
                <c:pt idx="909">
                  <c:v>150</c:v>
                </c:pt>
                <c:pt idx="910">
                  <c:v>#N/A</c:v>
                </c:pt>
                <c:pt idx="911">
                  <c:v>#N/A</c:v>
                </c:pt>
                <c:pt idx="912">
                  <c:v>57</c:v>
                </c:pt>
                <c:pt idx="913">
                  <c:v>#N/A</c:v>
                </c:pt>
                <c:pt idx="914">
                  <c:v>#N/A</c:v>
                </c:pt>
                <c:pt idx="915">
                  <c:v>164</c:v>
                </c:pt>
                <c:pt idx="916">
                  <c:v>207</c:v>
                </c:pt>
                <c:pt idx="917">
                  <c:v>#N/A</c:v>
                </c:pt>
                <c:pt idx="918">
                  <c:v>#N/A</c:v>
                </c:pt>
                <c:pt idx="919">
                  <c:v>#N/A</c:v>
                </c:pt>
                <c:pt idx="920">
                  <c:v>#N/A</c:v>
                </c:pt>
                <c:pt idx="921">
                  <c:v>149</c:v>
                </c:pt>
                <c:pt idx="922">
                  <c:v>#N/A</c:v>
                </c:pt>
                <c:pt idx="923">
                  <c:v>#N/A</c:v>
                </c:pt>
                <c:pt idx="924">
                  <c:v>#N/A</c:v>
                </c:pt>
                <c:pt idx="925">
                  <c:v>#N/A</c:v>
                </c:pt>
                <c:pt idx="926">
                  <c:v>#N/A</c:v>
                </c:pt>
                <c:pt idx="927">
                  <c:v>154</c:v>
                </c:pt>
                <c:pt idx="928">
                  <c:v>#N/A</c:v>
                </c:pt>
                <c:pt idx="929">
                  <c:v>#N/A</c:v>
                </c:pt>
                <c:pt idx="930">
                  <c:v>#N/A</c:v>
                </c:pt>
                <c:pt idx="931">
                  <c:v>201</c:v>
                </c:pt>
                <c:pt idx="932">
                  <c:v>#N/A</c:v>
                </c:pt>
                <c:pt idx="933">
                  <c:v>147</c:v>
                </c:pt>
                <c:pt idx="934">
                  <c:v>171</c:v>
                </c:pt>
                <c:pt idx="935">
                  <c:v>126</c:v>
                </c:pt>
                <c:pt idx="936">
                  <c:v>#N/A</c:v>
                </c:pt>
                <c:pt idx="937">
                  <c:v>#N/A</c:v>
                </c:pt>
                <c:pt idx="938">
                  <c:v>#N/A</c:v>
                </c:pt>
                <c:pt idx="939">
                  <c:v>#N/A</c:v>
                </c:pt>
                <c:pt idx="940">
                  <c:v>#N/A</c:v>
                </c:pt>
                <c:pt idx="941">
                  <c:v>#N/A</c:v>
                </c:pt>
                <c:pt idx="942">
                  <c:v>#N/A</c:v>
                </c:pt>
                <c:pt idx="943">
                  <c:v>#N/A</c:v>
                </c:pt>
                <c:pt idx="944">
                  <c:v>158</c:v>
                </c:pt>
                <c:pt idx="945">
                  <c:v>181</c:v>
                </c:pt>
                <c:pt idx="946">
                  <c:v>#N/A</c:v>
                </c:pt>
                <c:pt idx="947">
                  <c:v>151</c:v>
                </c:pt>
                <c:pt idx="948">
                  <c:v>134</c:v>
                </c:pt>
                <c:pt idx="949">
                  <c:v>#N/A</c:v>
                </c:pt>
                <c:pt idx="950">
                  <c:v>#N/A</c:v>
                </c:pt>
                <c:pt idx="951">
                  <c:v>#N/A</c:v>
                </c:pt>
                <c:pt idx="952">
                  <c:v>#N/A</c:v>
                </c:pt>
                <c:pt idx="953">
                  <c:v>184</c:v>
                </c:pt>
                <c:pt idx="954">
                  <c:v>#N/A</c:v>
                </c:pt>
                <c:pt idx="955">
                  <c:v>#N/A</c:v>
                </c:pt>
                <c:pt idx="956">
                  <c:v>#N/A</c:v>
                </c:pt>
                <c:pt idx="957">
                  <c:v>133</c:v>
                </c:pt>
                <c:pt idx="958">
                  <c:v>#N/A</c:v>
                </c:pt>
                <c:pt idx="959">
                  <c:v>#N/A</c:v>
                </c:pt>
                <c:pt idx="960">
                  <c:v>#N/A</c:v>
                </c:pt>
                <c:pt idx="961">
                  <c:v>157</c:v>
                </c:pt>
                <c:pt idx="962">
                  <c:v>#N/A</c:v>
                </c:pt>
                <c:pt idx="963">
                  <c:v>#N/A</c:v>
                </c:pt>
                <c:pt idx="964">
                  <c:v>#N/A</c:v>
                </c:pt>
                <c:pt idx="965">
                  <c:v>#N/A</c:v>
                </c:pt>
                <c:pt idx="966">
                  <c:v>#N/A</c:v>
                </c:pt>
                <c:pt idx="967">
                  <c:v>171</c:v>
                </c:pt>
                <c:pt idx="968">
                  <c:v>105</c:v>
                </c:pt>
                <c:pt idx="969">
                  <c:v>115</c:v>
                </c:pt>
                <c:pt idx="970">
                  <c:v>125</c:v>
                </c:pt>
                <c:pt idx="971">
                  <c:v>#N/A</c:v>
                </c:pt>
                <c:pt idx="972">
                  <c:v>150</c:v>
                </c:pt>
                <c:pt idx="973">
                  <c:v>#N/A</c:v>
                </c:pt>
                <c:pt idx="974">
                  <c:v>#N/A</c:v>
                </c:pt>
                <c:pt idx="975">
                  <c:v>165</c:v>
                </c:pt>
                <c:pt idx="976">
                  <c:v>202</c:v>
                </c:pt>
                <c:pt idx="977">
                  <c:v>#N/A</c:v>
                </c:pt>
                <c:pt idx="978">
                  <c:v>#N/A</c:v>
                </c:pt>
                <c:pt idx="979">
                  <c:v>129</c:v>
                </c:pt>
                <c:pt idx="980">
                  <c:v>#N/A</c:v>
                </c:pt>
                <c:pt idx="981">
                  <c:v>166</c:v>
                </c:pt>
                <c:pt idx="982">
                  <c:v>#N/A</c:v>
                </c:pt>
                <c:pt idx="983">
                  <c:v>167</c:v>
                </c:pt>
                <c:pt idx="984">
                  <c:v>#N/A</c:v>
                </c:pt>
                <c:pt idx="985">
                  <c:v>117</c:v>
                </c:pt>
                <c:pt idx="986">
                  <c:v>#N/A</c:v>
                </c:pt>
                <c:pt idx="987">
                  <c:v>156</c:v>
                </c:pt>
                <c:pt idx="988">
                  <c:v>#N/A</c:v>
                </c:pt>
                <c:pt idx="989">
                  <c:v>#N/A</c:v>
                </c:pt>
                <c:pt idx="990">
                  <c:v>136</c:v>
                </c:pt>
                <c:pt idx="991">
                  <c:v>113</c:v>
                </c:pt>
                <c:pt idx="992">
                  <c:v>#N/A</c:v>
                </c:pt>
                <c:pt idx="993">
                  <c:v>#N/A</c:v>
                </c:pt>
                <c:pt idx="994">
                  <c:v>196</c:v>
                </c:pt>
                <c:pt idx="995">
                  <c:v>#N/A</c:v>
                </c:pt>
                <c:pt idx="996">
                  <c:v>140</c:v>
                </c:pt>
                <c:pt idx="997">
                  <c:v>#N/A</c:v>
                </c:pt>
                <c:pt idx="998">
                  <c:v>#N/A</c:v>
                </c:pt>
                <c:pt idx="999">
                  <c:v>#N/A</c:v>
                </c:pt>
                <c:pt idx="1000">
                  <c:v>#N/A</c:v>
                </c:pt>
                <c:pt idx="1001">
                  <c:v>#N/A</c:v>
                </c:pt>
                <c:pt idx="1002">
                  <c:v>#N/A</c:v>
                </c:pt>
                <c:pt idx="1003">
                  <c:v>64</c:v>
                </c:pt>
                <c:pt idx="1004">
                  <c:v>#N/A</c:v>
                </c:pt>
                <c:pt idx="1005">
                  <c:v>#N/A</c:v>
                </c:pt>
                <c:pt idx="1006">
                  <c:v>#N/A</c:v>
                </c:pt>
                <c:pt idx="1007">
                  <c:v>193</c:v>
                </c:pt>
                <c:pt idx="1008">
                  <c:v>#N/A</c:v>
                </c:pt>
                <c:pt idx="1009">
                  <c:v>#N/A</c:v>
                </c:pt>
                <c:pt idx="1010">
                  <c:v>97</c:v>
                </c:pt>
                <c:pt idx="1011">
                  <c:v>#N/A</c:v>
                </c:pt>
                <c:pt idx="1012">
                  <c:v>140</c:v>
                </c:pt>
                <c:pt idx="1013">
                  <c:v>#N/A</c:v>
                </c:pt>
                <c:pt idx="1014">
                  <c:v>196</c:v>
                </c:pt>
                <c:pt idx="1015">
                  <c:v>123</c:v>
                </c:pt>
                <c:pt idx="1016">
                  <c:v>#N/A</c:v>
                </c:pt>
                <c:pt idx="1017">
                  <c:v>#N/A</c:v>
                </c:pt>
                <c:pt idx="1018">
                  <c:v>124</c:v>
                </c:pt>
                <c:pt idx="1019">
                  <c:v>#N/A</c:v>
                </c:pt>
                <c:pt idx="1020">
                  <c:v>#N/A</c:v>
                </c:pt>
                <c:pt idx="1021">
                  <c:v>#N/A</c:v>
                </c:pt>
                <c:pt idx="1022">
                  <c:v>101</c:v>
                </c:pt>
                <c:pt idx="1023">
                  <c:v>#N/A</c:v>
                </c:pt>
                <c:pt idx="1024">
                  <c:v>#N/A</c:v>
                </c:pt>
                <c:pt idx="1025">
                  <c:v>#N/A</c:v>
                </c:pt>
                <c:pt idx="1026">
                  <c:v>148</c:v>
                </c:pt>
                <c:pt idx="1027">
                  <c:v>#N/A</c:v>
                </c:pt>
                <c:pt idx="1028">
                  <c:v>122</c:v>
                </c:pt>
                <c:pt idx="1029">
                  <c:v>177</c:v>
                </c:pt>
                <c:pt idx="1030">
                  <c:v>146</c:v>
                </c:pt>
                <c:pt idx="1031">
                  <c:v>124</c:v>
                </c:pt>
                <c:pt idx="1032">
                  <c:v>100</c:v>
                </c:pt>
                <c:pt idx="1033">
                  <c:v>#N/A</c:v>
                </c:pt>
                <c:pt idx="1034">
                  <c:v>#N/A</c:v>
                </c:pt>
                <c:pt idx="1035">
                  <c:v>131</c:v>
                </c:pt>
                <c:pt idx="1036">
                  <c:v>149</c:v>
                </c:pt>
                <c:pt idx="1037">
                  <c:v>193</c:v>
                </c:pt>
                <c:pt idx="1038">
                  <c:v>172</c:v>
                </c:pt>
                <c:pt idx="1039">
                  <c:v>#N/A</c:v>
                </c:pt>
                <c:pt idx="1040">
                  <c:v>123</c:v>
                </c:pt>
                <c:pt idx="1041">
                  <c:v>#N/A</c:v>
                </c:pt>
                <c:pt idx="1042">
                  <c:v>#N/A</c:v>
                </c:pt>
                <c:pt idx="1043">
                  <c:v>#N/A</c:v>
                </c:pt>
                <c:pt idx="1044">
                  <c:v>158</c:v>
                </c:pt>
                <c:pt idx="1045">
                  <c:v>#N/A</c:v>
                </c:pt>
                <c:pt idx="1046">
                  <c:v>146</c:v>
                </c:pt>
                <c:pt idx="1047">
                  <c:v>#N/A</c:v>
                </c:pt>
                <c:pt idx="1048">
                  <c:v>154</c:v>
                </c:pt>
                <c:pt idx="1049">
                  <c:v>#N/A</c:v>
                </c:pt>
                <c:pt idx="1050">
                  <c:v>148</c:v>
                </c:pt>
                <c:pt idx="1051">
                  <c:v>#N/A</c:v>
                </c:pt>
                <c:pt idx="1052">
                  <c:v>89</c:v>
                </c:pt>
                <c:pt idx="1053">
                  <c:v>150</c:v>
                </c:pt>
                <c:pt idx="1054">
                  <c:v>#N/A</c:v>
                </c:pt>
                <c:pt idx="1055">
                  <c:v>#N/A</c:v>
                </c:pt>
                <c:pt idx="1056">
                  <c:v>158</c:v>
                </c:pt>
                <c:pt idx="1057">
                  <c:v>109</c:v>
                </c:pt>
                <c:pt idx="1058">
                  <c:v>173</c:v>
                </c:pt>
                <c:pt idx="1059">
                  <c:v>187</c:v>
                </c:pt>
                <c:pt idx="1060">
                  <c:v>#N/A</c:v>
                </c:pt>
                <c:pt idx="1061">
                  <c:v>#N/A</c:v>
                </c:pt>
                <c:pt idx="1062">
                  <c:v>169</c:v>
                </c:pt>
                <c:pt idx="1063">
                  <c:v>184</c:v>
                </c:pt>
                <c:pt idx="1064">
                  <c:v>#N/A</c:v>
                </c:pt>
                <c:pt idx="1065">
                  <c:v>112</c:v>
                </c:pt>
                <c:pt idx="1066">
                  <c:v>#N/A</c:v>
                </c:pt>
                <c:pt idx="1067">
                  <c:v>136</c:v>
                </c:pt>
                <c:pt idx="1068">
                  <c:v>#N/A</c:v>
                </c:pt>
                <c:pt idx="1069">
                  <c:v>184</c:v>
                </c:pt>
                <c:pt idx="1070">
                  <c:v>#N/A</c:v>
                </c:pt>
                <c:pt idx="1071">
                  <c:v>94</c:v>
                </c:pt>
                <c:pt idx="1072">
                  <c:v>#N/A</c:v>
                </c:pt>
                <c:pt idx="1073">
                  <c:v>108</c:v>
                </c:pt>
                <c:pt idx="1074">
                  <c:v>#N/A</c:v>
                </c:pt>
                <c:pt idx="1075">
                  <c:v>121</c:v>
                </c:pt>
                <c:pt idx="1076">
                  <c:v>158</c:v>
                </c:pt>
                <c:pt idx="1077">
                  <c:v>#N/A</c:v>
                </c:pt>
                <c:pt idx="1078">
                  <c:v>#N/A</c:v>
                </c:pt>
                <c:pt idx="1079">
                  <c:v>#N/A</c:v>
                </c:pt>
                <c:pt idx="1080">
                  <c:v>#N/A</c:v>
                </c:pt>
                <c:pt idx="1081">
                  <c:v>#N/A</c:v>
                </c:pt>
                <c:pt idx="1082">
                  <c:v>193</c:v>
                </c:pt>
                <c:pt idx="1083">
                  <c:v>#N/A</c:v>
                </c:pt>
                <c:pt idx="1084">
                  <c:v>#N/A</c:v>
                </c:pt>
                <c:pt idx="1085">
                  <c:v>#N/A</c:v>
                </c:pt>
                <c:pt idx="1086">
                  <c:v>#N/A</c:v>
                </c:pt>
                <c:pt idx="1087">
                  <c:v>109</c:v>
                </c:pt>
                <c:pt idx="1088">
                  <c:v>#N/A</c:v>
                </c:pt>
                <c:pt idx="1089">
                  <c:v>164</c:v>
                </c:pt>
                <c:pt idx="1090">
                  <c:v>#N/A</c:v>
                </c:pt>
                <c:pt idx="1091">
                  <c:v>#N/A</c:v>
                </c:pt>
                <c:pt idx="1092">
                  <c:v>#N/A</c:v>
                </c:pt>
                <c:pt idx="1093">
                  <c:v>#N/A</c:v>
                </c:pt>
                <c:pt idx="1094">
                  <c:v>#N/A</c:v>
                </c:pt>
                <c:pt idx="1095">
                  <c:v>#N/A</c:v>
                </c:pt>
                <c:pt idx="1096">
                  <c:v>#N/A</c:v>
                </c:pt>
                <c:pt idx="1097">
                  <c:v>#N/A</c:v>
                </c:pt>
                <c:pt idx="1098">
                  <c:v>#N/A</c:v>
                </c:pt>
                <c:pt idx="1099">
                  <c:v>131</c:v>
                </c:pt>
                <c:pt idx="1100">
                  <c:v>#N/A</c:v>
                </c:pt>
                <c:pt idx="1101">
                  <c:v>153</c:v>
                </c:pt>
                <c:pt idx="1102">
                  <c:v>#N/A</c:v>
                </c:pt>
                <c:pt idx="1103">
                  <c:v>#N/A</c:v>
                </c:pt>
                <c:pt idx="1104">
                  <c:v>#N/A</c:v>
                </c:pt>
                <c:pt idx="1105">
                  <c:v>164</c:v>
                </c:pt>
                <c:pt idx="1106">
                  <c:v>134</c:v>
                </c:pt>
                <c:pt idx="1107">
                  <c:v>156</c:v>
                </c:pt>
                <c:pt idx="1108">
                  <c:v>144</c:v>
                </c:pt>
                <c:pt idx="1109">
                  <c:v>#N/A</c:v>
                </c:pt>
                <c:pt idx="1110">
                  <c:v>#N/A</c:v>
                </c:pt>
                <c:pt idx="1111">
                  <c:v>#N/A</c:v>
                </c:pt>
                <c:pt idx="1112">
                  <c:v>#N/A</c:v>
                </c:pt>
                <c:pt idx="1113">
                  <c:v>#N/A</c:v>
                </c:pt>
                <c:pt idx="1114">
                  <c:v>152</c:v>
                </c:pt>
                <c:pt idx="1115">
                  <c:v>#N/A</c:v>
                </c:pt>
                <c:pt idx="1116">
                  <c:v>#N/A</c:v>
                </c:pt>
                <c:pt idx="1117">
                  <c:v>#N/A</c:v>
                </c:pt>
                <c:pt idx="1118">
                  <c:v>140</c:v>
                </c:pt>
                <c:pt idx="1119">
                  <c:v>163</c:v>
                </c:pt>
                <c:pt idx="1120">
                  <c:v>#N/A</c:v>
                </c:pt>
                <c:pt idx="1121">
                  <c:v>#N/A</c:v>
                </c:pt>
                <c:pt idx="1122">
                  <c:v>133</c:v>
                </c:pt>
                <c:pt idx="1123">
                  <c:v>122</c:v>
                </c:pt>
                <c:pt idx="1124">
                  <c:v>#N/A</c:v>
                </c:pt>
                <c:pt idx="1125">
                  <c:v>126</c:v>
                </c:pt>
                <c:pt idx="1126">
                  <c:v>171</c:v>
                </c:pt>
                <c:pt idx="1127">
                  <c:v>174</c:v>
                </c:pt>
                <c:pt idx="1128">
                  <c:v>#N/A</c:v>
                </c:pt>
                <c:pt idx="1129">
                  <c:v>#N/A</c:v>
                </c:pt>
                <c:pt idx="1130">
                  <c:v>#N/A</c:v>
                </c:pt>
                <c:pt idx="1131">
                  <c:v>169</c:v>
                </c:pt>
                <c:pt idx="1132">
                  <c:v>#N/A</c:v>
                </c:pt>
                <c:pt idx="1133">
                  <c:v>156</c:v>
                </c:pt>
                <c:pt idx="1134">
                  <c:v>#N/A</c:v>
                </c:pt>
                <c:pt idx="1135">
                  <c:v>#N/A</c:v>
                </c:pt>
                <c:pt idx="1136">
                  <c:v>#N/A</c:v>
                </c:pt>
                <c:pt idx="1137">
                  <c:v>#N/A</c:v>
                </c:pt>
                <c:pt idx="1138">
                  <c:v>#N/A</c:v>
                </c:pt>
                <c:pt idx="1139">
                  <c:v>88</c:v>
                </c:pt>
                <c:pt idx="1140">
                  <c:v>151</c:v>
                </c:pt>
                <c:pt idx="1141">
                  <c:v>165</c:v>
                </c:pt>
                <c:pt idx="1142">
                  <c:v>#N/A</c:v>
                </c:pt>
                <c:pt idx="1143">
                  <c:v>#N/A</c:v>
                </c:pt>
                <c:pt idx="1144">
                  <c:v>#N/A</c:v>
                </c:pt>
                <c:pt idx="1145">
                  <c:v>#N/A</c:v>
                </c:pt>
                <c:pt idx="1146">
                  <c:v>139</c:v>
                </c:pt>
                <c:pt idx="1147">
                  <c:v>164</c:v>
                </c:pt>
                <c:pt idx="1148">
                  <c:v>#N/A</c:v>
                </c:pt>
                <c:pt idx="1149">
                  <c:v>#N/A</c:v>
                </c:pt>
                <c:pt idx="1150">
                  <c:v>#N/A</c:v>
                </c:pt>
                <c:pt idx="1151">
                  <c:v>#N/A</c:v>
                </c:pt>
                <c:pt idx="1152">
                  <c:v>#N/A</c:v>
                </c:pt>
                <c:pt idx="1153">
                  <c:v>#N/A</c:v>
                </c:pt>
                <c:pt idx="1154">
                  <c:v>#N/A</c:v>
                </c:pt>
                <c:pt idx="1155">
                  <c:v>#N/A</c:v>
                </c:pt>
                <c:pt idx="1156">
                  <c:v>#N/A</c:v>
                </c:pt>
                <c:pt idx="1157">
                  <c:v>#N/A</c:v>
                </c:pt>
                <c:pt idx="1158">
                  <c:v>#N/A</c:v>
                </c:pt>
                <c:pt idx="1159">
                  <c:v>124</c:v>
                </c:pt>
                <c:pt idx="1160">
                  <c:v>133</c:v>
                </c:pt>
                <c:pt idx="1161">
                  <c:v>#N/A</c:v>
                </c:pt>
                <c:pt idx="1162">
                  <c:v>#N/A</c:v>
                </c:pt>
                <c:pt idx="1163">
                  <c:v>135</c:v>
                </c:pt>
                <c:pt idx="1164">
                  <c:v>#N/A</c:v>
                </c:pt>
                <c:pt idx="1165">
                  <c:v>#N/A</c:v>
                </c:pt>
                <c:pt idx="1166">
                  <c:v>119</c:v>
                </c:pt>
                <c:pt idx="1167">
                  <c:v>#N/A</c:v>
                </c:pt>
                <c:pt idx="1168">
                  <c:v>120</c:v>
                </c:pt>
                <c:pt idx="1169">
                  <c:v>153</c:v>
                </c:pt>
                <c:pt idx="1170">
                  <c:v>151</c:v>
                </c:pt>
                <c:pt idx="1171">
                  <c:v>#N/A</c:v>
                </c:pt>
                <c:pt idx="1172">
                  <c:v>142</c:v>
                </c:pt>
                <c:pt idx="1173">
                  <c:v>#N/A</c:v>
                </c:pt>
                <c:pt idx="1174">
                  <c:v>141</c:v>
                </c:pt>
                <c:pt idx="1175">
                  <c:v>174</c:v>
                </c:pt>
                <c:pt idx="1176">
                  <c:v>#N/A</c:v>
                </c:pt>
                <c:pt idx="1177">
                  <c:v>#N/A</c:v>
                </c:pt>
                <c:pt idx="1178">
                  <c:v>#N/A</c:v>
                </c:pt>
                <c:pt idx="1179">
                  <c:v>#N/A</c:v>
                </c:pt>
                <c:pt idx="1180">
                  <c:v>181</c:v>
                </c:pt>
                <c:pt idx="1181">
                  <c:v>145</c:v>
                </c:pt>
                <c:pt idx="1182">
                  <c:v>163</c:v>
                </c:pt>
                <c:pt idx="1183">
                  <c:v>128</c:v>
                </c:pt>
                <c:pt idx="1184">
                  <c:v>#N/A</c:v>
                </c:pt>
                <c:pt idx="1185">
                  <c:v>#N/A</c:v>
                </c:pt>
                <c:pt idx="1186">
                  <c:v>#N/A</c:v>
                </c:pt>
                <c:pt idx="1187">
                  <c:v>#N/A</c:v>
                </c:pt>
                <c:pt idx="1188">
                  <c:v>#N/A</c:v>
                </c:pt>
                <c:pt idx="1189">
                  <c:v>#N/A</c:v>
                </c:pt>
                <c:pt idx="1190">
                  <c:v>113</c:v>
                </c:pt>
                <c:pt idx="1191">
                  <c:v>#N/A</c:v>
                </c:pt>
                <c:pt idx="1192">
                  <c:v>#N/A</c:v>
                </c:pt>
                <c:pt idx="1193">
                  <c:v>#N/A</c:v>
                </c:pt>
                <c:pt idx="1194">
                  <c:v>#N/A</c:v>
                </c:pt>
                <c:pt idx="1195">
                  <c:v>135</c:v>
                </c:pt>
                <c:pt idx="1196">
                  <c:v>#N/A</c:v>
                </c:pt>
                <c:pt idx="1197">
                  <c:v>#N/A</c:v>
                </c:pt>
                <c:pt idx="1198">
                  <c:v>115</c:v>
                </c:pt>
                <c:pt idx="1199">
                  <c:v>#N/A</c:v>
                </c:pt>
                <c:pt idx="1200">
                  <c:v>#N/A</c:v>
                </c:pt>
              </c:strCache>
            </c:strRef>
          </c:xVal>
          <c:yVal>
            <c:numRef>
              <c:f>riyadh_realestate_dataset!$R:$R</c:f>
              <c:numCache>
                <c:formatCode>General</c:formatCode>
                <c:ptCount val="1048576"/>
                <c:pt idx="0">
                  <c:v>0</c:v>
                </c:pt>
                <c:pt idx="1">
                  <c:v>647000</c:v>
                </c:pt>
                <c:pt idx="2">
                  <c:v>439000</c:v>
                </c:pt>
                <c:pt idx="3">
                  <c:v>#N/A</c:v>
                </c:pt>
                <c:pt idx="4">
                  <c:v>330000</c:v>
                </c:pt>
                <c:pt idx="5">
                  <c:v>#N/A</c:v>
                </c:pt>
                <c:pt idx="6">
                  <c:v>551000</c:v>
                </c:pt>
                <c:pt idx="7">
                  <c:v>358000</c:v>
                </c:pt>
                <c:pt idx="8">
                  <c:v>478000</c:v>
                </c:pt>
                <c:pt idx="9">
                  <c:v>#N/A</c:v>
                </c:pt>
                <c:pt idx="10">
                  <c:v>#N/A</c:v>
                </c:pt>
                <c:pt idx="11">
                  <c:v>#N/A</c:v>
                </c:pt>
                <c:pt idx="12">
                  <c:v>#N/A</c:v>
                </c:pt>
                <c:pt idx="13">
                  <c:v>#N/A</c:v>
                </c:pt>
                <c:pt idx="14">
                  <c:v>586000</c:v>
                </c:pt>
                <c:pt idx="15">
                  <c:v>#N/A</c:v>
                </c:pt>
                <c:pt idx="16">
                  <c:v>#N/A</c:v>
                </c:pt>
                <c:pt idx="17">
                  <c:v>601000</c:v>
                </c:pt>
                <c:pt idx="18">
                  <c:v>668000</c:v>
                </c:pt>
                <c:pt idx="19">
                  <c:v>506000</c:v>
                </c:pt>
                <c:pt idx="20">
                  <c:v>296000</c:v>
                </c:pt>
                <c:pt idx="21">
                  <c:v>651000</c:v>
                </c:pt>
                <c:pt idx="22">
                  <c:v>477000</c:v>
                </c:pt>
                <c:pt idx="23">
                  <c:v>419000</c:v>
                </c:pt>
                <c:pt idx="24">
                  <c:v>356000</c:v>
                </c:pt>
                <c:pt idx="25">
                  <c:v>#N/A</c:v>
                </c:pt>
                <c:pt idx="26">
                  <c:v>#N/A</c:v>
                </c:pt>
                <c:pt idx="27">
                  <c:v>343000</c:v>
                </c:pt>
                <c:pt idx="28">
                  <c:v>386000</c:v>
                </c:pt>
                <c:pt idx="29">
                  <c:v>#N/A</c:v>
                </c:pt>
                <c:pt idx="30">
                  <c:v>513000</c:v>
                </c:pt>
                <c:pt idx="31">
                  <c:v>#N/A</c:v>
                </c:pt>
                <c:pt idx="32">
                  <c:v>#N/A</c:v>
                </c:pt>
                <c:pt idx="33">
                  <c:v>360000</c:v>
                </c:pt>
                <c:pt idx="34">
                  <c:v>546000</c:v>
                </c:pt>
                <c:pt idx="35">
                  <c:v>452000</c:v>
                </c:pt>
                <c:pt idx="36">
                  <c:v>#N/A</c:v>
                </c:pt>
                <c:pt idx="37">
                  <c:v>386000</c:v>
                </c:pt>
                <c:pt idx="38">
                  <c:v>#N/A</c:v>
                </c:pt>
                <c:pt idx="39">
                  <c:v>#N/A</c:v>
                </c:pt>
                <c:pt idx="40">
                  <c:v>#N/A</c:v>
                </c:pt>
                <c:pt idx="41">
                  <c:v>#N/A</c:v>
                </c:pt>
                <c:pt idx="42">
                  <c:v>#N/A</c:v>
                </c:pt>
                <c:pt idx="43">
                  <c:v>#N/A</c:v>
                </c:pt>
                <c:pt idx="44">
                  <c:v>#N/A</c:v>
                </c:pt>
                <c:pt idx="45">
                  <c:v>633000</c:v>
                </c:pt>
                <c:pt idx="46">
                  <c:v>759000</c:v>
                </c:pt>
                <c:pt idx="47">
                  <c:v>#N/A</c:v>
                </c:pt>
                <c:pt idx="48">
                  <c:v>#N/A</c:v>
                </c:pt>
                <c:pt idx="49">
                  <c:v>452000</c:v>
                </c:pt>
                <c:pt idx="50">
                  <c:v>#N/A</c:v>
                </c:pt>
                <c:pt idx="51">
                  <c:v>567000</c:v>
                </c:pt>
                <c:pt idx="52">
                  <c:v>#N/A</c:v>
                </c:pt>
                <c:pt idx="53">
                  <c:v>592000</c:v>
                </c:pt>
                <c:pt idx="54">
                  <c:v>460000</c:v>
                </c:pt>
                <c:pt idx="55">
                  <c:v>#N/A</c:v>
                </c:pt>
                <c:pt idx="56">
                  <c:v>611000</c:v>
                </c:pt>
                <c:pt idx="57">
                  <c:v>350000</c:v>
                </c:pt>
                <c:pt idx="58">
                  <c:v>#N/A</c:v>
                </c:pt>
                <c:pt idx="59">
                  <c:v>#N/A</c:v>
                </c:pt>
                <c:pt idx="60">
                  <c:v>417000</c:v>
                </c:pt>
                <c:pt idx="61">
                  <c:v>#N/A</c:v>
                </c:pt>
                <c:pt idx="62">
                  <c:v>#N/A</c:v>
                </c:pt>
                <c:pt idx="63">
                  <c:v>#N/A</c:v>
                </c:pt>
                <c:pt idx="64">
                  <c:v>#N/A</c:v>
                </c:pt>
                <c:pt idx="65">
                  <c:v>#N/A</c:v>
                </c:pt>
                <c:pt idx="66">
                  <c:v>582000</c:v>
                </c:pt>
                <c:pt idx="67">
                  <c:v>#N/A</c:v>
                </c:pt>
                <c:pt idx="68">
                  <c:v>443000</c:v>
                </c:pt>
                <c:pt idx="69">
                  <c:v>#N/A</c:v>
                </c:pt>
                <c:pt idx="70">
                  <c:v>#N/A</c:v>
                </c:pt>
                <c:pt idx="71">
                  <c:v>#N/A</c:v>
                </c:pt>
                <c:pt idx="72">
                  <c:v>#N/A</c:v>
                </c:pt>
                <c:pt idx="73">
                  <c:v>#N/A</c:v>
                </c:pt>
                <c:pt idx="74">
                  <c:v>534000</c:v>
                </c:pt>
                <c:pt idx="75">
                  <c:v>609000</c:v>
                </c:pt>
                <c:pt idx="76">
                  <c:v>#N/A</c:v>
                </c:pt>
                <c:pt idx="77">
                  <c:v>#N/A</c:v>
                </c:pt>
                <c:pt idx="78">
                  <c:v>#N/A</c:v>
                </c:pt>
                <c:pt idx="79">
                  <c:v>#N/A</c:v>
                </c:pt>
                <c:pt idx="80">
                  <c:v>#N/A</c:v>
                </c:pt>
                <c:pt idx="81">
                  <c:v>360000</c:v>
                </c:pt>
                <c:pt idx="82">
                  <c:v>#N/A</c:v>
                </c:pt>
                <c:pt idx="83">
                  <c:v>#N/A</c:v>
                </c:pt>
                <c:pt idx="84">
                  <c:v>#N/A</c:v>
                </c:pt>
                <c:pt idx="85">
                  <c:v>#N/A</c:v>
                </c:pt>
                <c:pt idx="86">
                  <c:v>#N/A</c:v>
                </c:pt>
                <c:pt idx="87">
                  <c:v>309000</c:v>
                </c:pt>
                <c:pt idx="88">
                  <c:v>#N/A</c:v>
                </c:pt>
                <c:pt idx="89">
                  <c:v>#N/A</c:v>
                </c:pt>
                <c:pt idx="90">
                  <c:v>559000</c:v>
                </c:pt>
                <c:pt idx="91">
                  <c:v>#N/A</c:v>
                </c:pt>
                <c:pt idx="92">
                  <c:v>#N/A</c:v>
                </c:pt>
                <c:pt idx="93">
                  <c:v>#N/A</c:v>
                </c:pt>
                <c:pt idx="94">
                  <c:v>#N/A</c:v>
                </c:pt>
                <c:pt idx="95">
                  <c:v>510000</c:v>
                </c:pt>
                <c:pt idx="96">
                  <c:v>#N/A</c:v>
                </c:pt>
                <c:pt idx="97">
                  <c:v>#N/A</c:v>
                </c:pt>
                <c:pt idx="98">
                  <c:v>#N/A</c:v>
                </c:pt>
                <c:pt idx="99">
                  <c:v>282000</c:v>
                </c:pt>
                <c:pt idx="100">
                  <c:v>#N/A</c:v>
                </c:pt>
                <c:pt idx="101">
                  <c:v>#N/A</c:v>
                </c:pt>
                <c:pt idx="102">
                  <c:v>588000</c:v>
                </c:pt>
                <c:pt idx="103">
                  <c:v>490000</c:v>
                </c:pt>
                <c:pt idx="104">
                  <c:v>#N/A</c:v>
                </c:pt>
                <c:pt idx="105">
                  <c:v>592000</c:v>
                </c:pt>
                <c:pt idx="106">
                  <c:v>#N/A</c:v>
                </c:pt>
                <c:pt idx="107">
                  <c:v>#N/A</c:v>
                </c:pt>
                <c:pt idx="108">
                  <c:v>544000</c:v>
                </c:pt>
                <c:pt idx="109">
                  <c:v>431000</c:v>
                </c:pt>
                <c:pt idx="110">
                  <c:v>415000</c:v>
                </c:pt>
                <c:pt idx="111">
                  <c:v>343000</c:v>
                </c:pt>
                <c:pt idx="112">
                  <c:v>784000</c:v>
                </c:pt>
                <c:pt idx="113">
                  <c:v>418000</c:v>
                </c:pt>
                <c:pt idx="114">
                  <c:v>#N/A</c:v>
                </c:pt>
                <c:pt idx="115">
                  <c:v>#N/A</c:v>
                </c:pt>
                <c:pt idx="116">
                  <c:v>#N/A</c:v>
                </c:pt>
                <c:pt idx="117">
                  <c:v>#N/A</c:v>
                </c:pt>
                <c:pt idx="118">
                  <c:v>370000</c:v>
                </c:pt>
                <c:pt idx="119">
                  <c:v>#N/A</c:v>
                </c:pt>
                <c:pt idx="120">
                  <c:v>258000</c:v>
                </c:pt>
                <c:pt idx="121">
                  <c:v>#N/A</c:v>
                </c:pt>
                <c:pt idx="122">
                  <c:v>504000</c:v>
                </c:pt>
                <c:pt idx="123">
                  <c:v>581000</c:v>
                </c:pt>
                <c:pt idx="124">
                  <c:v>335000</c:v>
                </c:pt>
                <c:pt idx="125">
                  <c:v>#N/A</c:v>
                </c:pt>
                <c:pt idx="126">
                  <c:v>787000</c:v>
                </c:pt>
                <c:pt idx="127">
                  <c:v>556000</c:v>
                </c:pt>
                <c:pt idx="128">
                  <c:v>#N/A</c:v>
                </c:pt>
                <c:pt idx="129">
                  <c:v>523000</c:v>
                </c:pt>
                <c:pt idx="130">
                  <c:v>#N/A</c:v>
                </c:pt>
                <c:pt idx="131">
                  <c:v>#N/A</c:v>
                </c:pt>
                <c:pt idx="132">
                  <c:v>578000</c:v>
                </c:pt>
                <c:pt idx="133">
                  <c:v>#N/A</c:v>
                </c:pt>
                <c:pt idx="134">
                  <c:v>#N/A</c:v>
                </c:pt>
                <c:pt idx="135">
                  <c:v>#N/A</c:v>
                </c:pt>
                <c:pt idx="136">
                  <c:v>248000</c:v>
                </c:pt>
                <c:pt idx="137">
                  <c:v>#N/A</c:v>
                </c:pt>
                <c:pt idx="138">
                  <c:v>#N/A</c:v>
                </c:pt>
                <c:pt idx="139">
                  <c:v>531000</c:v>
                </c:pt>
                <c:pt idx="140">
                  <c:v>#N/A</c:v>
                </c:pt>
                <c:pt idx="141">
                  <c:v>#N/A</c:v>
                </c:pt>
                <c:pt idx="142">
                  <c:v>#N/A</c:v>
                </c:pt>
                <c:pt idx="143">
                  <c:v>#N/A</c:v>
                </c:pt>
                <c:pt idx="144">
                  <c:v>400000</c:v>
                </c:pt>
                <c:pt idx="145">
                  <c:v>349000</c:v>
                </c:pt>
                <c:pt idx="146">
                  <c:v>#N/A</c:v>
                </c:pt>
                <c:pt idx="147">
                  <c:v>395000</c:v>
                </c:pt>
                <c:pt idx="148">
                  <c:v>507000</c:v>
                </c:pt>
                <c:pt idx="149">
                  <c:v>#N/A</c:v>
                </c:pt>
                <c:pt idx="150">
                  <c:v>#N/A</c:v>
                </c:pt>
                <c:pt idx="151">
                  <c:v>#N/A</c:v>
                </c:pt>
                <c:pt idx="152">
                  <c:v>442000</c:v>
                </c:pt>
                <c:pt idx="153">
                  <c:v>#N/A</c:v>
                </c:pt>
                <c:pt idx="154">
                  <c:v>#N/A</c:v>
                </c:pt>
                <c:pt idx="155">
                  <c:v>#N/A</c:v>
                </c:pt>
                <c:pt idx="156">
                  <c:v>#N/A</c:v>
                </c:pt>
                <c:pt idx="157">
                  <c:v>#N/A</c:v>
                </c:pt>
                <c:pt idx="158">
                  <c:v>419000</c:v>
                </c:pt>
                <c:pt idx="159">
                  <c:v>#N/A</c:v>
                </c:pt>
                <c:pt idx="160">
                  <c:v>466000</c:v>
                </c:pt>
                <c:pt idx="161">
                  <c:v>#N/A</c:v>
                </c:pt>
                <c:pt idx="162">
                  <c:v>#N/A</c:v>
                </c:pt>
                <c:pt idx="163">
                  <c:v>#N/A</c:v>
                </c:pt>
                <c:pt idx="164">
                  <c:v>#N/A</c:v>
                </c:pt>
                <c:pt idx="165">
                  <c:v>473000</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422000</c:v>
                </c:pt>
                <c:pt idx="183">
                  <c:v>#N/A</c:v>
                </c:pt>
                <c:pt idx="184">
                  <c:v>#N/A</c:v>
                </c:pt>
                <c:pt idx="185">
                  <c:v>#N/A</c:v>
                </c:pt>
                <c:pt idx="186">
                  <c:v>#N/A</c:v>
                </c:pt>
                <c:pt idx="187">
                  <c:v>751000</c:v>
                </c:pt>
                <c:pt idx="188">
                  <c:v>#N/A</c:v>
                </c:pt>
                <c:pt idx="189">
                  <c:v>824000</c:v>
                </c:pt>
                <c:pt idx="190">
                  <c:v>461000</c:v>
                </c:pt>
                <c:pt idx="191">
                  <c:v>#N/A</c:v>
                </c:pt>
                <c:pt idx="192">
                  <c:v>#N/A</c:v>
                </c:pt>
                <c:pt idx="193">
                  <c:v>535000</c:v>
                </c:pt>
                <c:pt idx="194">
                  <c:v>479000</c:v>
                </c:pt>
                <c:pt idx="195">
                  <c:v>#N/A</c:v>
                </c:pt>
                <c:pt idx="196">
                  <c:v>397000</c:v>
                </c:pt>
                <c:pt idx="197">
                  <c:v>#N/A</c:v>
                </c:pt>
                <c:pt idx="198">
                  <c:v>#N/A</c:v>
                </c:pt>
                <c:pt idx="199">
                  <c:v>425000</c:v>
                </c:pt>
                <c:pt idx="200">
                  <c:v>#N/A</c:v>
                </c:pt>
                <c:pt idx="201">
                  <c:v>#N/A</c:v>
                </c:pt>
                <c:pt idx="202">
                  <c:v>#N/A</c:v>
                </c:pt>
                <c:pt idx="203">
                  <c:v>#N/A</c:v>
                </c:pt>
                <c:pt idx="204">
                  <c:v>#N/A</c:v>
                </c:pt>
                <c:pt idx="205">
                  <c:v>469000</c:v>
                </c:pt>
                <c:pt idx="206">
                  <c:v>#N/A</c:v>
                </c:pt>
                <c:pt idx="207">
                  <c:v>#N/A</c:v>
                </c:pt>
                <c:pt idx="208">
                  <c:v>#N/A</c:v>
                </c:pt>
                <c:pt idx="209">
                  <c:v>#N/A</c:v>
                </c:pt>
                <c:pt idx="210">
                  <c:v>437000</c:v>
                </c:pt>
                <c:pt idx="211">
                  <c:v>#N/A</c:v>
                </c:pt>
                <c:pt idx="212">
                  <c:v>#N/A</c:v>
                </c:pt>
                <c:pt idx="213">
                  <c:v>#N/A</c:v>
                </c:pt>
                <c:pt idx="214">
                  <c:v>#N/A</c:v>
                </c:pt>
                <c:pt idx="215">
                  <c:v>369000</c:v>
                </c:pt>
                <c:pt idx="216">
                  <c:v>#N/A</c:v>
                </c:pt>
                <c:pt idx="217">
                  <c:v>473000</c:v>
                </c:pt>
                <c:pt idx="218">
                  <c:v>595000</c:v>
                </c:pt>
                <c:pt idx="219">
                  <c:v>#N/A</c:v>
                </c:pt>
                <c:pt idx="220">
                  <c:v>#N/A</c:v>
                </c:pt>
                <c:pt idx="221">
                  <c:v>#N/A</c:v>
                </c:pt>
                <c:pt idx="222">
                  <c:v>320000</c:v>
                </c:pt>
                <c:pt idx="223">
                  <c:v>896000</c:v>
                </c:pt>
                <c:pt idx="224">
                  <c:v>#N/A</c:v>
                </c:pt>
                <c:pt idx="225">
                  <c:v>#N/A</c:v>
                </c:pt>
                <c:pt idx="226">
                  <c:v>#N/A</c:v>
                </c:pt>
                <c:pt idx="227">
                  <c:v>#N/A</c:v>
                </c:pt>
                <c:pt idx="228">
                  <c:v>795000</c:v>
                </c:pt>
                <c:pt idx="229">
                  <c:v>#N/A</c:v>
                </c:pt>
                <c:pt idx="230">
                  <c:v>665000</c:v>
                </c:pt>
                <c:pt idx="231">
                  <c:v>#N/A</c:v>
                </c:pt>
                <c:pt idx="232">
                  <c:v>#N/A</c:v>
                </c:pt>
                <c:pt idx="233">
                  <c:v>#N/A</c:v>
                </c:pt>
                <c:pt idx="234">
                  <c:v>#N/A</c:v>
                </c:pt>
                <c:pt idx="235">
                  <c:v>#N/A</c:v>
                </c:pt>
                <c:pt idx="236">
                  <c:v>916000</c:v>
                </c:pt>
                <c:pt idx="237">
                  <c:v>#N/A</c:v>
                </c:pt>
                <c:pt idx="238">
                  <c:v>#N/A</c:v>
                </c:pt>
                <c:pt idx="239">
                  <c:v>447000</c:v>
                </c:pt>
                <c:pt idx="240">
                  <c:v>#N/A</c:v>
                </c:pt>
                <c:pt idx="241">
                  <c:v>#N/A</c:v>
                </c:pt>
                <c:pt idx="242">
                  <c:v>#N/A</c:v>
                </c:pt>
                <c:pt idx="243">
                  <c:v>#N/A</c:v>
                </c:pt>
                <c:pt idx="244">
                  <c:v>#N/A</c:v>
                </c:pt>
                <c:pt idx="245">
                  <c:v>284000</c:v>
                </c:pt>
                <c:pt idx="246">
                  <c:v>#N/A</c:v>
                </c:pt>
                <c:pt idx="247">
                  <c:v>832000</c:v>
                </c:pt>
                <c:pt idx="248">
                  <c:v>583000</c:v>
                </c:pt>
                <c:pt idx="249">
                  <c:v>#N/A</c:v>
                </c:pt>
                <c:pt idx="250">
                  <c:v>760000</c:v>
                </c:pt>
                <c:pt idx="251">
                  <c:v>#N/A</c:v>
                </c:pt>
                <c:pt idx="252">
                  <c:v>591000</c:v>
                </c:pt>
                <c:pt idx="253">
                  <c:v>#N/A</c:v>
                </c:pt>
                <c:pt idx="254">
                  <c:v>#N/A</c:v>
                </c:pt>
                <c:pt idx="255">
                  <c:v>#N/A</c:v>
                </c:pt>
                <c:pt idx="256">
                  <c:v>#N/A</c:v>
                </c:pt>
                <c:pt idx="257">
                  <c:v>#N/A</c:v>
                </c:pt>
                <c:pt idx="258">
                  <c:v>#N/A</c:v>
                </c:pt>
                <c:pt idx="259">
                  <c:v>#N/A</c:v>
                </c:pt>
                <c:pt idx="260">
                  <c:v>616000</c:v>
                </c:pt>
                <c:pt idx="261">
                  <c:v>221000</c:v>
                </c:pt>
                <c:pt idx="262">
                  <c:v>481000</c:v>
                </c:pt>
                <c:pt idx="263">
                  <c:v>343000</c:v>
                </c:pt>
                <c:pt idx="264">
                  <c:v>389000</c:v>
                </c:pt>
                <c:pt idx="265">
                  <c:v>#N/A</c:v>
                </c:pt>
                <c:pt idx="266">
                  <c:v>#N/A</c:v>
                </c:pt>
                <c:pt idx="267">
                  <c:v>#N/A</c:v>
                </c:pt>
                <c:pt idx="268">
                  <c:v>#N/A</c:v>
                </c:pt>
                <c:pt idx="269">
                  <c:v>#N/A</c:v>
                </c:pt>
                <c:pt idx="270">
                  <c:v>401000</c:v>
                </c:pt>
                <c:pt idx="271">
                  <c:v>#N/A</c:v>
                </c:pt>
                <c:pt idx="272">
                  <c:v>#N/A</c:v>
                </c:pt>
                <c:pt idx="273">
                  <c:v>401000</c:v>
                </c:pt>
                <c:pt idx="274">
                  <c:v>434000</c:v>
                </c:pt>
                <c:pt idx="275">
                  <c:v>465000</c:v>
                </c:pt>
                <c:pt idx="276">
                  <c:v>#N/A</c:v>
                </c:pt>
                <c:pt idx="277">
                  <c:v>#N/A</c:v>
                </c:pt>
                <c:pt idx="278">
                  <c:v>#N/A</c:v>
                </c:pt>
                <c:pt idx="279">
                  <c:v>342000</c:v>
                </c:pt>
                <c:pt idx="280">
                  <c:v>665000</c:v>
                </c:pt>
                <c:pt idx="281">
                  <c:v>#N/A</c:v>
                </c:pt>
                <c:pt idx="282">
                  <c:v>475000</c:v>
                </c:pt>
                <c:pt idx="283">
                  <c:v>386000</c:v>
                </c:pt>
                <c:pt idx="284">
                  <c:v>303000</c:v>
                </c:pt>
                <c:pt idx="285">
                  <c:v>#N/A</c:v>
                </c:pt>
                <c:pt idx="286">
                  <c:v>230000</c:v>
                </c:pt>
                <c:pt idx="287">
                  <c:v>298000</c:v>
                </c:pt>
                <c:pt idx="288">
                  <c:v>#N/A</c:v>
                </c:pt>
                <c:pt idx="289">
                  <c:v>#N/A</c:v>
                </c:pt>
                <c:pt idx="290">
                  <c:v>534000</c:v>
                </c:pt>
                <c:pt idx="291">
                  <c:v>#N/A</c:v>
                </c:pt>
                <c:pt idx="292">
                  <c:v>356000</c:v>
                </c:pt>
                <c:pt idx="293">
                  <c:v>287000</c:v>
                </c:pt>
                <c:pt idx="294">
                  <c:v>#N/A</c:v>
                </c:pt>
                <c:pt idx="295">
                  <c:v>565000</c:v>
                </c:pt>
                <c:pt idx="296">
                  <c:v>849000</c:v>
                </c:pt>
                <c:pt idx="297">
                  <c:v>#N/A</c:v>
                </c:pt>
                <c:pt idx="298">
                  <c:v>#N/A</c:v>
                </c:pt>
                <c:pt idx="299">
                  <c:v>513000</c:v>
                </c:pt>
                <c:pt idx="300">
                  <c:v>#N/A</c:v>
                </c:pt>
                <c:pt idx="301">
                  <c:v>#N/A</c:v>
                </c:pt>
                <c:pt idx="302">
                  <c:v>445000</c:v>
                </c:pt>
                <c:pt idx="303">
                  <c:v>453000</c:v>
                </c:pt>
                <c:pt idx="304">
                  <c:v>390000</c:v>
                </c:pt>
                <c:pt idx="305">
                  <c:v>#N/A</c:v>
                </c:pt>
                <c:pt idx="306">
                  <c:v>#N/A</c:v>
                </c:pt>
                <c:pt idx="307">
                  <c:v>#N/A</c:v>
                </c:pt>
                <c:pt idx="308">
                  <c:v>431000</c:v>
                </c:pt>
                <c:pt idx="309">
                  <c:v>#N/A</c:v>
                </c:pt>
                <c:pt idx="310">
                  <c:v>#N/A</c:v>
                </c:pt>
                <c:pt idx="311">
                  <c:v>#N/A</c:v>
                </c:pt>
                <c:pt idx="312">
                  <c:v>#N/A</c:v>
                </c:pt>
                <c:pt idx="313">
                  <c:v>#N/A</c:v>
                </c:pt>
                <c:pt idx="314">
                  <c:v>#N/A</c:v>
                </c:pt>
                <c:pt idx="315">
                  <c:v>300000</c:v>
                </c:pt>
                <c:pt idx="316">
                  <c:v>#N/A</c:v>
                </c:pt>
                <c:pt idx="317">
                  <c:v>#N/A</c:v>
                </c:pt>
                <c:pt idx="318">
                  <c:v>#N/A</c:v>
                </c:pt>
                <c:pt idx="319">
                  <c:v>511000</c:v>
                </c:pt>
                <c:pt idx="320">
                  <c:v>786000</c:v>
                </c:pt>
                <c:pt idx="321">
                  <c:v>#N/A</c:v>
                </c:pt>
                <c:pt idx="322">
                  <c:v>#N/A</c:v>
                </c:pt>
                <c:pt idx="323">
                  <c:v>732000</c:v>
                </c:pt>
                <c:pt idx="324">
                  <c:v>#N/A</c:v>
                </c:pt>
                <c:pt idx="325">
                  <c:v>#N/A</c:v>
                </c:pt>
                <c:pt idx="326">
                  <c:v>#N/A</c:v>
                </c:pt>
                <c:pt idx="327">
                  <c:v>#N/A</c:v>
                </c:pt>
                <c:pt idx="328">
                  <c:v>475000</c:v>
                </c:pt>
                <c:pt idx="329">
                  <c:v>#N/A</c:v>
                </c:pt>
                <c:pt idx="330">
                  <c:v>#N/A</c:v>
                </c:pt>
                <c:pt idx="331">
                  <c:v>#N/A</c:v>
                </c:pt>
                <c:pt idx="332">
                  <c:v>320000</c:v>
                </c:pt>
                <c:pt idx="333">
                  <c:v>#N/A</c:v>
                </c:pt>
                <c:pt idx="334">
                  <c:v>368000</c:v>
                </c:pt>
                <c:pt idx="335">
                  <c:v>#N/A</c:v>
                </c:pt>
                <c:pt idx="336">
                  <c:v>559000</c:v>
                </c:pt>
                <c:pt idx="337">
                  <c:v>612000</c:v>
                </c:pt>
                <c:pt idx="338">
                  <c:v>#N/A</c:v>
                </c:pt>
                <c:pt idx="339">
                  <c:v>#N/A</c:v>
                </c:pt>
                <c:pt idx="340">
                  <c:v>#N/A</c:v>
                </c:pt>
                <c:pt idx="341">
                  <c:v>#N/A</c:v>
                </c:pt>
                <c:pt idx="342">
                  <c:v>#N/A</c:v>
                </c:pt>
                <c:pt idx="343">
                  <c:v>361000</c:v>
                </c:pt>
                <c:pt idx="344">
                  <c:v>#N/A</c:v>
                </c:pt>
                <c:pt idx="345">
                  <c:v>#N/A</c:v>
                </c:pt>
                <c:pt idx="346">
                  <c:v>603000</c:v>
                </c:pt>
                <c:pt idx="347">
                  <c:v>#N/A</c:v>
                </c:pt>
                <c:pt idx="348">
                  <c:v>#N/A</c:v>
                </c:pt>
                <c:pt idx="349">
                  <c:v>#N/A</c:v>
                </c:pt>
                <c:pt idx="350">
                  <c:v>#N/A</c:v>
                </c:pt>
                <c:pt idx="351">
                  <c:v>501000</c:v>
                </c:pt>
                <c:pt idx="352">
                  <c:v>393000</c:v>
                </c:pt>
                <c:pt idx="353">
                  <c:v>#N/A</c:v>
                </c:pt>
                <c:pt idx="354">
                  <c:v>#N/A</c:v>
                </c:pt>
                <c:pt idx="355">
                  <c:v>420000</c:v>
                </c:pt>
                <c:pt idx="356">
                  <c:v>#N/A</c:v>
                </c:pt>
                <c:pt idx="357">
                  <c:v>386000</c:v>
                </c:pt>
                <c:pt idx="358">
                  <c:v>#N/A</c:v>
                </c:pt>
                <c:pt idx="359">
                  <c:v>564000</c:v>
                </c:pt>
                <c:pt idx="360">
                  <c:v>#N/A</c:v>
                </c:pt>
                <c:pt idx="361">
                  <c:v>#N/A</c:v>
                </c:pt>
                <c:pt idx="362">
                  <c:v>365000</c:v>
                </c:pt>
                <c:pt idx="363">
                  <c:v>550000</c:v>
                </c:pt>
                <c:pt idx="364">
                  <c:v>574000</c:v>
                </c:pt>
                <c:pt idx="365">
                  <c:v>496000</c:v>
                </c:pt>
                <c:pt idx="366">
                  <c:v>#N/A</c:v>
                </c:pt>
                <c:pt idx="367">
                  <c:v>406000</c:v>
                </c:pt>
                <c:pt idx="368">
                  <c:v>475000</c:v>
                </c:pt>
                <c:pt idx="369">
                  <c:v>686000</c:v>
                </c:pt>
                <c:pt idx="370">
                  <c:v>#N/A</c:v>
                </c:pt>
                <c:pt idx="371">
                  <c:v>#N/A</c:v>
                </c:pt>
                <c:pt idx="372">
                  <c:v>387000</c:v>
                </c:pt>
                <c:pt idx="373">
                  <c:v>#N/A</c:v>
                </c:pt>
                <c:pt idx="374">
                  <c:v>463000</c:v>
                </c:pt>
                <c:pt idx="375">
                  <c:v>#N/A</c:v>
                </c:pt>
                <c:pt idx="376">
                  <c:v>#N/A</c:v>
                </c:pt>
                <c:pt idx="377">
                  <c:v>167000</c:v>
                </c:pt>
                <c:pt idx="378">
                  <c:v>#N/A</c:v>
                </c:pt>
                <c:pt idx="379">
                  <c:v>737000</c:v>
                </c:pt>
                <c:pt idx="380">
                  <c:v>#N/A</c:v>
                </c:pt>
                <c:pt idx="381">
                  <c:v>#N/A</c:v>
                </c:pt>
                <c:pt idx="382">
                  <c:v>499000</c:v>
                </c:pt>
                <c:pt idx="383">
                  <c:v>743000</c:v>
                </c:pt>
                <c:pt idx="384">
                  <c:v>#N/A</c:v>
                </c:pt>
                <c:pt idx="385">
                  <c:v>#N/A</c:v>
                </c:pt>
                <c:pt idx="386">
                  <c:v>#N/A</c:v>
                </c:pt>
                <c:pt idx="387">
                  <c:v>#N/A</c:v>
                </c:pt>
                <c:pt idx="388">
                  <c:v>#N/A</c:v>
                </c:pt>
                <c:pt idx="389">
                  <c:v>#N/A</c:v>
                </c:pt>
                <c:pt idx="390">
                  <c:v>589000</c:v>
                </c:pt>
                <c:pt idx="391">
                  <c:v>#N/A</c:v>
                </c:pt>
                <c:pt idx="392">
                  <c:v>178000</c:v>
                </c:pt>
                <c:pt idx="393">
                  <c:v>#N/A</c:v>
                </c:pt>
                <c:pt idx="394">
                  <c:v>406000</c:v>
                </c:pt>
                <c:pt idx="395">
                  <c:v>440000</c:v>
                </c:pt>
                <c:pt idx="396">
                  <c:v>#N/A</c:v>
                </c:pt>
                <c:pt idx="397">
                  <c:v>#N/A</c:v>
                </c:pt>
                <c:pt idx="398">
                  <c:v>#N/A</c:v>
                </c:pt>
                <c:pt idx="399">
                  <c:v>#N/A</c:v>
                </c:pt>
                <c:pt idx="400">
                  <c:v>#N/A</c:v>
                </c:pt>
                <c:pt idx="401">
                  <c:v>#N/A</c:v>
                </c:pt>
                <c:pt idx="402">
                  <c:v>408000</c:v>
                </c:pt>
                <c:pt idx="403">
                  <c:v>419000</c:v>
                </c:pt>
                <c:pt idx="404">
                  <c:v>536000</c:v>
                </c:pt>
                <c:pt idx="405">
                  <c:v>#N/A</c:v>
                </c:pt>
                <c:pt idx="406">
                  <c:v>#N/A</c:v>
                </c:pt>
                <c:pt idx="407">
                  <c:v>445000</c:v>
                </c:pt>
                <c:pt idx="408">
                  <c:v>#N/A</c:v>
                </c:pt>
                <c:pt idx="409">
                  <c:v>#N/A</c:v>
                </c:pt>
                <c:pt idx="410">
                  <c:v>#N/A</c:v>
                </c:pt>
                <c:pt idx="411">
                  <c:v>#N/A</c:v>
                </c:pt>
                <c:pt idx="412">
                  <c:v>#N/A</c:v>
                </c:pt>
                <c:pt idx="413">
                  <c:v>#N/A</c:v>
                </c:pt>
                <c:pt idx="414">
                  <c:v>#N/A</c:v>
                </c:pt>
                <c:pt idx="415">
                  <c:v>#N/A</c:v>
                </c:pt>
                <c:pt idx="416">
                  <c:v>451000</c:v>
                </c:pt>
                <c:pt idx="417">
                  <c:v>#N/A</c:v>
                </c:pt>
                <c:pt idx="418">
                  <c:v>#N/A</c:v>
                </c:pt>
                <c:pt idx="419">
                  <c:v>#N/A</c:v>
                </c:pt>
                <c:pt idx="420">
                  <c:v>331000</c:v>
                </c:pt>
                <c:pt idx="421">
                  <c:v>#N/A</c:v>
                </c:pt>
                <c:pt idx="422">
                  <c:v>476000</c:v>
                </c:pt>
                <c:pt idx="423">
                  <c:v>#N/A</c:v>
                </c:pt>
                <c:pt idx="424">
                  <c:v>485000</c:v>
                </c:pt>
                <c:pt idx="425">
                  <c:v>413000</c:v>
                </c:pt>
                <c:pt idx="426">
                  <c:v>#N/A</c:v>
                </c:pt>
                <c:pt idx="427">
                  <c:v>724000</c:v>
                </c:pt>
                <c:pt idx="428">
                  <c:v>331000</c:v>
                </c:pt>
                <c:pt idx="429">
                  <c:v>477000</c:v>
                </c:pt>
                <c:pt idx="430">
                  <c:v>#N/A</c:v>
                </c:pt>
                <c:pt idx="431">
                  <c:v>367000</c:v>
                </c:pt>
                <c:pt idx="432">
                  <c:v>#N/A</c:v>
                </c:pt>
                <c:pt idx="433">
                  <c:v>339000</c:v>
                </c:pt>
                <c:pt idx="434">
                  <c:v>#N/A</c:v>
                </c:pt>
                <c:pt idx="435">
                  <c:v>#N/A</c:v>
                </c:pt>
                <c:pt idx="436">
                  <c:v>#N/A</c:v>
                </c:pt>
                <c:pt idx="437">
                  <c:v>348000</c:v>
                </c:pt>
                <c:pt idx="438">
                  <c:v>#N/A</c:v>
                </c:pt>
                <c:pt idx="439">
                  <c:v>#N/A</c:v>
                </c:pt>
                <c:pt idx="440">
                  <c:v>352000</c:v>
                </c:pt>
                <c:pt idx="441">
                  <c:v>#N/A</c:v>
                </c:pt>
                <c:pt idx="442">
                  <c:v>#N/A</c:v>
                </c:pt>
                <c:pt idx="443">
                  <c:v>580000</c:v>
                </c:pt>
                <c:pt idx="444">
                  <c:v>#N/A</c:v>
                </c:pt>
                <c:pt idx="445">
                  <c:v>#N/A</c:v>
                </c:pt>
                <c:pt idx="446">
                  <c:v>#N/A</c:v>
                </c:pt>
                <c:pt idx="447">
                  <c:v>548000</c:v>
                </c:pt>
                <c:pt idx="448">
                  <c:v>#N/A</c:v>
                </c:pt>
                <c:pt idx="449">
                  <c:v>680000</c:v>
                </c:pt>
                <c:pt idx="450">
                  <c:v>#N/A</c:v>
                </c:pt>
                <c:pt idx="451">
                  <c:v>#N/A</c:v>
                </c:pt>
                <c:pt idx="452">
                  <c:v>#N/A</c:v>
                </c:pt>
                <c:pt idx="453">
                  <c:v>687000</c:v>
                </c:pt>
                <c:pt idx="454">
                  <c:v>821000</c:v>
                </c:pt>
                <c:pt idx="455">
                  <c:v>#N/A</c:v>
                </c:pt>
                <c:pt idx="456">
                  <c:v>730000</c:v>
                </c:pt>
                <c:pt idx="457">
                  <c:v>556000</c:v>
                </c:pt>
                <c:pt idx="458">
                  <c:v>#N/A</c:v>
                </c:pt>
                <c:pt idx="459">
                  <c:v>#N/A</c:v>
                </c:pt>
                <c:pt idx="460">
                  <c:v>#N/A</c:v>
                </c:pt>
                <c:pt idx="461">
                  <c:v>#N/A</c:v>
                </c:pt>
                <c:pt idx="462">
                  <c:v>#N/A</c:v>
                </c:pt>
                <c:pt idx="463">
                  <c:v>#N/A</c:v>
                </c:pt>
                <c:pt idx="464">
                  <c:v>#N/A</c:v>
                </c:pt>
                <c:pt idx="465">
                  <c:v>#N/A</c:v>
                </c:pt>
                <c:pt idx="466">
                  <c:v>#N/A</c:v>
                </c:pt>
                <c:pt idx="467">
                  <c:v>419000</c:v>
                </c:pt>
                <c:pt idx="468">
                  <c:v>#N/A</c:v>
                </c:pt>
                <c:pt idx="469">
                  <c:v>557000</c:v>
                </c:pt>
                <c:pt idx="470">
                  <c:v>480000</c:v>
                </c:pt>
                <c:pt idx="471">
                  <c:v>#N/A</c:v>
                </c:pt>
                <c:pt idx="472">
                  <c:v>562000</c:v>
                </c:pt>
                <c:pt idx="473">
                  <c:v>560000</c:v>
                </c:pt>
                <c:pt idx="474">
                  <c:v>#N/A</c:v>
                </c:pt>
                <c:pt idx="475">
                  <c:v>#N/A</c:v>
                </c:pt>
                <c:pt idx="476">
                  <c:v>#N/A</c:v>
                </c:pt>
                <c:pt idx="477">
                  <c:v>#N/A</c:v>
                </c:pt>
                <c:pt idx="478">
                  <c:v>#N/A</c:v>
                </c:pt>
                <c:pt idx="479">
                  <c:v>#N/A</c:v>
                </c:pt>
                <c:pt idx="480">
                  <c:v>323000</c:v>
                </c:pt>
                <c:pt idx="481">
                  <c:v>355000</c:v>
                </c:pt>
                <c:pt idx="482">
                  <c:v>#N/A</c:v>
                </c:pt>
                <c:pt idx="483">
                  <c:v>#N/A</c:v>
                </c:pt>
                <c:pt idx="484">
                  <c:v>#N/A</c:v>
                </c:pt>
                <c:pt idx="485">
                  <c:v>540000</c:v>
                </c:pt>
                <c:pt idx="486">
                  <c:v>#N/A</c:v>
                </c:pt>
                <c:pt idx="487">
                  <c:v>414000</c:v>
                </c:pt>
                <c:pt idx="488">
                  <c:v>#N/A</c:v>
                </c:pt>
                <c:pt idx="489">
                  <c:v>#N/A</c:v>
                </c:pt>
                <c:pt idx="490">
                  <c:v>#N/A</c:v>
                </c:pt>
                <c:pt idx="491">
                  <c:v>#N/A</c:v>
                </c:pt>
                <c:pt idx="492">
                  <c:v>448000</c:v>
                </c:pt>
                <c:pt idx="493">
                  <c:v>#N/A</c:v>
                </c:pt>
                <c:pt idx="494">
                  <c:v>648000</c:v>
                </c:pt>
                <c:pt idx="495">
                  <c:v>592000</c:v>
                </c:pt>
                <c:pt idx="496">
                  <c:v>492000</c:v>
                </c:pt>
                <c:pt idx="497">
                  <c:v>#N/A</c:v>
                </c:pt>
                <c:pt idx="498">
                  <c:v>#N/A</c:v>
                </c:pt>
                <c:pt idx="499">
                  <c:v>436000</c:v>
                </c:pt>
                <c:pt idx="500">
                  <c:v>#N/A</c:v>
                </c:pt>
                <c:pt idx="501">
                  <c:v>446000</c:v>
                </c:pt>
                <c:pt idx="502">
                  <c:v>#N/A</c:v>
                </c:pt>
                <c:pt idx="503">
                  <c:v>465000</c:v>
                </c:pt>
                <c:pt idx="504">
                  <c:v>430000</c:v>
                </c:pt>
                <c:pt idx="505">
                  <c:v>#N/A</c:v>
                </c:pt>
                <c:pt idx="506">
                  <c:v>#N/A</c:v>
                </c:pt>
                <c:pt idx="507">
                  <c:v>#N/A</c:v>
                </c:pt>
                <c:pt idx="508">
                  <c:v>#N/A</c:v>
                </c:pt>
                <c:pt idx="509">
                  <c:v>#N/A</c:v>
                </c:pt>
                <c:pt idx="510">
                  <c:v>607000</c:v>
                </c:pt>
                <c:pt idx="511">
                  <c:v>#N/A</c:v>
                </c:pt>
                <c:pt idx="512">
                  <c:v>589000</c:v>
                </c:pt>
                <c:pt idx="513">
                  <c:v>368000</c:v>
                </c:pt>
                <c:pt idx="514">
                  <c:v>776000</c:v>
                </c:pt>
                <c:pt idx="515">
                  <c:v>495000</c:v>
                </c:pt>
                <c:pt idx="516">
                  <c:v>#N/A</c:v>
                </c:pt>
                <c:pt idx="517">
                  <c:v>535000</c:v>
                </c:pt>
                <c:pt idx="518">
                  <c:v>503000</c:v>
                </c:pt>
                <c:pt idx="519">
                  <c:v>#N/A</c:v>
                </c:pt>
                <c:pt idx="520">
                  <c:v>435000</c:v>
                </c:pt>
                <c:pt idx="521">
                  <c:v>545000</c:v>
                </c:pt>
                <c:pt idx="522">
                  <c:v>#N/A</c:v>
                </c:pt>
                <c:pt idx="523">
                  <c:v>#N/A</c:v>
                </c:pt>
                <c:pt idx="524">
                  <c:v>336000</c:v>
                </c:pt>
                <c:pt idx="525">
                  <c:v>#N/A</c:v>
                </c:pt>
                <c:pt idx="526">
                  <c:v>#N/A</c:v>
                </c:pt>
                <c:pt idx="527">
                  <c:v>645000</c:v>
                </c:pt>
                <c:pt idx="528">
                  <c:v>#N/A</c:v>
                </c:pt>
                <c:pt idx="529">
                  <c:v>498000</c:v>
                </c:pt>
                <c:pt idx="530">
                  <c:v>#N/A</c:v>
                </c:pt>
                <c:pt idx="531">
                  <c:v>713000</c:v>
                </c:pt>
                <c:pt idx="532">
                  <c:v>#N/A</c:v>
                </c:pt>
                <c:pt idx="533">
                  <c:v>528000</c:v>
                </c:pt>
                <c:pt idx="534">
                  <c:v>381000</c:v>
                </c:pt>
                <c:pt idx="535">
                  <c:v>523000</c:v>
                </c:pt>
                <c:pt idx="536">
                  <c:v>#N/A</c:v>
                </c:pt>
                <c:pt idx="537">
                  <c:v>#N/A</c:v>
                </c:pt>
                <c:pt idx="538">
                  <c:v>543000</c:v>
                </c:pt>
                <c:pt idx="539">
                  <c:v>703000</c:v>
                </c:pt>
                <c:pt idx="540">
                  <c:v>#N/A</c:v>
                </c:pt>
                <c:pt idx="541">
                  <c:v>#N/A</c:v>
                </c:pt>
                <c:pt idx="542">
                  <c:v>#N/A</c:v>
                </c:pt>
                <c:pt idx="543">
                  <c:v>283000</c:v>
                </c:pt>
                <c:pt idx="544">
                  <c:v>#N/A</c:v>
                </c:pt>
                <c:pt idx="545">
                  <c:v>377000</c:v>
                </c:pt>
                <c:pt idx="546">
                  <c:v>539000</c:v>
                </c:pt>
                <c:pt idx="547">
                  <c:v>714000</c:v>
                </c:pt>
                <c:pt idx="548">
                  <c:v>#N/A</c:v>
                </c:pt>
                <c:pt idx="549">
                  <c:v>#N/A</c:v>
                </c:pt>
                <c:pt idx="550">
                  <c:v>#N/A</c:v>
                </c:pt>
                <c:pt idx="551">
                  <c:v>496000</c:v>
                </c:pt>
                <c:pt idx="552">
                  <c:v>492000</c:v>
                </c:pt>
                <c:pt idx="553">
                  <c:v>#N/A</c:v>
                </c:pt>
                <c:pt idx="554">
                  <c:v>#N/A</c:v>
                </c:pt>
                <c:pt idx="555">
                  <c:v>422000</c:v>
                </c:pt>
                <c:pt idx="556">
                  <c:v>#N/A</c:v>
                </c:pt>
                <c:pt idx="557">
                  <c:v>#N/A</c:v>
                </c:pt>
                <c:pt idx="558">
                  <c:v>725000</c:v>
                </c:pt>
                <c:pt idx="559">
                  <c:v>#N/A</c:v>
                </c:pt>
                <c:pt idx="560">
                  <c:v>#N/A</c:v>
                </c:pt>
                <c:pt idx="561">
                  <c:v>323000</c:v>
                </c:pt>
                <c:pt idx="562">
                  <c:v>727000</c:v>
                </c:pt>
                <c:pt idx="563">
                  <c:v>382000</c:v>
                </c:pt>
                <c:pt idx="564">
                  <c:v>341000</c:v>
                </c:pt>
                <c:pt idx="565">
                  <c:v>#N/A</c:v>
                </c:pt>
                <c:pt idx="566">
                  <c:v>#N/A</c:v>
                </c:pt>
                <c:pt idx="567">
                  <c:v>550000</c:v>
                </c:pt>
                <c:pt idx="568">
                  <c:v>#N/A</c:v>
                </c:pt>
                <c:pt idx="569">
                  <c:v>#N/A</c:v>
                </c:pt>
                <c:pt idx="570">
                  <c:v>#N/A</c:v>
                </c:pt>
                <c:pt idx="571">
                  <c:v>445000</c:v>
                </c:pt>
                <c:pt idx="572">
                  <c:v>518000</c:v>
                </c:pt>
                <c:pt idx="573">
                  <c:v>494000</c:v>
                </c:pt>
                <c:pt idx="574">
                  <c:v>498000</c:v>
                </c:pt>
                <c:pt idx="575">
                  <c:v>#N/A</c:v>
                </c:pt>
                <c:pt idx="576">
                  <c:v>#N/A</c:v>
                </c:pt>
                <c:pt idx="577">
                  <c:v>449000</c:v>
                </c:pt>
                <c:pt idx="578">
                  <c:v>#N/A</c:v>
                </c:pt>
                <c:pt idx="579">
                  <c:v>#N/A</c:v>
                </c:pt>
                <c:pt idx="580">
                  <c:v>#N/A</c:v>
                </c:pt>
                <c:pt idx="581">
                  <c:v>#N/A</c:v>
                </c:pt>
                <c:pt idx="582">
                  <c:v>#N/A</c:v>
                </c:pt>
                <c:pt idx="583">
                  <c:v>#N/A</c:v>
                </c:pt>
                <c:pt idx="584">
                  <c:v>#N/A</c:v>
                </c:pt>
                <c:pt idx="585">
                  <c:v>380000</c:v>
                </c:pt>
                <c:pt idx="586">
                  <c:v>329000</c:v>
                </c:pt>
                <c:pt idx="587">
                  <c:v>#N/A</c:v>
                </c:pt>
                <c:pt idx="588">
                  <c:v>#N/A</c:v>
                </c:pt>
                <c:pt idx="589">
                  <c:v>607000</c:v>
                </c:pt>
                <c:pt idx="590">
                  <c:v>#N/A</c:v>
                </c:pt>
                <c:pt idx="591">
                  <c:v>633000</c:v>
                </c:pt>
                <c:pt idx="592">
                  <c:v>#N/A</c:v>
                </c:pt>
                <c:pt idx="593">
                  <c:v>#N/A</c:v>
                </c:pt>
                <c:pt idx="594">
                  <c:v>#N/A</c:v>
                </c:pt>
                <c:pt idx="595">
                  <c:v>#N/A</c:v>
                </c:pt>
                <c:pt idx="596">
                  <c:v>425000</c:v>
                </c:pt>
                <c:pt idx="597">
                  <c:v>#N/A</c:v>
                </c:pt>
                <c:pt idx="598">
                  <c:v>#N/A</c:v>
                </c:pt>
                <c:pt idx="599">
                  <c:v>#N/A</c:v>
                </c:pt>
                <c:pt idx="600">
                  <c:v>#N/A</c:v>
                </c:pt>
                <c:pt idx="601">
                  <c:v>#N/A</c:v>
                </c:pt>
                <c:pt idx="602">
                  <c:v>400000</c:v>
                </c:pt>
                <c:pt idx="603">
                  <c:v>#N/A</c:v>
                </c:pt>
                <c:pt idx="604">
                  <c:v>#N/A</c:v>
                </c:pt>
                <c:pt idx="605">
                  <c:v>#N/A</c:v>
                </c:pt>
                <c:pt idx="606">
                  <c:v>449000</c:v>
                </c:pt>
                <c:pt idx="607">
                  <c:v>#N/A</c:v>
                </c:pt>
                <c:pt idx="608">
                  <c:v>#N/A</c:v>
                </c:pt>
                <c:pt idx="609">
                  <c:v>561000</c:v>
                </c:pt>
                <c:pt idx="610">
                  <c:v>310000</c:v>
                </c:pt>
                <c:pt idx="611">
                  <c:v>#N/A</c:v>
                </c:pt>
                <c:pt idx="612">
                  <c:v>#N/A</c:v>
                </c:pt>
                <c:pt idx="613">
                  <c:v>474000</c:v>
                </c:pt>
                <c:pt idx="614">
                  <c:v>#N/A</c:v>
                </c:pt>
                <c:pt idx="615">
                  <c:v>571000</c:v>
                </c:pt>
                <c:pt idx="616">
                  <c:v>601000</c:v>
                </c:pt>
                <c:pt idx="617">
                  <c:v>555000</c:v>
                </c:pt>
                <c:pt idx="618">
                  <c:v>173000</c:v>
                </c:pt>
                <c:pt idx="619">
                  <c:v>#N/A</c:v>
                </c:pt>
                <c:pt idx="620">
                  <c:v>#N/A</c:v>
                </c:pt>
                <c:pt idx="621">
                  <c:v>#N/A</c:v>
                </c:pt>
                <c:pt idx="622">
                  <c:v>578000</c:v>
                </c:pt>
                <c:pt idx="623">
                  <c:v>#N/A</c:v>
                </c:pt>
                <c:pt idx="624">
                  <c:v>#N/A</c:v>
                </c:pt>
                <c:pt idx="625">
                  <c:v>555000</c:v>
                </c:pt>
                <c:pt idx="626">
                  <c:v>#N/A</c:v>
                </c:pt>
                <c:pt idx="627">
                  <c:v>330000</c:v>
                </c:pt>
                <c:pt idx="628">
                  <c:v>466000</c:v>
                </c:pt>
                <c:pt idx="629">
                  <c:v>#N/A</c:v>
                </c:pt>
                <c:pt idx="630">
                  <c:v>#N/A</c:v>
                </c:pt>
                <c:pt idx="631">
                  <c:v>446000</c:v>
                </c:pt>
                <c:pt idx="632">
                  <c:v>#N/A</c:v>
                </c:pt>
                <c:pt idx="633">
                  <c:v>476000</c:v>
                </c:pt>
                <c:pt idx="634">
                  <c:v>628000</c:v>
                </c:pt>
                <c:pt idx="635">
                  <c:v>427000</c:v>
                </c:pt>
                <c:pt idx="636">
                  <c:v>#N/A</c:v>
                </c:pt>
                <c:pt idx="637">
                  <c:v>844000</c:v>
                </c:pt>
                <c:pt idx="638">
                  <c:v>332000</c:v>
                </c:pt>
                <c:pt idx="639">
                  <c:v>675000</c:v>
                </c:pt>
                <c:pt idx="640">
                  <c:v>681000</c:v>
                </c:pt>
                <c:pt idx="641">
                  <c:v>#N/A</c:v>
                </c:pt>
                <c:pt idx="642">
                  <c:v>#N/A</c:v>
                </c:pt>
                <c:pt idx="643">
                  <c:v>504000</c:v>
                </c:pt>
                <c:pt idx="644">
                  <c:v>#N/A</c:v>
                </c:pt>
                <c:pt idx="645">
                  <c:v>384000</c:v>
                </c:pt>
                <c:pt idx="646">
                  <c:v>#N/A</c:v>
                </c:pt>
                <c:pt idx="647">
                  <c:v>#N/A</c:v>
                </c:pt>
                <c:pt idx="648">
                  <c:v>#N/A</c:v>
                </c:pt>
                <c:pt idx="649">
                  <c:v>#N/A</c:v>
                </c:pt>
                <c:pt idx="650">
                  <c:v>478000</c:v>
                </c:pt>
                <c:pt idx="651">
                  <c:v>#N/A</c:v>
                </c:pt>
                <c:pt idx="652">
                  <c:v>#N/A</c:v>
                </c:pt>
                <c:pt idx="653">
                  <c:v>685000</c:v>
                </c:pt>
                <c:pt idx="654">
                  <c:v>#N/A</c:v>
                </c:pt>
                <c:pt idx="655">
                  <c:v>657000</c:v>
                </c:pt>
                <c:pt idx="656">
                  <c:v>#N/A</c:v>
                </c:pt>
                <c:pt idx="657">
                  <c:v>#N/A</c:v>
                </c:pt>
                <c:pt idx="658">
                  <c:v>#N/A</c:v>
                </c:pt>
                <c:pt idx="659">
                  <c:v>#N/A</c:v>
                </c:pt>
                <c:pt idx="660">
                  <c:v>#N/A</c:v>
                </c:pt>
                <c:pt idx="661">
                  <c:v>#N/A</c:v>
                </c:pt>
                <c:pt idx="662">
                  <c:v>910000</c:v>
                </c:pt>
                <c:pt idx="663">
                  <c:v>499000</c:v>
                </c:pt>
                <c:pt idx="664">
                  <c:v>#N/A</c:v>
                </c:pt>
                <c:pt idx="665">
                  <c:v>538000</c:v>
                </c:pt>
                <c:pt idx="666">
                  <c:v>#N/A</c:v>
                </c:pt>
                <c:pt idx="667">
                  <c:v>#N/A</c:v>
                </c:pt>
                <c:pt idx="668">
                  <c:v>#N/A</c:v>
                </c:pt>
                <c:pt idx="669">
                  <c:v>536000</c:v>
                </c:pt>
                <c:pt idx="670">
                  <c:v>#N/A</c:v>
                </c:pt>
                <c:pt idx="671">
                  <c:v>#N/A</c:v>
                </c:pt>
                <c:pt idx="672">
                  <c:v>538000</c:v>
                </c:pt>
                <c:pt idx="673">
                  <c:v>#N/A</c:v>
                </c:pt>
                <c:pt idx="674">
                  <c:v>332000</c:v>
                </c:pt>
                <c:pt idx="675">
                  <c:v>483000</c:v>
                </c:pt>
                <c:pt idx="676">
                  <c:v>#N/A</c:v>
                </c:pt>
                <c:pt idx="677">
                  <c:v>#N/A</c:v>
                </c:pt>
                <c:pt idx="678">
                  <c:v>470000</c:v>
                </c:pt>
                <c:pt idx="679">
                  <c:v>380000</c:v>
                </c:pt>
                <c:pt idx="680">
                  <c:v>#N/A</c:v>
                </c:pt>
                <c:pt idx="681">
                  <c:v>#N/A</c:v>
                </c:pt>
                <c:pt idx="682">
                  <c:v>#N/A</c:v>
                </c:pt>
                <c:pt idx="683">
                  <c:v>451000</c:v>
                </c:pt>
                <c:pt idx="684">
                  <c:v>#N/A</c:v>
                </c:pt>
                <c:pt idx="685">
                  <c:v>277000</c:v>
                </c:pt>
                <c:pt idx="686">
                  <c:v>551000</c:v>
                </c:pt>
                <c:pt idx="687">
                  <c:v>#N/A</c:v>
                </c:pt>
                <c:pt idx="688">
                  <c:v>376000</c:v>
                </c:pt>
                <c:pt idx="689">
                  <c:v>412000</c:v>
                </c:pt>
                <c:pt idx="690">
                  <c:v>#N/A</c:v>
                </c:pt>
                <c:pt idx="691">
                  <c:v>#N/A</c:v>
                </c:pt>
                <c:pt idx="692">
                  <c:v>464000</c:v>
                </c:pt>
                <c:pt idx="693">
                  <c:v>#N/A</c:v>
                </c:pt>
                <c:pt idx="694">
                  <c:v>460000</c:v>
                </c:pt>
                <c:pt idx="695">
                  <c:v>385000</c:v>
                </c:pt>
                <c:pt idx="696">
                  <c:v>465000</c:v>
                </c:pt>
                <c:pt idx="697">
                  <c:v>#N/A</c:v>
                </c:pt>
                <c:pt idx="698">
                  <c:v>374000</c:v>
                </c:pt>
                <c:pt idx="699">
                  <c:v>#N/A</c:v>
                </c:pt>
                <c:pt idx="700">
                  <c:v>599000</c:v>
                </c:pt>
                <c:pt idx="701">
                  <c:v>#N/A</c:v>
                </c:pt>
                <c:pt idx="702">
                  <c:v>#N/A</c:v>
                </c:pt>
                <c:pt idx="703">
                  <c:v>#N/A</c:v>
                </c:pt>
                <c:pt idx="704">
                  <c:v>396000</c:v>
                </c:pt>
                <c:pt idx="705">
                  <c:v>#N/A</c:v>
                </c:pt>
                <c:pt idx="706">
                  <c:v>469000</c:v>
                </c:pt>
                <c:pt idx="707">
                  <c:v>#N/A</c:v>
                </c:pt>
                <c:pt idx="708">
                  <c:v>345000</c:v>
                </c:pt>
                <c:pt idx="709">
                  <c:v>#N/A</c:v>
                </c:pt>
                <c:pt idx="710">
                  <c:v>851000</c:v>
                </c:pt>
                <c:pt idx="711">
                  <c:v>#N/A</c:v>
                </c:pt>
                <c:pt idx="712">
                  <c:v>526000</c:v>
                </c:pt>
                <c:pt idx="713">
                  <c:v>#N/A</c:v>
                </c:pt>
                <c:pt idx="714">
                  <c:v>#N/A</c:v>
                </c:pt>
                <c:pt idx="715">
                  <c:v>#N/A</c:v>
                </c:pt>
                <c:pt idx="716">
                  <c:v>#N/A</c:v>
                </c:pt>
                <c:pt idx="717">
                  <c:v>#N/A</c:v>
                </c:pt>
                <c:pt idx="718">
                  <c:v>#N/A</c:v>
                </c:pt>
                <c:pt idx="719">
                  <c:v>380000</c:v>
                </c:pt>
                <c:pt idx="720">
                  <c:v>#N/A</c:v>
                </c:pt>
                <c:pt idx="721">
                  <c:v>#N/A</c:v>
                </c:pt>
                <c:pt idx="722">
                  <c:v>#N/A</c:v>
                </c:pt>
                <c:pt idx="723">
                  <c:v>697000</c:v>
                </c:pt>
                <c:pt idx="724">
                  <c:v>#N/A</c:v>
                </c:pt>
                <c:pt idx="725">
                  <c:v>#N/A</c:v>
                </c:pt>
                <c:pt idx="726">
                  <c:v>#N/A</c:v>
                </c:pt>
                <c:pt idx="727">
                  <c:v>#N/A</c:v>
                </c:pt>
                <c:pt idx="728">
                  <c:v>#N/A</c:v>
                </c:pt>
                <c:pt idx="729">
                  <c:v>378000</c:v>
                </c:pt>
                <c:pt idx="730">
                  <c:v>#N/A</c:v>
                </c:pt>
                <c:pt idx="731">
                  <c:v>#N/A</c:v>
                </c:pt>
                <c:pt idx="732">
                  <c:v>573000</c:v>
                </c:pt>
                <c:pt idx="733">
                  <c:v>740000</c:v>
                </c:pt>
                <c:pt idx="734">
                  <c:v>470000</c:v>
                </c:pt>
                <c:pt idx="735">
                  <c:v>410000</c:v>
                </c:pt>
                <c:pt idx="736">
                  <c:v>#N/A</c:v>
                </c:pt>
                <c:pt idx="737">
                  <c:v>#N/A</c:v>
                </c:pt>
                <c:pt idx="738">
                  <c:v>#N/A</c:v>
                </c:pt>
                <c:pt idx="739">
                  <c:v>231000</c:v>
                </c:pt>
                <c:pt idx="740">
                  <c:v>524000</c:v>
                </c:pt>
                <c:pt idx="741">
                  <c:v>#N/A</c:v>
                </c:pt>
                <c:pt idx="742">
                  <c:v>#N/A</c:v>
                </c:pt>
                <c:pt idx="743">
                  <c:v>415000</c:v>
                </c:pt>
                <c:pt idx="744">
                  <c:v>587000</c:v>
                </c:pt>
                <c:pt idx="745">
                  <c:v>473000</c:v>
                </c:pt>
                <c:pt idx="746">
                  <c:v>#N/A</c:v>
                </c:pt>
                <c:pt idx="747">
                  <c:v>405000</c:v>
                </c:pt>
                <c:pt idx="748">
                  <c:v>655000</c:v>
                </c:pt>
                <c:pt idx="749">
                  <c:v>#N/A</c:v>
                </c:pt>
                <c:pt idx="750">
                  <c:v>630000</c:v>
                </c:pt>
                <c:pt idx="751">
                  <c:v>#N/A</c:v>
                </c:pt>
                <c:pt idx="752">
                  <c:v>624000</c:v>
                </c:pt>
                <c:pt idx="753">
                  <c:v>#N/A</c:v>
                </c:pt>
                <c:pt idx="754">
                  <c:v>491000</c:v>
                </c:pt>
                <c:pt idx="755">
                  <c:v>#N/A</c:v>
                </c:pt>
                <c:pt idx="756">
                  <c:v>#N/A</c:v>
                </c:pt>
                <c:pt idx="757">
                  <c:v>519000</c:v>
                </c:pt>
                <c:pt idx="758">
                  <c:v>448000</c:v>
                </c:pt>
                <c:pt idx="759">
                  <c:v>#N/A</c:v>
                </c:pt>
                <c:pt idx="760">
                  <c:v>#N/A</c:v>
                </c:pt>
                <c:pt idx="761">
                  <c:v>#N/A</c:v>
                </c:pt>
                <c:pt idx="762">
                  <c:v>#N/A</c:v>
                </c:pt>
                <c:pt idx="763">
                  <c:v>#N/A</c:v>
                </c:pt>
                <c:pt idx="764">
                  <c:v>#N/A</c:v>
                </c:pt>
                <c:pt idx="765">
                  <c:v>674000</c:v>
                </c:pt>
                <c:pt idx="766">
                  <c:v>#N/A</c:v>
                </c:pt>
                <c:pt idx="767">
                  <c:v>#N/A</c:v>
                </c:pt>
                <c:pt idx="768">
                  <c:v>#N/A</c:v>
                </c:pt>
                <c:pt idx="769">
                  <c:v>#N/A</c:v>
                </c:pt>
                <c:pt idx="770">
                  <c:v>360000</c:v>
                </c:pt>
                <c:pt idx="771">
                  <c:v>#N/A</c:v>
                </c:pt>
                <c:pt idx="772">
                  <c:v>#N/A</c:v>
                </c:pt>
                <c:pt idx="773">
                  <c:v>#N/A</c:v>
                </c:pt>
                <c:pt idx="774">
                  <c:v>#N/A</c:v>
                </c:pt>
                <c:pt idx="775">
                  <c:v>#N/A</c:v>
                </c:pt>
                <c:pt idx="776">
                  <c:v>#N/A</c:v>
                </c:pt>
                <c:pt idx="777">
                  <c:v>#N/A</c:v>
                </c:pt>
                <c:pt idx="778">
                  <c:v>213000</c:v>
                </c:pt>
                <c:pt idx="779">
                  <c:v>#N/A</c:v>
                </c:pt>
                <c:pt idx="780">
                  <c:v>#N/A</c:v>
                </c:pt>
                <c:pt idx="781">
                  <c:v>#N/A</c:v>
                </c:pt>
                <c:pt idx="782">
                  <c:v>#N/A</c:v>
                </c:pt>
                <c:pt idx="783">
                  <c:v>#N/A</c:v>
                </c:pt>
                <c:pt idx="784">
                  <c:v>#N/A</c:v>
                </c:pt>
                <c:pt idx="785">
                  <c:v>#N/A</c:v>
                </c:pt>
                <c:pt idx="786">
                  <c:v>320000</c:v>
                </c:pt>
                <c:pt idx="787">
                  <c:v>#N/A</c:v>
                </c:pt>
                <c:pt idx="788">
                  <c:v>#N/A</c:v>
                </c:pt>
                <c:pt idx="789">
                  <c:v>#N/A</c:v>
                </c:pt>
                <c:pt idx="790">
                  <c:v>#N/A</c:v>
                </c:pt>
                <c:pt idx="791">
                  <c:v>#N/A</c:v>
                </c:pt>
                <c:pt idx="792">
                  <c:v>#N/A</c:v>
                </c:pt>
                <c:pt idx="793">
                  <c:v>795000</c:v>
                </c:pt>
                <c:pt idx="794">
                  <c:v>583000</c:v>
                </c:pt>
                <c:pt idx="795">
                  <c:v>#N/A</c:v>
                </c:pt>
                <c:pt idx="796">
                  <c:v>#N/A</c:v>
                </c:pt>
                <c:pt idx="797">
                  <c:v>#N/A</c:v>
                </c:pt>
                <c:pt idx="798">
                  <c:v>#N/A</c:v>
                </c:pt>
                <c:pt idx="799">
                  <c:v>383000</c:v>
                </c:pt>
                <c:pt idx="800">
                  <c:v>#N/A</c:v>
                </c:pt>
                <c:pt idx="801">
                  <c:v>#N/A</c:v>
                </c:pt>
                <c:pt idx="802">
                  <c:v>352000</c:v>
                </c:pt>
                <c:pt idx="803">
                  <c:v>#N/A</c:v>
                </c:pt>
                <c:pt idx="804">
                  <c:v>#N/A</c:v>
                </c:pt>
                <c:pt idx="805">
                  <c:v>#N/A</c:v>
                </c:pt>
                <c:pt idx="806">
                  <c:v>#N/A</c:v>
                </c:pt>
                <c:pt idx="807">
                  <c:v>#N/A</c:v>
                </c:pt>
                <c:pt idx="808">
                  <c:v>#N/A</c:v>
                </c:pt>
                <c:pt idx="809">
                  <c:v>508000</c:v>
                </c:pt>
                <c:pt idx="810">
                  <c:v>#N/A</c:v>
                </c:pt>
                <c:pt idx="811">
                  <c:v>#N/A</c:v>
                </c:pt>
                <c:pt idx="812">
                  <c:v>777000</c:v>
                </c:pt>
                <c:pt idx="813">
                  <c:v>#N/A</c:v>
                </c:pt>
                <c:pt idx="814">
                  <c:v>#N/A</c:v>
                </c:pt>
                <c:pt idx="815">
                  <c:v>910000</c:v>
                </c:pt>
                <c:pt idx="816">
                  <c:v>#N/A</c:v>
                </c:pt>
                <c:pt idx="817">
                  <c:v>#N/A</c:v>
                </c:pt>
                <c:pt idx="818">
                  <c:v>408000</c:v>
                </c:pt>
                <c:pt idx="819">
                  <c:v>#N/A</c:v>
                </c:pt>
                <c:pt idx="820">
                  <c:v>#N/A</c:v>
                </c:pt>
                <c:pt idx="821">
                  <c:v>507000</c:v>
                </c:pt>
                <c:pt idx="822">
                  <c:v>342000</c:v>
                </c:pt>
                <c:pt idx="823">
                  <c:v>#N/A</c:v>
                </c:pt>
                <c:pt idx="824">
                  <c:v>#N/A</c:v>
                </c:pt>
                <c:pt idx="825">
                  <c:v>#N/A</c:v>
                </c:pt>
                <c:pt idx="826">
                  <c:v>449000</c:v>
                </c:pt>
                <c:pt idx="827">
                  <c:v>408000</c:v>
                </c:pt>
                <c:pt idx="828">
                  <c:v>708000</c:v>
                </c:pt>
                <c:pt idx="829">
                  <c:v>394000</c:v>
                </c:pt>
                <c:pt idx="830">
                  <c:v>#N/A</c:v>
                </c:pt>
                <c:pt idx="831">
                  <c:v>#N/A</c:v>
                </c:pt>
                <c:pt idx="832">
                  <c:v>586000</c:v>
                </c:pt>
                <c:pt idx="833">
                  <c:v>#N/A</c:v>
                </c:pt>
                <c:pt idx="834">
                  <c:v>341000</c:v>
                </c:pt>
                <c:pt idx="835">
                  <c:v>#N/A</c:v>
                </c:pt>
                <c:pt idx="836">
                  <c:v>#N/A</c:v>
                </c:pt>
                <c:pt idx="837">
                  <c:v>388000</c:v>
                </c:pt>
                <c:pt idx="838">
                  <c:v>467000</c:v>
                </c:pt>
                <c:pt idx="839">
                  <c:v>378000</c:v>
                </c:pt>
                <c:pt idx="840">
                  <c:v>409000</c:v>
                </c:pt>
                <c:pt idx="841">
                  <c:v>443000</c:v>
                </c:pt>
                <c:pt idx="842">
                  <c:v>#N/A</c:v>
                </c:pt>
                <c:pt idx="843">
                  <c:v>621000</c:v>
                </c:pt>
                <c:pt idx="844">
                  <c:v>589000</c:v>
                </c:pt>
                <c:pt idx="845">
                  <c:v>557000</c:v>
                </c:pt>
                <c:pt idx="846">
                  <c:v>#N/A</c:v>
                </c:pt>
                <c:pt idx="847">
                  <c:v>343000</c:v>
                </c:pt>
                <c:pt idx="848">
                  <c:v>#N/A</c:v>
                </c:pt>
                <c:pt idx="849">
                  <c:v>#N/A</c:v>
                </c:pt>
                <c:pt idx="850">
                  <c:v>593000</c:v>
                </c:pt>
                <c:pt idx="851">
                  <c:v>#N/A</c:v>
                </c:pt>
                <c:pt idx="852">
                  <c:v>#N/A</c:v>
                </c:pt>
                <c:pt idx="853">
                  <c:v>#N/A</c:v>
                </c:pt>
                <c:pt idx="854">
                  <c:v>366000</c:v>
                </c:pt>
                <c:pt idx="855">
                  <c:v>#N/A</c:v>
                </c:pt>
                <c:pt idx="856">
                  <c:v>739000</c:v>
                </c:pt>
                <c:pt idx="857">
                  <c:v>594000</c:v>
                </c:pt>
                <c:pt idx="858">
                  <c:v>#N/A</c:v>
                </c:pt>
                <c:pt idx="859">
                  <c:v>#N/A</c:v>
                </c:pt>
                <c:pt idx="860">
                  <c:v>#N/A</c:v>
                </c:pt>
                <c:pt idx="861">
                  <c:v>#N/A</c:v>
                </c:pt>
                <c:pt idx="862">
                  <c:v>510000</c:v>
                </c:pt>
                <c:pt idx="863">
                  <c:v>317000</c:v>
                </c:pt>
                <c:pt idx="864">
                  <c:v>#N/A</c:v>
                </c:pt>
                <c:pt idx="865">
                  <c:v>532000</c:v>
                </c:pt>
                <c:pt idx="866">
                  <c:v>#N/A</c:v>
                </c:pt>
                <c:pt idx="867">
                  <c:v>291000</c:v>
                </c:pt>
                <c:pt idx="868">
                  <c:v>#N/A</c:v>
                </c:pt>
                <c:pt idx="869">
                  <c:v>#N/A</c:v>
                </c:pt>
                <c:pt idx="870">
                  <c:v>645000</c:v>
                </c:pt>
                <c:pt idx="871">
                  <c:v>#N/A</c:v>
                </c:pt>
                <c:pt idx="872">
                  <c:v>717000</c:v>
                </c:pt>
                <c:pt idx="873">
                  <c:v>419000</c:v>
                </c:pt>
                <c:pt idx="874">
                  <c:v>532000</c:v>
                </c:pt>
                <c:pt idx="875">
                  <c:v>#N/A</c:v>
                </c:pt>
                <c:pt idx="876">
                  <c:v>806000</c:v>
                </c:pt>
                <c:pt idx="877">
                  <c:v>#N/A</c:v>
                </c:pt>
                <c:pt idx="878">
                  <c:v>#N/A</c:v>
                </c:pt>
                <c:pt idx="879">
                  <c:v>#N/A</c:v>
                </c:pt>
                <c:pt idx="880">
                  <c:v>409000</c:v>
                </c:pt>
                <c:pt idx="881">
                  <c:v>#N/A</c:v>
                </c:pt>
                <c:pt idx="882">
                  <c:v>632000</c:v>
                </c:pt>
                <c:pt idx="883">
                  <c:v>388000</c:v>
                </c:pt>
                <c:pt idx="884">
                  <c:v>#N/A</c:v>
                </c:pt>
                <c:pt idx="885">
                  <c:v>#N/A</c:v>
                </c:pt>
                <c:pt idx="886">
                  <c:v>#N/A</c:v>
                </c:pt>
                <c:pt idx="887">
                  <c:v>#N/A</c:v>
                </c:pt>
                <c:pt idx="888">
                  <c:v>#N/A</c:v>
                </c:pt>
                <c:pt idx="889">
                  <c:v>#N/A</c:v>
                </c:pt>
                <c:pt idx="890">
                  <c:v>#N/A</c:v>
                </c:pt>
                <c:pt idx="891">
                  <c:v>308000</c:v>
                </c:pt>
                <c:pt idx="892">
                  <c:v>518000</c:v>
                </c:pt>
                <c:pt idx="893">
                  <c:v>#N/A</c:v>
                </c:pt>
                <c:pt idx="894">
                  <c:v>#N/A</c:v>
                </c:pt>
                <c:pt idx="895">
                  <c:v>329000</c:v>
                </c:pt>
                <c:pt idx="896">
                  <c:v>608000</c:v>
                </c:pt>
                <c:pt idx="897">
                  <c:v>#N/A</c:v>
                </c:pt>
                <c:pt idx="898">
                  <c:v>651000</c:v>
                </c:pt>
                <c:pt idx="899">
                  <c:v>#N/A</c:v>
                </c:pt>
                <c:pt idx="900">
                  <c:v>#N/A</c:v>
                </c:pt>
                <c:pt idx="901">
                  <c:v>373000</c:v>
                </c:pt>
                <c:pt idx="902">
                  <c:v>401000</c:v>
                </c:pt>
                <c:pt idx="903">
                  <c:v>493000</c:v>
                </c:pt>
                <c:pt idx="904">
                  <c:v>#N/A</c:v>
                </c:pt>
                <c:pt idx="905">
                  <c:v>#N/A</c:v>
                </c:pt>
                <c:pt idx="906">
                  <c:v>#N/A</c:v>
                </c:pt>
                <c:pt idx="907">
                  <c:v>#N/A</c:v>
                </c:pt>
                <c:pt idx="908">
                  <c:v>#N/A</c:v>
                </c:pt>
                <c:pt idx="909">
                  <c:v>532000</c:v>
                </c:pt>
                <c:pt idx="910">
                  <c:v>#N/A</c:v>
                </c:pt>
                <c:pt idx="911">
                  <c:v>#N/A</c:v>
                </c:pt>
                <c:pt idx="912">
                  <c:v>178000</c:v>
                </c:pt>
                <c:pt idx="913">
                  <c:v>#N/A</c:v>
                </c:pt>
                <c:pt idx="914">
                  <c:v>#N/A</c:v>
                </c:pt>
                <c:pt idx="915">
                  <c:v>411000</c:v>
                </c:pt>
                <c:pt idx="916">
                  <c:v>858000</c:v>
                </c:pt>
                <c:pt idx="917">
                  <c:v>#N/A</c:v>
                </c:pt>
                <c:pt idx="918">
                  <c:v>#N/A</c:v>
                </c:pt>
                <c:pt idx="919">
                  <c:v>#N/A</c:v>
                </c:pt>
                <c:pt idx="920">
                  <c:v>#N/A</c:v>
                </c:pt>
                <c:pt idx="921">
                  <c:v>419000</c:v>
                </c:pt>
                <c:pt idx="922">
                  <c:v>#N/A</c:v>
                </c:pt>
                <c:pt idx="923">
                  <c:v>#N/A</c:v>
                </c:pt>
                <c:pt idx="924">
                  <c:v>#N/A</c:v>
                </c:pt>
                <c:pt idx="925">
                  <c:v>#N/A</c:v>
                </c:pt>
                <c:pt idx="926">
                  <c:v>#N/A</c:v>
                </c:pt>
                <c:pt idx="927">
                  <c:v>494000</c:v>
                </c:pt>
                <c:pt idx="928">
                  <c:v>#N/A</c:v>
                </c:pt>
                <c:pt idx="929">
                  <c:v>#N/A</c:v>
                </c:pt>
                <c:pt idx="930">
                  <c:v>#N/A</c:v>
                </c:pt>
                <c:pt idx="931">
                  <c:v>749000</c:v>
                </c:pt>
                <c:pt idx="932">
                  <c:v>#N/A</c:v>
                </c:pt>
                <c:pt idx="933">
                  <c:v>423000</c:v>
                </c:pt>
                <c:pt idx="934">
                  <c:v>729000</c:v>
                </c:pt>
                <c:pt idx="935">
                  <c:v>460000</c:v>
                </c:pt>
                <c:pt idx="936">
                  <c:v>#N/A</c:v>
                </c:pt>
                <c:pt idx="937">
                  <c:v>#N/A</c:v>
                </c:pt>
                <c:pt idx="938">
                  <c:v>#N/A</c:v>
                </c:pt>
                <c:pt idx="939">
                  <c:v>#N/A</c:v>
                </c:pt>
                <c:pt idx="940">
                  <c:v>#N/A</c:v>
                </c:pt>
                <c:pt idx="941">
                  <c:v>#N/A</c:v>
                </c:pt>
                <c:pt idx="942">
                  <c:v>#N/A</c:v>
                </c:pt>
                <c:pt idx="943">
                  <c:v>#N/A</c:v>
                </c:pt>
                <c:pt idx="944">
                  <c:v>645000</c:v>
                </c:pt>
                <c:pt idx="945">
                  <c:v>645000</c:v>
                </c:pt>
                <c:pt idx="946">
                  <c:v>#N/A</c:v>
                </c:pt>
                <c:pt idx="947">
                  <c:v>452000</c:v>
                </c:pt>
                <c:pt idx="948">
                  <c:v>488000</c:v>
                </c:pt>
                <c:pt idx="949">
                  <c:v>#N/A</c:v>
                </c:pt>
                <c:pt idx="950">
                  <c:v>#N/A</c:v>
                </c:pt>
                <c:pt idx="951">
                  <c:v>#N/A</c:v>
                </c:pt>
                <c:pt idx="952">
                  <c:v>#N/A</c:v>
                </c:pt>
                <c:pt idx="953">
                  <c:v>708000</c:v>
                </c:pt>
                <c:pt idx="954">
                  <c:v>#N/A</c:v>
                </c:pt>
                <c:pt idx="955">
                  <c:v>#N/A</c:v>
                </c:pt>
                <c:pt idx="956">
                  <c:v>#N/A</c:v>
                </c:pt>
                <c:pt idx="957">
                  <c:v>475000</c:v>
                </c:pt>
                <c:pt idx="958">
                  <c:v>#N/A</c:v>
                </c:pt>
                <c:pt idx="959">
                  <c:v>#N/A</c:v>
                </c:pt>
                <c:pt idx="960">
                  <c:v>#N/A</c:v>
                </c:pt>
                <c:pt idx="961">
                  <c:v>455000</c:v>
                </c:pt>
                <c:pt idx="962">
                  <c:v>#N/A</c:v>
                </c:pt>
                <c:pt idx="963">
                  <c:v>#N/A</c:v>
                </c:pt>
                <c:pt idx="964">
                  <c:v>#N/A</c:v>
                </c:pt>
                <c:pt idx="965">
                  <c:v>#N/A</c:v>
                </c:pt>
                <c:pt idx="966">
                  <c:v>#N/A</c:v>
                </c:pt>
                <c:pt idx="967">
                  <c:v>508000</c:v>
                </c:pt>
                <c:pt idx="968">
                  <c:v>329000</c:v>
                </c:pt>
                <c:pt idx="969">
                  <c:v>426000</c:v>
                </c:pt>
                <c:pt idx="970">
                  <c:v>403000</c:v>
                </c:pt>
                <c:pt idx="971">
                  <c:v>#N/A</c:v>
                </c:pt>
                <c:pt idx="972">
                  <c:v>503000</c:v>
                </c:pt>
                <c:pt idx="973">
                  <c:v>#N/A</c:v>
                </c:pt>
                <c:pt idx="974">
                  <c:v>#N/A</c:v>
                </c:pt>
                <c:pt idx="975">
                  <c:v>472000</c:v>
                </c:pt>
                <c:pt idx="976">
                  <c:v>984000</c:v>
                </c:pt>
                <c:pt idx="977">
                  <c:v>#N/A</c:v>
                </c:pt>
                <c:pt idx="978">
                  <c:v>#N/A</c:v>
                </c:pt>
                <c:pt idx="979">
                  <c:v>396000</c:v>
                </c:pt>
                <c:pt idx="980">
                  <c:v>#N/A</c:v>
                </c:pt>
                <c:pt idx="981">
                  <c:v>555000</c:v>
                </c:pt>
                <c:pt idx="982">
                  <c:v>#N/A</c:v>
                </c:pt>
                <c:pt idx="983">
                  <c:v>699000</c:v>
                </c:pt>
                <c:pt idx="984">
                  <c:v>#N/A</c:v>
                </c:pt>
                <c:pt idx="985">
                  <c:v>308000</c:v>
                </c:pt>
                <c:pt idx="986">
                  <c:v>#N/A</c:v>
                </c:pt>
                <c:pt idx="987">
                  <c:v>630000</c:v>
                </c:pt>
                <c:pt idx="988">
                  <c:v>#N/A</c:v>
                </c:pt>
                <c:pt idx="989">
                  <c:v>#N/A</c:v>
                </c:pt>
                <c:pt idx="990">
                  <c:v>685000</c:v>
                </c:pt>
                <c:pt idx="991">
                  <c:v>390000</c:v>
                </c:pt>
                <c:pt idx="992">
                  <c:v>#N/A</c:v>
                </c:pt>
                <c:pt idx="993">
                  <c:v>#N/A</c:v>
                </c:pt>
                <c:pt idx="994">
                  <c:v>923000</c:v>
                </c:pt>
                <c:pt idx="995">
                  <c:v>#N/A</c:v>
                </c:pt>
                <c:pt idx="996">
                  <c:v>483000</c:v>
                </c:pt>
                <c:pt idx="997">
                  <c:v>#N/A</c:v>
                </c:pt>
                <c:pt idx="998">
                  <c:v>#N/A</c:v>
                </c:pt>
                <c:pt idx="999">
                  <c:v>#N/A</c:v>
                </c:pt>
                <c:pt idx="1000">
                  <c:v>#N/A</c:v>
                </c:pt>
                <c:pt idx="1001">
                  <c:v>#N/A</c:v>
                </c:pt>
                <c:pt idx="1002">
                  <c:v>#N/A</c:v>
                </c:pt>
                <c:pt idx="1003">
                  <c:v>232000</c:v>
                </c:pt>
                <c:pt idx="1004">
                  <c:v>#N/A</c:v>
                </c:pt>
                <c:pt idx="1005">
                  <c:v>#N/A</c:v>
                </c:pt>
                <c:pt idx="1006">
                  <c:v>#N/A</c:v>
                </c:pt>
                <c:pt idx="1007">
                  <c:v>916000</c:v>
                </c:pt>
                <c:pt idx="1008">
                  <c:v>#N/A</c:v>
                </c:pt>
                <c:pt idx="1009">
                  <c:v>#N/A</c:v>
                </c:pt>
                <c:pt idx="1010">
                  <c:v>234000</c:v>
                </c:pt>
                <c:pt idx="1011">
                  <c:v>#N/A</c:v>
                </c:pt>
                <c:pt idx="1012">
                  <c:v>654000</c:v>
                </c:pt>
                <c:pt idx="1013">
                  <c:v>#N/A</c:v>
                </c:pt>
                <c:pt idx="1014">
                  <c:v>788000</c:v>
                </c:pt>
                <c:pt idx="1015">
                  <c:v>382000</c:v>
                </c:pt>
                <c:pt idx="1016">
                  <c:v>#N/A</c:v>
                </c:pt>
                <c:pt idx="1017">
                  <c:v>#N/A</c:v>
                </c:pt>
                <c:pt idx="1018">
                  <c:v>445000</c:v>
                </c:pt>
                <c:pt idx="1019">
                  <c:v>#N/A</c:v>
                </c:pt>
                <c:pt idx="1020">
                  <c:v>#N/A</c:v>
                </c:pt>
                <c:pt idx="1021">
                  <c:v>#N/A</c:v>
                </c:pt>
                <c:pt idx="1022">
                  <c:v>296000</c:v>
                </c:pt>
                <c:pt idx="1023">
                  <c:v>#N/A</c:v>
                </c:pt>
                <c:pt idx="1024">
                  <c:v>#N/A</c:v>
                </c:pt>
                <c:pt idx="1025">
                  <c:v>#N/A</c:v>
                </c:pt>
                <c:pt idx="1026">
                  <c:v>660000</c:v>
                </c:pt>
                <c:pt idx="1027">
                  <c:v>#N/A</c:v>
                </c:pt>
                <c:pt idx="1028">
                  <c:v>406000</c:v>
                </c:pt>
                <c:pt idx="1029">
                  <c:v>730000</c:v>
                </c:pt>
                <c:pt idx="1030">
                  <c:v>368000</c:v>
                </c:pt>
                <c:pt idx="1031">
                  <c:v>461000</c:v>
                </c:pt>
                <c:pt idx="1032">
                  <c:v>395000</c:v>
                </c:pt>
                <c:pt idx="1033">
                  <c:v>#N/A</c:v>
                </c:pt>
                <c:pt idx="1034">
                  <c:v>#N/A</c:v>
                </c:pt>
                <c:pt idx="1035">
                  <c:v>405000</c:v>
                </c:pt>
                <c:pt idx="1036">
                  <c:v>433000</c:v>
                </c:pt>
                <c:pt idx="1037">
                  <c:v>603000</c:v>
                </c:pt>
                <c:pt idx="1038">
                  <c:v>561000</c:v>
                </c:pt>
                <c:pt idx="1039">
                  <c:v>#N/A</c:v>
                </c:pt>
                <c:pt idx="1040">
                  <c:v>372000</c:v>
                </c:pt>
                <c:pt idx="1041">
                  <c:v>#N/A</c:v>
                </c:pt>
                <c:pt idx="1042">
                  <c:v>#N/A</c:v>
                </c:pt>
                <c:pt idx="1043">
                  <c:v>#N/A</c:v>
                </c:pt>
                <c:pt idx="1044">
                  <c:v>508000</c:v>
                </c:pt>
                <c:pt idx="1045">
                  <c:v>#N/A</c:v>
                </c:pt>
                <c:pt idx="1046">
                  <c:v>501000</c:v>
                </c:pt>
                <c:pt idx="1047">
                  <c:v>#N/A</c:v>
                </c:pt>
                <c:pt idx="1048">
                  <c:v>753000</c:v>
                </c:pt>
                <c:pt idx="1049">
                  <c:v>#N/A</c:v>
                </c:pt>
                <c:pt idx="1050">
                  <c:v>425000</c:v>
                </c:pt>
                <c:pt idx="1051">
                  <c:v>#N/A</c:v>
                </c:pt>
                <c:pt idx="1052">
                  <c:v>273000</c:v>
                </c:pt>
                <c:pt idx="1053">
                  <c:v>631000</c:v>
                </c:pt>
                <c:pt idx="1054">
                  <c:v>#N/A</c:v>
                </c:pt>
                <c:pt idx="1055">
                  <c:v>#N/A</c:v>
                </c:pt>
                <c:pt idx="1056">
                  <c:v>381000</c:v>
                </c:pt>
                <c:pt idx="1057">
                  <c:v>337000</c:v>
                </c:pt>
                <c:pt idx="1058">
                  <c:v>618000</c:v>
                </c:pt>
                <c:pt idx="1059">
                  <c:v>672000</c:v>
                </c:pt>
                <c:pt idx="1060">
                  <c:v>#N/A</c:v>
                </c:pt>
                <c:pt idx="1061">
                  <c:v>#N/A</c:v>
                </c:pt>
                <c:pt idx="1062">
                  <c:v>708000</c:v>
                </c:pt>
                <c:pt idx="1063">
                  <c:v>580000</c:v>
                </c:pt>
                <c:pt idx="1064">
                  <c:v>#N/A</c:v>
                </c:pt>
                <c:pt idx="1065">
                  <c:v>398000</c:v>
                </c:pt>
                <c:pt idx="1066">
                  <c:v>#N/A</c:v>
                </c:pt>
                <c:pt idx="1067">
                  <c:v>428000</c:v>
                </c:pt>
                <c:pt idx="1068">
                  <c:v>#N/A</c:v>
                </c:pt>
                <c:pt idx="1069">
                  <c:v>631000</c:v>
                </c:pt>
                <c:pt idx="1070">
                  <c:v>#N/A</c:v>
                </c:pt>
                <c:pt idx="1071">
                  <c:v>263000</c:v>
                </c:pt>
                <c:pt idx="1072">
                  <c:v>#N/A</c:v>
                </c:pt>
                <c:pt idx="1073">
                  <c:v>474000</c:v>
                </c:pt>
                <c:pt idx="1074">
                  <c:v>#N/A</c:v>
                </c:pt>
                <c:pt idx="1075">
                  <c:v>327000</c:v>
                </c:pt>
                <c:pt idx="1076">
                  <c:v>360000</c:v>
                </c:pt>
                <c:pt idx="1077">
                  <c:v>#N/A</c:v>
                </c:pt>
                <c:pt idx="1078">
                  <c:v>#N/A</c:v>
                </c:pt>
                <c:pt idx="1079">
                  <c:v>#N/A</c:v>
                </c:pt>
                <c:pt idx="1080">
                  <c:v>#N/A</c:v>
                </c:pt>
                <c:pt idx="1081">
                  <c:v>#N/A</c:v>
                </c:pt>
                <c:pt idx="1082">
                  <c:v>731000</c:v>
                </c:pt>
                <c:pt idx="1083">
                  <c:v>#N/A</c:v>
                </c:pt>
                <c:pt idx="1084">
                  <c:v>#N/A</c:v>
                </c:pt>
                <c:pt idx="1085">
                  <c:v>#N/A</c:v>
                </c:pt>
                <c:pt idx="1086">
                  <c:v>#N/A</c:v>
                </c:pt>
                <c:pt idx="1087">
                  <c:v>410000</c:v>
                </c:pt>
                <c:pt idx="1088">
                  <c:v>#N/A</c:v>
                </c:pt>
                <c:pt idx="1089">
                  <c:v>672000</c:v>
                </c:pt>
                <c:pt idx="1090">
                  <c:v>#N/A</c:v>
                </c:pt>
                <c:pt idx="1091">
                  <c:v>#N/A</c:v>
                </c:pt>
                <c:pt idx="1092">
                  <c:v>#N/A</c:v>
                </c:pt>
                <c:pt idx="1093">
                  <c:v>#N/A</c:v>
                </c:pt>
                <c:pt idx="1094">
                  <c:v>#N/A</c:v>
                </c:pt>
                <c:pt idx="1095">
                  <c:v>#N/A</c:v>
                </c:pt>
                <c:pt idx="1096">
                  <c:v>#N/A</c:v>
                </c:pt>
                <c:pt idx="1097">
                  <c:v>#N/A</c:v>
                </c:pt>
                <c:pt idx="1098">
                  <c:v>#N/A</c:v>
                </c:pt>
                <c:pt idx="1099">
                  <c:v>375000</c:v>
                </c:pt>
                <c:pt idx="1100">
                  <c:v>#N/A</c:v>
                </c:pt>
                <c:pt idx="1101">
                  <c:v>457000</c:v>
                </c:pt>
                <c:pt idx="1102">
                  <c:v>#N/A</c:v>
                </c:pt>
                <c:pt idx="1103">
                  <c:v>#N/A</c:v>
                </c:pt>
                <c:pt idx="1104">
                  <c:v>#N/A</c:v>
                </c:pt>
                <c:pt idx="1105">
                  <c:v>694000</c:v>
                </c:pt>
                <c:pt idx="1106">
                  <c:v>407000</c:v>
                </c:pt>
                <c:pt idx="1107">
                  <c:v>520000</c:v>
                </c:pt>
                <c:pt idx="1108">
                  <c:v>558000</c:v>
                </c:pt>
                <c:pt idx="1109">
                  <c:v>#N/A</c:v>
                </c:pt>
                <c:pt idx="1110">
                  <c:v>#N/A</c:v>
                </c:pt>
                <c:pt idx="1111">
                  <c:v>#N/A</c:v>
                </c:pt>
                <c:pt idx="1112">
                  <c:v>#N/A</c:v>
                </c:pt>
                <c:pt idx="1113">
                  <c:v>#N/A</c:v>
                </c:pt>
                <c:pt idx="1114">
                  <c:v>431000</c:v>
                </c:pt>
                <c:pt idx="1115">
                  <c:v>#N/A</c:v>
                </c:pt>
                <c:pt idx="1116">
                  <c:v>#N/A</c:v>
                </c:pt>
                <c:pt idx="1117">
                  <c:v>#N/A</c:v>
                </c:pt>
                <c:pt idx="1118">
                  <c:v>409000</c:v>
                </c:pt>
                <c:pt idx="1119">
                  <c:v>866000</c:v>
                </c:pt>
                <c:pt idx="1120">
                  <c:v>#N/A</c:v>
                </c:pt>
                <c:pt idx="1121">
                  <c:v>#N/A</c:v>
                </c:pt>
                <c:pt idx="1122">
                  <c:v>465000</c:v>
                </c:pt>
                <c:pt idx="1123">
                  <c:v>445000</c:v>
                </c:pt>
                <c:pt idx="1124">
                  <c:v>#N/A</c:v>
                </c:pt>
                <c:pt idx="1125">
                  <c:v>365000</c:v>
                </c:pt>
                <c:pt idx="1126">
                  <c:v>715000</c:v>
                </c:pt>
                <c:pt idx="1127">
                  <c:v>741000</c:v>
                </c:pt>
                <c:pt idx="1128">
                  <c:v>#N/A</c:v>
                </c:pt>
                <c:pt idx="1129">
                  <c:v>#N/A</c:v>
                </c:pt>
                <c:pt idx="1130">
                  <c:v>#N/A</c:v>
                </c:pt>
                <c:pt idx="1131">
                  <c:v>461000</c:v>
                </c:pt>
                <c:pt idx="1132">
                  <c:v>#N/A</c:v>
                </c:pt>
                <c:pt idx="1133">
                  <c:v>359000</c:v>
                </c:pt>
                <c:pt idx="1134">
                  <c:v>#N/A</c:v>
                </c:pt>
                <c:pt idx="1135">
                  <c:v>#N/A</c:v>
                </c:pt>
                <c:pt idx="1136">
                  <c:v>#N/A</c:v>
                </c:pt>
                <c:pt idx="1137">
                  <c:v>#N/A</c:v>
                </c:pt>
                <c:pt idx="1138">
                  <c:v>#N/A</c:v>
                </c:pt>
                <c:pt idx="1139">
                  <c:v>356000</c:v>
                </c:pt>
                <c:pt idx="1140">
                  <c:v>486000</c:v>
                </c:pt>
                <c:pt idx="1141">
                  <c:v>613000</c:v>
                </c:pt>
                <c:pt idx="1142">
                  <c:v>#N/A</c:v>
                </c:pt>
                <c:pt idx="1143">
                  <c:v>#N/A</c:v>
                </c:pt>
                <c:pt idx="1144">
                  <c:v>#N/A</c:v>
                </c:pt>
                <c:pt idx="1145">
                  <c:v>#N/A</c:v>
                </c:pt>
                <c:pt idx="1146">
                  <c:v>442000</c:v>
                </c:pt>
                <c:pt idx="1147">
                  <c:v>514000</c:v>
                </c:pt>
                <c:pt idx="1148">
                  <c:v>#N/A</c:v>
                </c:pt>
                <c:pt idx="1149">
                  <c:v>#N/A</c:v>
                </c:pt>
                <c:pt idx="1150">
                  <c:v>#N/A</c:v>
                </c:pt>
                <c:pt idx="1151">
                  <c:v>#N/A</c:v>
                </c:pt>
                <c:pt idx="1152">
                  <c:v>#N/A</c:v>
                </c:pt>
                <c:pt idx="1153">
                  <c:v>#N/A</c:v>
                </c:pt>
                <c:pt idx="1154">
                  <c:v>#N/A</c:v>
                </c:pt>
                <c:pt idx="1155">
                  <c:v>#N/A</c:v>
                </c:pt>
                <c:pt idx="1156">
                  <c:v>#N/A</c:v>
                </c:pt>
                <c:pt idx="1157">
                  <c:v>#N/A</c:v>
                </c:pt>
                <c:pt idx="1158">
                  <c:v>#N/A</c:v>
                </c:pt>
                <c:pt idx="1159">
                  <c:v>423000</c:v>
                </c:pt>
                <c:pt idx="1160">
                  <c:v>335000</c:v>
                </c:pt>
                <c:pt idx="1161">
                  <c:v>#N/A</c:v>
                </c:pt>
                <c:pt idx="1162">
                  <c:v>#N/A</c:v>
                </c:pt>
                <c:pt idx="1163">
                  <c:v>579000</c:v>
                </c:pt>
                <c:pt idx="1164">
                  <c:v>#N/A</c:v>
                </c:pt>
                <c:pt idx="1165">
                  <c:v>#N/A</c:v>
                </c:pt>
                <c:pt idx="1166">
                  <c:v>425000</c:v>
                </c:pt>
                <c:pt idx="1167">
                  <c:v>#N/A</c:v>
                </c:pt>
                <c:pt idx="1168">
                  <c:v>460000</c:v>
                </c:pt>
                <c:pt idx="1169">
                  <c:v>351000</c:v>
                </c:pt>
                <c:pt idx="1170">
                  <c:v>549000</c:v>
                </c:pt>
                <c:pt idx="1171">
                  <c:v>#N/A</c:v>
                </c:pt>
                <c:pt idx="1172">
                  <c:v>457000</c:v>
                </c:pt>
                <c:pt idx="1173">
                  <c:v>#N/A</c:v>
                </c:pt>
                <c:pt idx="1174">
                  <c:v>498000</c:v>
                </c:pt>
                <c:pt idx="1175">
                  <c:v>811000</c:v>
                </c:pt>
                <c:pt idx="1176">
                  <c:v>#N/A</c:v>
                </c:pt>
                <c:pt idx="1177">
                  <c:v>#N/A</c:v>
                </c:pt>
                <c:pt idx="1178">
                  <c:v>#N/A</c:v>
                </c:pt>
                <c:pt idx="1179">
                  <c:v>#N/A</c:v>
                </c:pt>
                <c:pt idx="1180">
                  <c:v>623000</c:v>
                </c:pt>
                <c:pt idx="1181">
                  <c:v>541000</c:v>
                </c:pt>
                <c:pt idx="1182">
                  <c:v>454000</c:v>
                </c:pt>
                <c:pt idx="1183">
                  <c:v>361000</c:v>
                </c:pt>
                <c:pt idx="1184">
                  <c:v>#N/A</c:v>
                </c:pt>
                <c:pt idx="1185">
                  <c:v>#N/A</c:v>
                </c:pt>
                <c:pt idx="1186">
                  <c:v>#N/A</c:v>
                </c:pt>
                <c:pt idx="1187">
                  <c:v>#N/A</c:v>
                </c:pt>
                <c:pt idx="1188">
                  <c:v>#N/A</c:v>
                </c:pt>
                <c:pt idx="1189">
                  <c:v>#N/A</c:v>
                </c:pt>
                <c:pt idx="1190">
                  <c:v>344000</c:v>
                </c:pt>
                <c:pt idx="1191">
                  <c:v>#N/A</c:v>
                </c:pt>
                <c:pt idx="1192">
                  <c:v>#N/A</c:v>
                </c:pt>
                <c:pt idx="1193">
                  <c:v>#N/A</c:v>
                </c:pt>
                <c:pt idx="1194">
                  <c:v>#N/A</c:v>
                </c:pt>
                <c:pt idx="1195">
                  <c:v>437000</c:v>
                </c:pt>
                <c:pt idx="1196">
                  <c:v>#N/A</c:v>
                </c:pt>
                <c:pt idx="1197">
                  <c:v>#N/A</c:v>
                </c:pt>
                <c:pt idx="1198">
                  <c:v>405000</c:v>
                </c:pt>
                <c:pt idx="1199">
                  <c:v>#N/A</c:v>
                </c:pt>
                <c:pt idx="1200">
                  <c:v>#N/A</c:v>
                </c:pt>
              </c:numCache>
            </c:numRef>
          </c:yVal>
          <c:smooth val="0"/>
          <c:extLst>
            <c:ext xmlns:c16="http://schemas.microsoft.com/office/drawing/2014/chart" uri="{C3380CC4-5D6E-409C-BE32-E72D297353CC}">
              <c16:uniqueId val="{00000002-E629-E440-B215-18940960DC09}"/>
            </c:ext>
          </c:extLst>
        </c:ser>
        <c:ser>
          <c:idx val="2"/>
          <c:order val="2"/>
          <c:tx>
            <c:v>Duplex</c:v>
          </c:tx>
          <c:spPr>
            <a:ln w="25400" cap="rnd">
              <a:noFill/>
              <a:round/>
            </a:ln>
            <a:effectLst/>
          </c:spPr>
          <c:marker>
            <c:symbol val="circle"/>
            <c:size val="5"/>
            <c:spPr>
              <a:solidFill>
                <a:schemeClr val="accent3"/>
              </a:solidFill>
              <a:ln w="9525">
                <a:solidFill>
                  <a:schemeClr val="accent3"/>
                </a:solidFill>
              </a:ln>
              <a:effectLst/>
            </c:spPr>
          </c:marker>
          <c:xVal>
            <c:strRef>
              <c:f>riyadh_realestate_dataset!$U:$U</c:f>
              <c:strCache>
                <c:ptCount val="1201"/>
                <c:pt idx="0">
                  <c:v>duplex_area</c:v>
                </c:pt>
                <c:pt idx="1">
                  <c:v>#N/A</c:v>
                </c:pt>
                <c:pt idx="2">
                  <c:v>#N/A</c:v>
                </c:pt>
                <c:pt idx="3">
                  <c:v>268</c:v>
                </c:pt>
                <c:pt idx="4">
                  <c:v>#N/A</c:v>
                </c:pt>
                <c:pt idx="5">
                  <c:v>#N/A</c:v>
                </c:pt>
                <c:pt idx="6">
                  <c:v>#N/A</c:v>
                </c:pt>
                <c:pt idx="7">
                  <c:v>#N/A</c:v>
                </c:pt>
                <c:pt idx="8">
                  <c:v>#N/A</c:v>
                </c:pt>
                <c:pt idx="9">
                  <c:v>#N/A</c:v>
                </c:pt>
                <c:pt idx="10">
                  <c:v>184</c:v>
                </c:pt>
                <c:pt idx="11">
                  <c:v>229</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256</c:v>
                </c:pt>
                <c:pt idx="40">
                  <c:v>271</c:v>
                </c:pt>
                <c:pt idx="41">
                  <c:v>#N/A</c:v>
                </c:pt>
                <c:pt idx="42">
                  <c:v>348</c:v>
                </c:pt>
                <c:pt idx="43">
                  <c:v>#N/A</c:v>
                </c:pt>
                <c:pt idx="44">
                  <c:v>#N/A</c:v>
                </c:pt>
                <c:pt idx="45">
                  <c:v>#N/A</c:v>
                </c:pt>
                <c:pt idx="46">
                  <c:v>#N/A</c:v>
                </c:pt>
                <c:pt idx="47">
                  <c:v>#N/A</c:v>
                </c:pt>
                <c:pt idx="48">
                  <c:v>265</c:v>
                </c:pt>
                <c:pt idx="49">
                  <c:v>#N/A</c:v>
                </c:pt>
                <c:pt idx="50">
                  <c:v>#N/A</c:v>
                </c:pt>
                <c:pt idx="51">
                  <c:v>#N/A</c:v>
                </c:pt>
                <c:pt idx="52">
                  <c:v>255</c:v>
                </c:pt>
                <c:pt idx="53">
                  <c:v>#N/A</c:v>
                </c:pt>
                <c:pt idx="54">
                  <c:v>#N/A</c:v>
                </c:pt>
                <c:pt idx="55">
                  <c:v>285</c:v>
                </c:pt>
                <c:pt idx="56">
                  <c:v>#N/A</c:v>
                </c:pt>
                <c:pt idx="57">
                  <c:v>#N/A</c:v>
                </c:pt>
                <c:pt idx="58">
                  <c:v>#N/A</c:v>
                </c:pt>
                <c:pt idx="59">
                  <c:v>#N/A</c:v>
                </c:pt>
                <c:pt idx="60">
                  <c:v>#N/A</c:v>
                </c:pt>
                <c:pt idx="61">
                  <c:v>#N/A</c:v>
                </c:pt>
                <c:pt idx="62">
                  <c:v>#N/A</c:v>
                </c:pt>
                <c:pt idx="63">
                  <c:v>#N/A</c:v>
                </c:pt>
                <c:pt idx="64">
                  <c:v>#N/A</c:v>
                </c:pt>
                <c:pt idx="65">
                  <c:v>#N/A</c:v>
                </c:pt>
                <c:pt idx="66">
                  <c:v>#N/A</c:v>
                </c:pt>
                <c:pt idx="67">
                  <c:v>184</c:v>
                </c:pt>
                <c:pt idx="68">
                  <c:v>#N/A</c:v>
                </c:pt>
                <c:pt idx="69">
                  <c:v>#N/A</c:v>
                </c:pt>
                <c:pt idx="70">
                  <c:v>#N/A</c:v>
                </c:pt>
                <c:pt idx="71">
                  <c:v>#N/A</c:v>
                </c:pt>
                <c:pt idx="72">
                  <c:v>295</c:v>
                </c:pt>
                <c:pt idx="73">
                  <c:v>#N/A</c:v>
                </c:pt>
                <c:pt idx="74">
                  <c:v>#N/A</c:v>
                </c:pt>
                <c:pt idx="75">
                  <c:v>#N/A</c:v>
                </c:pt>
                <c:pt idx="76">
                  <c:v>#N/A</c:v>
                </c:pt>
                <c:pt idx="77">
                  <c:v>230</c:v>
                </c:pt>
                <c:pt idx="78">
                  <c:v>#N/A</c:v>
                </c:pt>
                <c:pt idx="79">
                  <c:v>#N/A</c:v>
                </c:pt>
                <c:pt idx="80">
                  <c:v>#N/A</c:v>
                </c:pt>
                <c:pt idx="81">
                  <c:v>#N/A</c:v>
                </c:pt>
                <c:pt idx="82">
                  <c:v>#N/A</c:v>
                </c:pt>
                <c:pt idx="83">
                  <c:v>#N/A</c:v>
                </c:pt>
                <c:pt idx="84">
                  <c:v>#N/A</c:v>
                </c:pt>
                <c:pt idx="85">
                  <c:v>#N/A</c:v>
                </c:pt>
                <c:pt idx="86">
                  <c:v>218</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319</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238</c:v>
                </c:pt>
                <c:pt idx="118">
                  <c:v>#N/A</c:v>
                </c:pt>
                <c:pt idx="119">
                  <c:v>291</c:v>
                </c:pt>
                <c:pt idx="120">
                  <c:v>#N/A</c:v>
                </c:pt>
                <c:pt idx="121">
                  <c:v>#N/A</c:v>
                </c:pt>
                <c:pt idx="122">
                  <c:v>#N/A</c:v>
                </c:pt>
                <c:pt idx="123">
                  <c:v>#N/A</c:v>
                </c:pt>
                <c:pt idx="124">
                  <c:v>#N/A</c:v>
                </c:pt>
                <c:pt idx="125">
                  <c:v>334</c:v>
                </c:pt>
                <c:pt idx="126">
                  <c:v>#N/A</c:v>
                </c:pt>
                <c:pt idx="127">
                  <c:v>#N/A</c:v>
                </c:pt>
                <c:pt idx="128">
                  <c:v>306</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282</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302</c:v>
                </c:pt>
                <c:pt idx="158">
                  <c:v>#N/A</c:v>
                </c:pt>
                <c:pt idx="159">
                  <c:v>118</c:v>
                </c:pt>
                <c:pt idx="160">
                  <c:v>#N/A</c:v>
                </c:pt>
                <c:pt idx="161">
                  <c:v>#N/A</c:v>
                </c:pt>
                <c:pt idx="162">
                  <c:v>#N/A</c:v>
                </c:pt>
                <c:pt idx="163">
                  <c:v>352</c:v>
                </c:pt>
                <c:pt idx="164">
                  <c:v>#N/A</c:v>
                </c:pt>
                <c:pt idx="165">
                  <c:v>#N/A</c:v>
                </c:pt>
                <c:pt idx="166">
                  <c:v>#N/A</c:v>
                </c:pt>
                <c:pt idx="167">
                  <c:v>#N/A</c:v>
                </c:pt>
                <c:pt idx="168">
                  <c:v>#N/A</c:v>
                </c:pt>
                <c:pt idx="169">
                  <c:v>#N/A</c:v>
                </c:pt>
                <c:pt idx="170">
                  <c:v>#N/A</c:v>
                </c:pt>
                <c:pt idx="171">
                  <c:v>#N/A</c:v>
                </c:pt>
                <c:pt idx="172">
                  <c:v>309</c:v>
                </c:pt>
                <c:pt idx="173">
                  <c:v>#N/A</c:v>
                </c:pt>
                <c:pt idx="174">
                  <c:v>249</c:v>
                </c:pt>
                <c:pt idx="175">
                  <c:v>251</c:v>
                </c:pt>
                <c:pt idx="176">
                  <c:v>#N/A</c:v>
                </c:pt>
                <c:pt idx="177">
                  <c:v>325</c:v>
                </c:pt>
                <c:pt idx="178">
                  <c:v>#N/A</c:v>
                </c:pt>
                <c:pt idx="179">
                  <c:v>#N/A</c:v>
                </c:pt>
                <c:pt idx="180">
                  <c:v>252</c:v>
                </c:pt>
                <c:pt idx="181">
                  <c:v>#N/A</c:v>
                </c:pt>
                <c:pt idx="182">
                  <c:v>#N/A</c:v>
                </c:pt>
                <c:pt idx="183">
                  <c:v>307</c:v>
                </c:pt>
                <c:pt idx="184">
                  <c:v>270</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273</c:v>
                </c:pt>
                <c:pt idx="199">
                  <c:v>#N/A</c:v>
                </c:pt>
                <c:pt idx="200">
                  <c:v>#N/A</c:v>
                </c:pt>
                <c:pt idx="201">
                  <c:v>#N/A</c:v>
                </c:pt>
                <c:pt idx="202">
                  <c:v>255</c:v>
                </c:pt>
                <c:pt idx="203">
                  <c:v>#N/A</c:v>
                </c:pt>
                <c:pt idx="204">
                  <c:v>#N/A</c:v>
                </c:pt>
                <c:pt idx="205">
                  <c:v>#N/A</c:v>
                </c:pt>
                <c:pt idx="206">
                  <c:v>210</c:v>
                </c:pt>
                <c:pt idx="207">
                  <c:v>#N/A</c:v>
                </c:pt>
                <c:pt idx="208">
                  <c:v>269</c:v>
                </c:pt>
                <c:pt idx="209">
                  <c:v>#N/A</c:v>
                </c:pt>
                <c:pt idx="210">
                  <c:v>#N/A</c:v>
                </c:pt>
                <c:pt idx="211">
                  <c:v>#N/A</c:v>
                </c:pt>
                <c:pt idx="212">
                  <c:v>#N/A</c:v>
                </c:pt>
                <c:pt idx="213">
                  <c:v>#N/A</c:v>
                </c:pt>
                <c:pt idx="214">
                  <c:v>239</c:v>
                </c:pt>
                <c:pt idx="215">
                  <c:v>#N/A</c:v>
                </c:pt>
                <c:pt idx="216">
                  <c:v>#N/A</c:v>
                </c:pt>
                <c:pt idx="217">
                  <c:v>#N/A</c:v>
                </c:pt>
                <c:pt idx="218">
                  <c:v>#N/A</c:v>
                </c:pt>
                <c:pt idx="219">
                  <c:v>#N/A</c:v>
                </c:pt>
                <c:pt idx="220">
                  <c:v>#N/A</c:v>
                </c:pt>
                <c:pt idx="221">
                  <c:v>388</c:v>
                </c:pt>
                <c:pt idx="222">
                  <c:v>#N/A</c:v>
                </c:pt>
                <c:pt idx="223">
                  <c:v>#N/A</c:v>
                </c:pt>
                <c:pt idx="224">
                  <c:v>#N/A</c:v>
                </c:pt>
                <c:pt idx="225">
                  <c:v>#N/A</c:v>
                </c:pt>
                <c:pt idx="226">
                  <c:v>254</c:v>
                </c:pt>
                <c:pt idx="227">
                  <c:v>#N/A</c:v>
                </c:pt>
                <c:pt idx="228">
                  <c:v>#N/A</c:v>
                </c:pt>
                <c:pt idx="229">
                  <c:v>#N/A</c:v>
                </c:pt>
                <c:pt idx="230">
                  <c:v>#N/A</c:v>
                </c:pt>
                <c:pt idx="231">
                  <c:v>214</c:v>
                </c:pt>
                <c:pt idx="232">
                  <c:v>#N/A</c:v>
                </c:pt>
                <c:pt idx="233">
                  <c:v>#N/A</c:v>
                </c:pt>
                <c:pt idx="234">
                  <c:v>#N/A</c:v>
                </c:pt>
                <c:pt idx="235">
                  <c:v>#N/A</c:v>
                </c:pt>
                <c:pt idx="236">
                  <c:v>#N/A</c:v>
                </c:pt>
                <c:pt idx="237">
                  <c:v>274</c:v>
                </c:pt>
                <c:pt idx="238">
                  <c:v>#N/A</c:v>
                </c:pt>
                <c:pt idx="239">
                  <c:v>#N/A</c:v>
                </c:pt>
                <c:pt idx="240">
                  <c:v>#N/A</c:v>
                </c:pt>
                <c:pt idx="241">
                  <c:v>#N/A</c:v>
                </c:pt>
                <c:pt idx="242">
                  <c:v>#N/A</c:v>
                </c:pt>
                <c:pt idx="243">
                  <c:v>#N/A</c:v>
                </c:pt>
                <c:pt idx="244">
                  <c:v>#N/A</c:v>
                </c:pt>
                <c:pt idx="245">
                  <c:v>#N/A</c:v>
                </c:pt>
                <c:pt idx="246">
                  <c:v>344</c:v>
                </c:pt>
                <c:pt idx="247">
                  <c:v>#N/A</c:v>
                </c:pt>
                <c:pt idx="248">
                  <c:v>#N/A</c:v>
                </c:pt>
                <c:pt idx="249">
                  <c:v>383</c:v>
                </c:pt>
                <c:pt idx="250">
                  <c:v>#N/A</c:v>
                </c:pt>
                <c:pt idx="251">
                  <c:v>#N/A</c:v>
                </c:pt>
                <c:pt idx="252">
                  <c:v>#N/A</c:v>
                </c:pt>
                <c:pt idx="253">
                  <c:v>#N/A</c:v>
                </c:pt>
                <c:pt idx="254">
                  <c:v>#N/A</c:v>
                </c:pt>
                <c:pt idx="255">
                  <c:v>#N/A</c:v>
                </c:pt>
                <c:pt idx="256">
                  <c:v>#N/A</c:v>
                </c:pt>
                <c:pt idx="257">
                  <c:v>#N/A</c:v>
                </c:pt>
                <c:pt idx="258">
                  <c:v>#N/A</c:v>
                </c:pt>
                <c:pt idx="259">
                  <c:v>195</c:v>
                </c:pt>
                <c:pt idx="260">
                  <c:v>#N/A</c:v>
                </c:pt>
                <c:pt idx="261">
                  <c:v>#N/A</c:v>
                </c:pt>
                <c:pt idx="262">
                  <c:v>#N/A</c:v>
                </c:pt>
                <c:pt idx="263">
                  <c:v>#N/A</c:v>
                </c:pt>
                <c:pt idx="264">
                  <c:v>#N/A</c:v>
                </c:pt>
                <c:pt idx="265">
                  <c:v>#N/A</c:v>
                </c:pt>
                <c:pt idx="266">
                  <c:v>#N/A</c:v>
                </c:pt>
                <c:pt idx="267">
                  <c:v>253</c:v>
                </c:pt>
                <c:pt idx="268">
                  <c:v>#N/A</c:v>
                </c:pt>
                <c:pt idx="269">
                  <c:v>275</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242</c:v>
                </c:pt>
                <c:pt idx="286">
                  <c:v>#N/A</c:v>
                </c:pt>
                <c:pt idx="287">
                  <c:v>#N/A</c:v>
                </c:pt>
                <c:pt idx="288">
                  <c:v>226</c:v>
                </c:pt>
                <c:pt idx="289">
                  <c:v>#N/A</c:v>
                </c:pt>
                <c:pt idx="290">
                  <c:v>#N/A</c:v>
                </c:pt>
                <c:pt idx="291">
                  <c:v>#N/A</c:v>
                </c:pt>
                <c:pt idx="292">
                  <c:v>#N/A</c:v>
                </c:pt>
                <c:pt idx="293">
                  <c:v>#N/A</c:v>
                </c:pt>
                <c:pt idx="294">
                  <c:v>#N/A</c:v>
                </c:pt>
                <c:pt idx="295">
                  <c:v>#N/A</c:v>
                </c:pt>
                <c:pt idx="296">
                  <c:v>#N/A</c:v>
                </c:pt>
                <c:pt idx="297">
                  <c:v>#N/A</c:v>
                </c:pt>
                <c:pt idx="298">
                  <c:v>308</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199</c:v>
                </c:pt>
                <c:pt idx="312">
                  <c:v>#N/A</c:v>
                </c:pt>
                <c:pt idx="313">
                  <c:v>#N/A</c:v>
                </c:pt>
                <c:pt idx="314">
                  <c:v>197</c:v>
                </c:pt>
                <c:pt idx="315">
                  <c:v>#N/A</c:v>
                </c:pt>
                <c:pt idx="316">
                  <c:v>282</c:v>
                </c:pt>
                <c:pt idx="317">
                  <c:v>#N/A</c:v>
                </c:pt>
                <c:pt idx="318">
                  <c:v>#N/A</c:v>
                </c:pt>
                <c:pt idx="319">
                  <c:v>#N/A</c:v>
                </c:pt>
                <c:pt idx="320">
                  <c:v>#N/A</c:v>
                </c:pt>
                <c:pt idx="321">
                  <c:v>#N/A</c:v>
                </c:pt>
                <c:pt idx="322">
                  <c:v>#N/A</c:v>
                </c:pt>
                <c:pt idx="323">
                  <c:v>#N/A</c:v>
                </c:pt>
                <c:pt idx="324">
                  <c:v>#N/A</c:v>
                </c:pt>
                <c:pt idx="325">
                  <c:v>284</c:v>
                </c:pt>
                <c:pt idx="326">
                  <c:v>272</c:v>
                </c:pt>
                <c:pt idx="327">
                  <c:v>#N/A</c:v>
                </c:pt>
                <c:pt idx="328">
                  <c:v>#N/A</c:v>
                </c:pt>
                <c:pt idx="329">
                  <c:v>300</c:v>
                </c:pt>
                <c:pt idx="330">
                  <c:v>#N/A</c:v>
                </c:pt>
                <c:pt idx="331">
                  <c:v>#N/A</c:v>
                </c:pt>
                <c:pt idx="332">
                  <c:v>#N/A</c:v>
                </c:pt>
                <c:pt idx="333">
                  <c:v>178</c:v>
                </c:pt>
                <c:pt idx="334">
                  <c:v>#N/A</c:v>
                </c:pt>
                <c:pt idx="335">
                  <c:v>281</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267</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274</c:v>
                </c:pt>
                <c:pt idx="367">
                  <c:v>#N/A</c:v>
                </c:pt>
                <c:pt idx="368">
                  <c:v>#N/A</c:v>
                </c:pt>
                <c:pt idx="369">
                  <c:v>#N/A</c:v>
                </c:pt>
                <c:pt idx="370">
                  <c:v>#N/A</c:v>
                </c:pt>
                <c:pt idx="371">
                  <c:v>#N/A</c:v>
                </c:pt>
                <c:pt idx="372">
                  <c:v>#N/A</c:v>
                </c:pt>
                <c:pt idx="373">
                  <c:v>216</c:v>
                </c:pt>
                <c:pt idx="374">
                  <c:v>#N/A</c:v>
                </c:pt>
                <c:pt idx="375">
                  <c:v>#N/A</c:v>
                </c:pt>
                <c:pt idx="376">
                  <c:v>#N/A</c:v>
                </c:pt>
                <c:pt idx="377">
                  <c:v>#N/A</c:v>
                </c:pt>
                <c:pt idx="378">
                  <c:v>#N/A</c:v>
                </c:pt>
                <c:pt idx="379">
                  <c:v>#N/A</c:v>
                </c:pt>
                <c:pt idx="380">
                  <c:v>#N/A</c:v>
                </c:pt>
                <c:pt idx="381">
                  <c:v>#N/A</c:v>
                </c:pt>
                <c:pt idx="382">
                  <c:v>#N/A</c:v>
                </c:pt>
                <c:pt idx="383">
                  <c:v>#N/A</c:v>
                </c:pt>
                <c:pt idx="384">
                  <c:v>283</c:v>
                </c:pt>
                <c:pt idx="385">
                  <c:v>#N/A</c:v>
                </c:pt>
                <c:pt idx="386">
                  <c:v>273</c:v>
                </c:pt>
                <c:pt idx="387">
                  <c:v>#N/A</c:v>
                </c:pt>
                <c:pt idx="388">
                  <c:v>#N/A</c:v>
                </c:pt>
                <c:pt idx="389">
                  <c:v>#N/A</c:v>
                </c:pt>
                <c:pt idx="390">
                  <c:v>#N/A</c:v>
                </c:pt>
                <c:pt idx="391">
                  <c:v>#N/A</c:v>
                </c:pt>
                <c:pt idx="392">
                  <c:v>#N/A</c:v>
                </c:pt>
                <c:pt idx="393">
                  <c:v>#N/A</c:v>
                </c:pt>
                <c:pt idx="394">
                  <c:v>#N/A</c:v>
                </c:pt>
                <c:pt idx="395">
                  <c:v>#N/A</c:v>
                </c:pt>
                <c:pt idx="396">
                  <c:v>344</c:v>
                </c:pt>
                <c:pt idx="397">
                  <c:v>#N/A</c:v>
                </c:pt>
                <c:pt idx="398">
                  <c:v>#N/A</c:v>
                </c:pt>
                <c:pt idx="399">
                  <c:v>#N/A</c:v>
                </c:pt>
                <c:pt idx="400">
                  <c:v>304</c:v>
                </c:pt>
                <c:pt idx="401">
                  <c:v>#N/A</c:v>
                </c:pt>
                <c:pt idx="402">
                  <c:v>#N/A</c:v>
                </c:pt>
                <c:pt idx="403">
                  <c:v>#N/A</c:v>
                </c:pt>
                <c:pt idx="404">
                  <c:v>#N/A</c:v>
                </c:pt>
                <c:pt idx="405">
                  <c:v>#N/A</c:v>
                </c:pt>
                <c:pt idx="406">
                  <c:v>#N/A</c:v>
                </c:pt>
                <c:pt idx="407">
                  <c:v>#N/A</c:v>
                </c:pt>
                <c:pt idx="408">
                  <c:v>#N/A</c:v>
                </c:pt>
                <c:pt idx="409">
                  <c:v>#N/A</c:v>
                </c:pt>
                <c:pt idx="410">
                  <c:v>#N/A</c:v>
                </c:pt>
                <c:pt idx="411">
                  <c:v>202</c:v>
                </c:pt>
                <c:pt idx="412">
                  <c:v>310</c:v>
                </c:pt>
                <c:pt idx="413">
                  <c:v>176</c:v>
                </c:pt>
                <c:pt idx="414">
                  <c:v>#N/A</c:v>
                </c:pt>
                <c:pt idx="415">
                  <c:v>#N/A</c:v>
                </c:pt>
                <c:pt idx="416">
                  <c:v>#N/A</c:v>
                </c:pt>
                <c:pt idx="417">
                  <c:v>#N/A</c:v>
                </c:pt>
                <c:pt idx="418">
                  <c:v>288</c:v>
                </c:pt>
                <c:pt idx="419">
                  <c:v>#N/A</c:v>
                </c:pt>
                <c:pt idx="420">
                  <c:v>#N/A</c:v>
                </c:pt>
                <c:pt idx="421">
                  <c:v>289</c:v>
                </c:pt>
                <c:pt idx="422">
                  <c:v>#N/A</c:v>
                </c:pt>
                <c:pt idx="423">
                  <c:v>#N/A</c:v>
                </c:pt>
                <c:pt idx="424">
                  <c:v>#N/A</c:v>
                </c:pt>
                <c:pt idx="425">
                  <c:v>#N/A</c:v>
                </c:pt>
                <c:pt idx="426">
                  <c:v>#N/A</c:v>
                </c:pt>
                <c:pt idx="427">
                  <c:v>#N/A</c:v>
                </c:pt>
                <c:pt idx="428">
                  <c:v>#N/A</c:v>
                </c:pt>
                <c:pt idx="429">
                  <c:v>#N/A</c:v>
                </c:pt>
                <c:pt idx="430">
                  <c:v>329</c:v>
                </c:pt>
                <c:pt idx="431">
                  <c:v>#N/A</c:v>
                </c:pt>
                <c:pt idx="432">
                  <c:v>#N/A</c:v>
                </c:pt>
                <c:pt idx="433">
                  <c:v>#N/A</c:v>
                </c:pt>
                <c:pt idx="434">
                  <c:v>#N/A</c:v>
                </c:pt>
                <c:pt idx="435">
                  <c:v>249</c:v>
                </c:pt>
                <c:pt idx="436">
                  <c:v>#N/A</c:v>
                </c:pt>
                <c:pt idx="437">
                  <c:v>#N/A</c:v>
                </c:pt>
                <c:pt idx="438">
                  <c:v>#N/A</c:v>
                </c:pt>
                <c:pt idx="439">
                  <c:v>305</c:v>
                </c:pt>
                <c:pt idx="440">
                  <c:v>#N/A</c:v>
                </c:pt>
                <c:pt idx="441">
                  <c:v>#N/A</c:v>
                </c:pt>
                <c:pt idx="442">
                  <c:v>#N/A</c:v>
                </c:pt>
                <c:pt idx="443">
                  <c:v>#N/A</c:v>
                </c:pt>
                <c:pt idx="444">
                  <c:v>#N/A</c:v>
                </c:pt>
                <c:pt idx="445">
                  <c:v>#N/A</c:v>
                </c:pt>
                <c:pt idx="446">
                  <c:v>#N/A</c:v>
                </c:pt>
                <c:pt idx="447">
                  <c:v>#N/A</c:v>
                </c:pt>
                <c:pt idx="448">
                  <c:v>252</c:v>
                </c:pt>
                <c:pt idx="449">
                  <c:v>#N/A</c:v>
                </c:pt>
                <c:pt idx="450">
                  <c:v>201</c:v>
                </c:pt>
                <c:pt idx="451">
                  <c:v>276</c:v>
                </c:pt>
                <c:pt idx="452">
                  <c:v>#N/A</c:v>
                </c:pt>
                <c:pt idx="453">
                  <c:v>#N/A</c:v>
                </c:pt>
                <c:pt idx="454">
                  <c:v>#N/A</c:v>
                </c:pt>
                <c:pt idx="455">
                  <c:v>#N/A</c:v>
                </c:pt>
                <c:pt idx="456">
                  <c:v>#N/A</c:v>
                </c:pt>
                <c:pt idx="457">
                  <c:v>#N/A</c:v>
                </c:pt>
                <c:pt idx="458">
                  <c:v>290</c:v>
                </c:pt>
                <c:pt idx="459">
                  <c:v>226</c:v>
                </c:pt>
                <c:pt idx="460">
                  <c:v>#N/A</c:v>
                </c:pt>
                <c:pt idx="461">
                  <c:v>278</c:v>
                </c:pt>
                <c:pt idx="462">
                  <c:v>#N/A</c:v>
                </c:pt>
                <c:pt idx="463">
                  <c:v>#N/A</c:v>
                </c:pt>
                <c:pt idx="464">
                  <c:v>#N/A</c:v>
                </c:pt>
                <c:pt idx="465">
                  <c:v>258</c:v>
                </c:pt>
                <c:pt idx="466">
                  <c:v>#N/A</c:v>
                </c:pt>
                <c:pt idx="467">
                  <c:v>#N/A</c:v>
                </c:pt>
                <c:pt idx="468">
                  <c:v>#N/A</c:v>
                </c:pt>
                <c:pt idx="469">
                  <c:v>#N/A</c:v>
                </c:pt>
                <c:pt idx="470">
                  <c:v>#N/A</c:v>
                </c:pt>
                <c:pt idx="471">
                  <c:v>293</c:v>
                </c:pt>
                <c:pt idx="472">
                  <c:v>#N/A</c:v>
                </c:pt>
                <c:pt idx="473">
                  <c:v>#N/A</c:v>
                </c:pt>
                <c:pt idx="474">
                  <c:v>#N/A</c:v>
                </c:pt>
                <c:pt idx="475">
                  <c:v>#N/A</c:v>
                </c:pt>
                <c:pt idx="476">
                  <c:v>#N/A</c:v>
                </c:pt>
                <c:pt idx="477">
                  <c:v>#N/A</c:v>
                </c:pt>
                <c:pt idx="478">
                  <c:v>#N/A</c:v>
                </c:pt>
                <c:pt idx="479">
                  <c:v>259</c:v>
                </c:pt>
                <c:pt idx="480">
                  <c:v>#N/A</c:v>
                </c:pt>
                <c:pt idx="481">
                  <c:v>#N/A</c:v>
                </c:pt>
                <c:pt idx="482">
                  <c:v>242</c:v>
                </c:pt>
                <c:pt idx="483">
                  <c:v>#N/A</c:v>
                </c:pt>
                <c:pt idx="484">
                  <c:v>#N/A</c:v>
                </c:pt>
                <c:pt idx="485">
                  <c:v>#N/A</c:v>
                </c:pt>
                <c:pt idx="486">
                  <c:v>#N/A</c:v>
                </c:pt>
                <c:pt idx="487">
                  <c:v>#N/A</c:v>
                </c:pt>
                <c:pt idx="488">
                  <c:v>#N/A</c:v>
                </c:pt>
                <c:pt idx="489">
                  <c:v>#N/A</c:v>
                </c:pt>
                <c:pt idx="490">
                  <c:v>305</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271</c:v>
                </c:pt>
                <c:pt idx="506">
                  <c:v>#N/A</c:v>
                </c:pt>
                <c:pt idx="507">
                  <c:v>#N/A</c:v>
                </c:pt>
                <c:pt idx="508">
                  <c:v>#N/A</c:v>
                </c:pt>
                <c:pt idx="509">
                  <c:v>254</c:v>
                </c:pt>
                <c:pt idx="510">
                  <c:v>#N/A</c:v>
                </c:pt>
                <c:pt idx="511">
                  <c:v>406</c:v>
                </c:pt>
                <c:pt idx="512">
                  <c:v>#N/A</c:v>
                </c:pt>
                <c:pt idx="513">
                  <c:v>#N/A</c:v>
                </c:pt>
                <c:pt idx="514">
                  <c:v>#N/A</c:v>
                </c:pt>
                <c:pt idx="515">
                  <c:v>#N/A</c:v>
                </c:pt>
                <c:pt idx="516">
                  <c:v>#N/A</c:v>
                </c:pt>
                <c:pt idx="517">
                  <c:v>#N/A</c:v>
                </c:pt>
                <c:pt idx="518">
                  <c:v>#N/A</c:v>
                </c:pt>
                <c:pt idx="519">
                  <c:v>#N/A</c:v>
                </c:pt>
                <c:pt idx="520">
                  <c:v>#N/A</c:v>
                </c:pt>
                <c:pt idx="521">
                  <c:v>#N/A</c:v>
                </c:pt>
                <c:pt idx="522">
                  <c:v>287</c:v>
                </c:pt>
                <c:pt idx="523">
                  <c:v>#N/A</c:v>
                </c:pt>
                <c:pt idx="524">
                  <c:v>#N/A</c:v>
                </c:pt>
                <c:pt idx="525">
                  <c:v>#N/A</c:v>
                </c:pt>
                <c:pt idx="526">
                  <c:v>#N/A</c:v>
                </c:pt>
                <c:pt idx="527">
                  <c:v>#N/A</c:v>
                </c:pt>
                <c:pt idx="528">
                  <c:v>#N/A</c:v>
                </c:pt>
                <c:pt idx="529">
                  <c:v>#N/A</c:v>
                </c:pt>
                <c:pt idx="530">
                  <c:v>#N/A</c:v>
                </c:pt>
                <c:pt idx="531">
                  <c:v>#N/A</c:v>
                </c:pt>
                <c:pt idx="532">
                  <c:v>289</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204</c:v>
                </c:pt>
                <c:pt idx="550">
                  <c:v>#N/A</c:v>
                </c:pt>
                <c:pt idx="551">
                  <c:v>#N/A</c:v>
                </c:pt>
                <c:pt idx="552">
                  <c:v>#N/A</c:v>
                </c:pt>
                <c:pt idx="553">
                  <c:v>217</c:v>
                </c:pt>
                <c:pt idx="554">
                  <c:v>#N/A</c:v>
                </c:pt>
                <c:pt idx="555">
                  <c:v>#N/A</c:v>
                </c:pt>
                <c:pt idx="556">
                  <c:v>#N/A</c:v>
                </c:pt>
                <c:pt idx="557">
                  <c:v>#N/A</c:v>
                </c:pt>
                <c:pt idx="558">
                  <c:v>#N/A</c:v>
                </c:pt>
                <c:pt idx="559">
                  <c:v>290</c:v>
                </c:pt>
                <c:pt idx="560">
                  <c:v>#N/A</c:v>
                </c:pt>
                <c:pt idx="561">
                  <c:v>#N/A</c:v>
                </c:pt>
                <c:pt idx="562">
                  <c:v>#N/A</c:v>
                </c:pt>
                <c:pt idx="563">
                  <c:v>#N/A</c:v>
                </c:pt>
                <c:pt idx="564">
                  <c:v>#N/A</c:v>
                </c:pt>
                <c:pt idx="565">
                  <c:v>#N/A</c:v>
                </c:pt>
                <c:pt idx="566">
                  <c:v>#N/A</c:v>
                </c:pt>
                <c:pt idx="567">
                  <c:v>#N/A</c:v>
                </c:pt>
                <c:pt idx="568">
                  <c:v>159</c:v>
                </c:pt>
                <c:pt idx="569">
                  <c:v>#N/A</c:v>
                </c:pt>
                <c:pt idx="570">
                  <c:v>#N/A</c:v>
                </c:pt>
                <c:pt idx="571">
                  <c:v>#N/A</c:v>
                </c:pt>
                <c:pt idx="572">
                  <c:v>#N/A</c:v>
                </c:pt>
                <c:pt idx="573">
                  <c:v>#N/A</c:v>
                </c:pt>
                <c:pt idx="574">
                  <c:v>#N/A</c:v>
                </c:pt>
                <c:pt idx="575">
                  <c:v>#N/A</c:v>
                </c:pt>
                <c:pt idx="576">
                  <c:v>#N/A</c:v>
                </c:pt>
                <c:pt idx="577">
                  <c:v>#N/A</c:v>
                </c:pt>
                <c:pt idx="578">
                  <c:v>246</c:v>
                </c:pt>
                <c:pt idx="579">
                  <c:v>#N/A</c:v>
                </c:pt>
                <c:pt idx="580">
                  <c:v>#N/A</c:v>
                </c:pt>
                <c:pt idx="581">
                  <c:v>251</c:v>
                </c:pt>
                <c:pt idx="582">
                  <c:v>309</c:v>
                </c:pt>
                <c:pt idx="583">
                  <c:v>350</c:v>
                </c:pt>
                <c:pt idx="584">
                  <c:v>326</c:v>
                </c:pt>
                <c:pt idx="585">
                  <c:v>#N/A</c:v>
                </c:pt>
                <c:pt idx="586">
                  <c:v>#N/A</c:v>
                </c:pt>
                <c:pt idx="587">
                  <c:v>#N/A</c:v>
                </c:pt>
                <c:pt idx="588">
                  <c:v>#N/A</c:v>
                </c:pt>
                <c:pt idx="589">
                  <c:v>#N/A</c:v>
                </c:pt>
                <c:pt idx="590">
                  <c:v>290</c:v>
                </c:pt>
                <c:pt idx="591">
                  <c:v>#N/A</c:v>
                </c:pt>
                <c:pt idx="592">
                  <c:v>#N/A</c:v>
                </c:pt>
                <c:pt idx="593">
                  <c:v>#N/A</c:v>
                </c:pt>
                <c:pt idx="594">
                  <c:v>256</c:v>
                </c:pt>
                <c:pt idx="595">
                  <c:v>#N/A</c:v>
                </c:pt>
                <c:pt idx="596">
                  <c:v>#N/A</c:v>
                </c:pt>
                <c:pt idx="597">
                  <c:v>366</c:v>
                </c:pt>
                <c:pt idx="598">
                  <c:v>302</c:v>
                </c:pt>
                <c:pt idx="599">
                  <c:v>282</c:v>
                </c:pt>
                <c:pt idx="600">
                  <c:v>#N/A</c:v>
                </c:pt>
                <c:pt idx="601">
                  <c:v>#N/A</c:v>
                </c:pt>
                <c:pt idx="602">
                  <c:v>#N/A</c:v>
                </c:pt>
                <c:pt idx="603">
                  <c:v>#N/A</c:v>
                </c:pt>
                <c:pt idx="604">
                  <c:v>359</c:v>
                </c:pt>
                <c:pt idx="605">
                  <c:v>#N/A</c:v>
                </c:pt>
                <c:pt idx="606">
                  <c:v>#N/A</c:v>
                </c:pt>
                <c:pt idx="607">
                  <c:v>#N/A</c:v>
                </c:pt>
                <c:pt idx="608">
                  <c:v>#N/A</c:v>
                </c:pt>
                <c:pt idx="609">
                  <c:v>#N/A</c:v>
                </c:pt>
                <c:pt idx="610">
                  <c:v>#N/A</c:v>
                </c:pt>
                <c:pt idx="611">
                  <c:v>354</c:v>
                </c:pt>
                <c:pt idx="612">
                  <c:v>#N/A</c:v>
                </c:pt>
                <c:pt idx="613">
                  <c:v>#N/A</c:v>
                </c:pt>
                <c:pt idx="614">
                  <c:v>#N/A</c:v>
                </c:pt>
                <c:pt idx="615">
                  <c:v>#N/A</c:v>
                </c:pt>
                <c:pt idx="616">
                  <c:v>#N/A</c:v>
                </c:pt>
                <c:pt idx="617">
                  <c:v>#N/A</c:v>
                </c:pt>
                <c:pt idx="618">
                  <c:v>#N/A</c:v>
                </c:pt>
                <c:pt idx="619">
                  <c:v>262</c:v>
                </c:pt>
                <c:pt idx="620">
                  <c:v>224</c:v>
                </c:pt>
                <c:pt idx="621">
                  <c:v>#N/A</c:v>
                </c:pt>
                <c:pt idx="622">
                  <c:v>#N/A</c:v>
                </c:pt>
                <c:pt idx="623">
                  <c:v>#N/A</c:v>
                </c:pt>
                <c:pt idx="624">
                  <c:v>#N/A</c:v>
                </c:pt>
                <c:pt idx="625">
                  <c:v>#N/A</c:v>
                </c:pt>
                <c:pt idx="626">
                  <c:v>#N/A</c:v>
                </c:pt>
                <c:pt idx="627">
                  <c:v>#N/A</c:v>
                </c:pt>
                <c:pt idx="628">
                  <c:v>#N/A</c:v>
                </c:pt>
                <c:pt idx="629">
                  <c:v>263</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305</c:v>
                </c:pt>
                <c:pt idx="649">
                  <c:v>#N/A</c:v>
                </c:pt>
                <c:pt idx="650">
                  <c:v>#N/A</c:v>
                </c:pt>
                <c:pt idx="651">
                  <c:v>#N/A</c:v>
                </c:pt>
                <c:pt idx="652">
                  <c:v>#N/A</c:v>
                </c:pt>
                <c:pt idx="653">
                  <c:v>#N/A</c:v>
                </c:pt>
                <c:pt idx="654">
                  <c:v>#N/A</c:v>
                </c:pt>
                <c:pt idx="655">
                  <c:v>#N/A</c:v>
                </c:pt>
                <c:pt idx="656">
                  <c:v>296</c:v>
                </c:pt>
                <c:pt idx="657">
                  <c:v>#N/A</c:v>
                </c:pt>
                <c:pt idx="658">
                  <c:v>#N/A</c:v>
                </c:pt>
                <c:pt idx="659">
                  <c:v>339</c:v>
                </c:pt>
                <c:pt idx="660">
                  <c:v>219</c:v>
                </c:pt>
                <c:pt idx="661">
                  <c:v>265</c:v>
                </c:pt>
                <c:pt idx="662">
                  <c:v>#N/A</c:v>
                </c:pt>
                <c:pt idx="663">
                  <c:v>#N/A</c:v>
                </c:pt>
                <c:pt idx="664">
                  <c:v>#N/A</c:v>
                </c:pt>
                <c:pt idx="665">
                  <c:v>#N/A</c:v>
                </c:pt>
                <c:pt idx="666">
                  <c:v>#N/A</c:v>
                </c:pt>
                <c:pt idx="667">
                  <c:v>248</c:v>
                </c:pt>
                <c:pt idx="668">
                  <c:v>#N/A</c:v>
                </c:pt>
                <c:pt idx="669">
                  <c:v>#N/A</c:v>
                </c:pt>
                <c:pt idx="670">
                  <c:v>#N/A</c:v>
                </c:pt>
                <c:pt idx="671">
                  <c:v>329</c:v>
                </c:pt>
                <c:pt idx="672">
                  <c:v>#N/A</c:v>
                </c:pt>
                <c:pt idx="673">
                  <c:v>#N/A</c:v>
                </c:pt>
                <c:pt idx="674">
                  <c:v>#N/A</c:v>
                </c:pt>
                <c:pt idx="675">
                  <c:v>#N/A</c:v>
                </c:pt>
                <c:pt idx="676">
                  <c:v>#N/A</c:v>
                </c:pt>
                <c:pt idx="677">
                  <c:v>#N/A</c:v>
                </c:pt>
                <c:pt idx="678">
                  <c:v>#N/A</c:v>
                </c:pt>
                <c:pt idx="679">
                  <c:v>#N/A</c:v>
                </c:pt>
                <c:pt idx="680">
                  <c:v>266</c:v>
                </c:pt>
                <c:pt idx="681">
                  <c:v>231</c:v>
                </c:pt>
                <c:pt idx="682">
                  <c:v>#N/A</c:v>
                </c:pt>
                <c:pt idx="683">
                  <c:v>#N/A</c:v>
                </c:pt>
                <c:pt idx="684">
                  <c:v>201</c:v>
                </c:pt>
                <c:pt idx="685">
                  <c:v>#N/A</c:v>
                </c:pt>
                <c:pt idx="686">
                  <c:v>#N/A</c:v>
                </c:pt>
                <c:pt idx="687">
                  <c:v>#N/A</c:v>
                </c:pt>
                <c:pt idx="688">
                  <c:v>#N/A</c:v>
                </c:pt>
                <c:pt idx="689">
                  <c:v>#N/A</c:v>
                </c:pt>
                <c:pt idx="690">
                  <c:v>302</c:v>
                </c:pt>
                <c:pt idx="691">
                  <c:v>#N/A</c:v>
                </c:pt>
                <c:pt idx="692">
                  <c:v>#N/A</c:v>
                </c:pt>
                <c:pt idx="693">
                  <c:v>286</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252</c:v>
                </c:pt>
                <c:pt idx="708">
                  <c:v>#N/A</c:v>
                </c:pt>
                <c:pt idx="709">
                  <c:v>#N/A</c:v>
                </c:pt>
                <c:pt idx="710">
                  <c:v>#N/A</c:v>
                </c:pt>
                <c:pt idx="711">
                  <c:v>#N/A</c:v>
                </c:pt>
                <c:pt idx="712">
                  <c:v>#N/A</c:v>
                </c:pt>
                <c:pt idx="713">
                  <c:v>#N/A</c:v>
                </c:pt>
                <c:pt idx="714">
                  <c:v>#N/A</c:v>
                </c:pt>
                <c:pt idx="715">
                  <c:v>282</c:v>
                </c:pt>
                <c:pt idx="716">
                  <c:v>#N/A</c:v>
                </c:pt>
                <c:pt idx="717">
                  <c:v>#N/A</c:v>
                </c:pt>
                <c:pt idx="718">
                  <c:v>#N/A</c:v>
                </c:pt>
                <c:pt idx="719">
                  <c:v>#N/A</c:v>
                </c:pt>
                <c:pt idx="720">
                  <c:v>#N/A</c:v>
                </c:pt>
                <c:pt idx="721">
                  <c:v>#N/A</c:v>
                </c:pt>
                <c:pt idx="722">
                  <c:v>#N/A</c:v>
                </c:pt>
                <c:pt idx="723">
                  <c:v>#N/A</c:v>
                </c:pt>
                <c:pt idx="724">
                  <c:v>#N/A</c:v>
                </c:pt>
                <c:pt idx="725">
                  <c:v>288</c:v>
                </c:pt>
                <c:pt idx="726">
                  <c:v>#N/A</c:v>
                </c:pt>
                <c:pt idx="727">
                  <c:v>243</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296</c:v>
                </c:pt>
                <c:pt idx="747">
                  <c:v>#N/A</c:v>
                </c:pt>
                <c:pt idx="748">
                  <c:v>#N/A</c:v>
                </c:pt>
                <c:pt idx="749">
                  <c:v>#N/A</c:v>
                </c:pt>
                <c:pt idx="750">
                  <c:v>#N/A</c:v>
                </c:pt>
                <c:pt idx="751">
                  <c:v>#N/A</c:v>
                </c:pt>
                <c:pt idx="752">
                  <c:v>#N/A</c:v>
                </c:pt>
                <c:pt idx="753">
                  <c:v>281</c:v>
                </c:pt>
                <c:pt idx="754">
                  <c:v>#N/A</c:v>
                </c:pt>
                <c:pt idx="755">
                  <c:v>#N/A</c:v>
                </c:pt>
                <c:pt idx="756">
                  <c:v>#N/A</c:v>
                </c:pt>
                <c:pt idx="757">
                  <c:v>#N/A</c:v>
                </c:pt>
                <c:pt idx="758">
                  <c:v>#N/A</c:v>
                </c:pt>
                <c:pt idx="759">
                  <c:v>#N/A</c:v>
                </c:pt>
                <c:pt idx="760">
                  <c:v>#N/A</c:v>
                </c:pt>
                <c:pt idx="761">
                  <c:v>#N/A</c:v>
                </c:pt>
                <c:pt idx="762">
                  <c:v>#N/A</c:v>
                </c:pt>
                <c:pt idx="763">
                  <c:v>#N/A</c:v>
                </c:pt>
                <c:pt idx="764">
                  <c:v>355</c:v>
                </c:pt>
                <c:pt idx="765">
                  <c:v>#N/A</c:v>
                </c:pt>
                <c:pt idx="766">
                  <c:v>#N/A</c:v>
                </c:pt>
                <c:pt idx="767">
                  <c:v>249</c:v>
                </c:pt>
                <c:pt idx="768">
                  <c:v>265</c:v>
                </c:pt>
                <c:pt idx="769">
                  <c:v>#N/A</c:v>
                </c:pt>
                <c:pt idx="770">
                  <c:v>#N/A</c:v>
                </c:pt>
                <c:pt idx="771">
                  <c:v>#N/A</c:v>
                </c:pt>
                <c:pt idx="772">
                  <c:v>206</c:v>
                </c:pt>
                <c:pt idx="773">
                  <c:v>#N/A</c:v>
                </c:pt>
                <c:pt idx="774">
                  <c:v>269</c:v>
                </c:pt>
                <c:pt idx="775">
                  <c:v>#N/A</c:v>
                </c:pt>
                <c:pt idx="776">
                  <c:v>#N/A</c:v>
                </c:pt>
                <c:pt idx="777">
                  <c:v>#N/A</c:v>
                </c:pt>
                <c:pt idx="778">
                  <c:v>#N/A</c:v>
                </c:pt>
                <c:pt idx="779">
                  <c:v>#N/A</c:v>
                </c:pt>
                <c:pt idx="780">
                  <c:v>300</c:v>
                </c:pt>
                <c:pt idx="781">
                  <c:v>279</c:v>
                </c:pt>
                <c:pt idx="782">
                  <c:v>309</c:v>
                </c:pt>
                <c:pt idx="783">
                  <c:v>#N/A</c:v>
                </c:pt>
                <c:pt idx="784">
                  <c:v>#N/A</c:v>
                </c:pt>
                <c:pt idx="785">
                  <c:v>#N/A</c:v>
                </c:pt>
                <c:pt idx="786">
                  <c:v>#N/A</c:v>
                </c:pt>
                <c:pt idx="787">
                  <c:v>#N/A</c:v>
                </c:pt>
                <c:pt idx="788">
                  <c:v>199</c:v>
                </c:pt>
                <c:pt idx="789">
                  <c:v>247</c:v>
                </c:pt>
                <c:pt idx="790">
                  <c:v>332</c:v>
                </c:pt>
                <c:pt idx="791">
                  <c:v>#N/A</c:v>
                </c:pt>
                <c:pt idx="792">
                  <c:v>#N/A</c:v>
                </c:pt>
                <c:pt idx="793">
                  <c:v>#N/A</c:v>
                </c:pt>
                <c:pt idx="794">
                  <c:v>#N/A</c:v>
                </c:pt>
                <c:pt idx="795">
                  <c:v>345</c:v>
                </c:pt>
                <c:pt idx="796">
                  <c:v>#N/A</c:v>
                </c:pt>
                <c:pt idx="797">
                  <c:v>#N/A</c:v>
                </c:pt>
                <c:pt idx="798">
                  <c:v>246</c:v>
                </c:pt>
                <c:pt idx="799">
                  <c:v>#N/A</c:v>
                </c:pt>
                <c:pt idx="800">
                  <c:v>#N/A</c:v>
                </c:pt>
                <c:pt idx="801">
                  <c:v>#N/A</c:v>
                </c:pt>
                <c:pt idx="802">
                  <c:v>#N/A</c:v>
                </c:pt>
                <c:pt idx="803">
                  <c:v>#N/A</c:v>
                </c:pt>
                <c:pt idx="804">
                  <c:v>307</c:v>
                </c:pt>
                <c:pt idx="805">
                  <c:v>#N/A</c:v>
                </c:pt>
                <c:pt idx="806">
                  <c:v>#N/A</c:v>
                </c:pt>
                <c:pt idx="807">
                  <c:v>#N/A</c:v>
                </c:pt>
                <c:pt idx="808">
                  <c:v>#N/A</c:v>
                </c:pt>
                <c:pt idx="809">
                  <c:v>#N/A</c:v>
                </c:pt>
                <c:pt idx="810">
                  <c:v>#N/A</c:v>
                </c:pt>
                <c:pt idx="811">
                  <c:v>303</c:v>
                </c:pt>
                <c:pt idx="812">
                  <c:v>#N/A</c:v>
                </c:pt>
                <c:pt idx="813">
                  <c:v>#N/A</c:v>
                </c:pt>
                <c:pt idx="814">
                  <c:v>#N/A</c:v>
                </c:pt>
                <c:pt idx="815">
                  <c:v>#N/A</c:v>
                </c:pt>
                <c:pt idx="816">
                  <c:v>#N/A</c:v>
                </c:pt>
                <c:pt idx="817">
                  <c:v>#N/A</c:v>
                </c:pt>
                <c:pt idx="818">
                  <c:v>#N/A</c:v>
                </c:pt>
                <c:pt idx="819">
                  <c:v>#N/A</c:v>
                </c:pt>
                <c:pt idx="820">
                  <c:v>#N/A</c:v>
                </c:pt>
                <c:pt idx="821">
                  <c:v>#N/A</c:v>
                </c:pt>
                <c:pt idx="822">
                  <c:v>#N/A</c:v>
                </c:pt>
                <c:pt idx="823">
                  <c:v>323</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236</c:v>
                </c:pt>
                <c:pt idx="850">
                  <c:v>#N/A</c:v>
                </c:pt>
                <c:pt idx="851">
                  <c:v>#N/A</c:v>
                </c:pt>
                <c:pt idx="852">
                  <c:v>#N/A</c:v>
                </c:pt>
                <c:pt idx="853">
                  <c:v>#N/A</c:v>
                </c:pt>
                <c:pt idx="854">
                  <c:v>#N/A</c:v>
                </c:pt>
                <c:pt idx="855">
                  <c:v>204</c:v>
                </c:pt>
                <c:pt idx="856">
                  <c:v>#N/A</c:v>
                </c:pt>
                <c:pt idx="857">
                  <c:v>#N/A</c:v>
                </c:pt>
                <c:pt idx="858">
                  <c:v>#N/A</c:v>
                </c:pt>
                <c:pt idx="859">
                  <c:v>357</c:v>
                </c:pt>
                <c:pt idx="860">
                  <c:v>#N/A</c:v>
                </c:pt>
                <c:pt idx="861">
                  <c:v>#N/A</c:v>
                </c:pt>
                <c:pt idx="862">
                  <c:v>#N/A</c:v>
                </c:pt>
                <c:pt idx="863">
                  <c:v>#N/A</c:v>
                </c:pt>
                <c:pt idx="864">
                  <c:v>#N/A</c:v>
                </c:pt>
                <c:pt idx="865">
                  <c:v>#N/A</c:v>
                </c:pt>
                <c:pt idx="866">
                  <c:v>#N/A</c:v>
                </c:pt>
                <c:pt idx="867">
                  <c:v>#N/A</c:v>
                </c:pt>
                <c:pt idx="868">
                  <c:v>#N/A</c:v>
                </c:pt>
                <c:pt idx="869">
                  <c:v>276</c:v>
                </c:pt>
                <c:pt idx="870">
                  <c:v>#N/A</c:v>
                </c:pt>
                <c:pt idx="871">
                  <c:v>229</c:v>
                </c:pt>
                <c:pt idx="872">
                  <c:v>#N/A</c:v>
                </c:pt>
                <c:pt idx="873">
                  <c:v>#N/A</c:v>
                </c:pt>
                <c:pt idx="874">
                  <c:v>#N/A</c:v>
                </c:pt>
                <c:pt idx="875">
                  <c:v>#N/A</c:v>
                </c:pt>
                <c:pt idx="876">
                  <c:v>#N/A</c:v>
                </c:pt>
                <c:pt idx="877">
                  <c:v>#N/A</c:v>
                </c:pt>
                <c:pt idx="878">
                  <c:v>#N/A</c:v>
                </c:pt>
                <c:pt idx="879">
                  <c:v>#N/A</c:v>
                </c:pt>
                <c:pt idx="880">
                  <c:v>#N/A</c:v>
                </c:pt>
                <c:pt idx="881">
                  <c:v>306</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325</c:v>
                </c:pt>
                <c:pt idx="915">
                  <c:v>#N/A</c:v>
                </c:pt>
                <c:pt idx="916">
                  <c:v>#N/A</c:v>
                </c:pt>
                <c:pt idx="917">
                  <c:v>#N/A</c:v>
                </c:pt>
                <c:pt idx="918">
                  <c:v>#N/A</c:v>
                </c:pt>
                <c:pt idx="919">
                  <c:v>#N/A</c:v>
                </c:pt>
                <c:pt idx="920">
                  <c:v>#N/A</c:v>
                </c:pt>
                <c:pt idx="921">
                  <c:v>#N/A</c:v>
                </c:pt>
                <c:pt idx="922">
                  <c:v>#N/A</c:v>
                </c:pt>
                <c:pt idx="923">
                  <c:v>#N/A</c:v>
                </c:pt>
                <c:pt idx="924">
                  <c:v>202</c:v>
                </c:pt>
                <c:pt idx="925">
                  <c:v>#N/A</c:v>
                </c:pt>
                <c:pt idx="926">
                  <c:v>#N/A</c:v>
                </c:pt>
                <c:pt idx="927">
                  <c:v>#N/A</c:v>
                </c:pt>
                <c:pt idx="928">
                  <c:v>#N/A</c:v>
                </c:pt>
                <c:pt idx="929">
                  <c:v>286</c:v>
                </c:pt>
                <c:pt idx="930">
                  <c:v>#N/A</c:v>
                </c:pt>
                <c:pt idx="931">
                  <c:v>#N/A</c:v>
                </c:pt>
                <c:pt idx="932">
                  <c:v>#N/A</c:v>
                </c:pt>
                <c:pt idx="933">
                  <c:v>#N/A</c:v>
                </c:pt>
                <c:pt idx="934">
                  <c:v>#N/A</c:v>
                </c:pt>
                <c:pt idx="935">
                  <c:v>#N/A</c:v>
                </c:pt>
                <c:pt idx="936">
                  <c:v>#N/A</c:v>
                </c:pt>
                <c:pt idx="937">
                  <c:v>#N/A</c:v>
                </c:pt>
                <c:pt idx="938">
                  <c:v>#N/A</c:v>
                </c:pt>
                <c:pt idx="939">
                  <c:v>232</c:v>
                </c:pt>
                <c:pt idx="940">
                  <c:v>#N/A</c:v>
                </c:pt>
                <c:pt idx="941">
                  <c:v>#N/A</c:v>
                </c:pt>
                <c:pt idx="942">
                  <c:v>#N/A</c:v>
                </c:pt>
                <c:pt idx="943">
                  <c:v>#N/A</c:v>
                </c:pt>
                <c:pt idx="944">
                  <c:v>#N/A</c:v>
                </c:pt>
                <c:pt idx="945">
                  <c:v>#N/A</c:v>
                </c:pt>
                <c:pt idx="946">
                  <c:v>409</c:v>
                </c:pt>
                <c:pt idx="947">
                  <c:v>#N/A</c:v>
                </c:pt>
                <c:pt idx="948">
                  <c:v>#N/A</c:v>
                </c:pt>
                <c:pt idx="949">
                  <c:v>288</c:v>
                </c:pt>
                <c:pt idx="950">
                  <c:v>#N/A</c:v>
                </c:pt>
                <c:pt idx="951">
                  <c:v>346</c:v>
                </c:pt>
                <c:pt idx="952">
                  <c:v>#N/A</c:v>
                </c:pt>
                <c:pt idx="953">
                  <c:v>#N/A</c:v>
                </c:pt>
                <c:pt idx="954">
                  <c:v>#N/A</c:v>
                </c:pt>
                <c:pt idx="955">
                  <c:v>#N/A</c:v>
                </c:pt>
                <c:pt idx="956">
                  <c:v>#N/A</c:v>
                </c:pt>
                <c:pt idx="957">
                  <c:v>#N/A</c:v>
                </c:pt>
                <c:pt idx="958">
                  <c:v>#N/A</c:v>
                </c:pt>
                <c:pt idx="959">
                  <c:v>#N/A</c:v>
                </c:pt>
                <c:pt idx="960">
                  <c:v>#N/A</c:v>
                </c:pt>
                <c:pt idx="961">
                  <c:v>#N/A</c:v>
                </c:pt>
                <c:pt idx="962">
                  <c:v>279</c:v>
                </c:pt>
                <c:pt idx="963">
                  <c:v>#N/A</c:v>
                </c:pt>
                <c:pt idx="964">
                  <c:v>#N/A</c:v>
                </c:pt>
                <c:pt idx="965">
                  <c:v>294</c:v>
                </c:pt>
                <c:pt idx="966">
                  <c:v>#N/A</c:v>
                </c:pt>
                <c:pt idx="967">
                  <c:v>#N/A</c:v>
                </c:pt>
                <c:pt idx="968">
                  <c:v>#N/A</c:v>
                </c:pt>
                <c:pt idx="969">
                  <c:v>#N/A</c:v>
                </c:pt>
                <c:pt idx="970">
                  <c:v>#N/A</c:v>
                </c:pt>
                <c:pt idx="971">
                  <c:v>#N/A</c:v>
                </c:pt>
                <c:pt idx="972">
                  <c:v>#N/A</c:v>
                </c:pt>
                <c:pt idx="973">
                  <c:v>312</c:v>
                </c:pt>
                <c:pt idx="974">
                  <c:v>#N/A</c:v>
                </c:pt>
                <c:pt idx="975">
                  <c:v>#N/A</c:v>
                </c:pt>
                <c:pt idx="976">
                  <c:v>#N/A</c:v>
                </c:pt>
                <c:pt idx="977">
                  <c:v>#N/A</c:v>
                </c:pt>
                <c:pt idx="978">
                  <c:v>274</c:v>
                </c:pt>
                <c:pt idx="979">
                  <c:v>#N/A</c:v>
                </c:pt>
                <c:pt idx="980">
                  <c:v>#N/A</c:v>
                </c:pt>
                <c:pt idx="981">
                  <c:v>#N/A</c:v>
                </c:pt>
                <c:pt idx="982">
                  <c:v>#N/A</c:v>
                </c:pt>
                <c:pt idx="983">
                  <c:v>#N/A</c:v>
                </c:pt>
                <c:pt idx="984">
                  <c:v>#N/A</c:v>
                </c:pt>
                <c:pt idx="985">
                  <c:v>#N/A</c:v>
                </c:pt>
                <c:pt idx="986">
                  <c:v>334</c:v>
                </c:pt>
                <c:pt idx="987">
                  <c:v>#N/A</c:v>
                </c:pt>
                <c:pt idx="988">
                  <c:v>#N/A</c:v>
                </c:pt>
                <c:pt idx="989">
                  <c:v>279</c:v>
                </c:pt>
                <c:pt idx="990">
                  <c:v>#N/A</c:v>
                </c:pt>
                <c:pt idx="991">
                  <c:v>#N/A</c:v>
                </c:pt>
                <c:pt idx="992">
                  <c:v>#N/A</c:v>
                </c:pt>
                <c:pt idx="993">
                  <c:v>#N/A</c:v>
                </c:pt>
                <c:pt idx="994">
                  <c:v>#N/A</c:v>
                </c:pt>
                <c:pt idx="995">
                  <c:v>#N/A</c:v>
                </c:pt>
                <c:pt idx="996">
                  <c:v>#N/A</c:v>
                </c:pt>
                <c:pt idx="997">
                  <c:v>#N/A</c:v>
                </c:pt>
                <c:pt idx="998">
                  <c:v>#N/A</c:v>
                </c:pt>
                <c:pt idx="999">
                  <c:v>234</c:v>
                </c:pt>
                <c:pt idx="1000">
                  <c:v>292</c:v>
                </c:pt>
                <c:pt idx="1001">
                  <c:v>#N/A</c:v>
                </c:pt>
                <c:pt idx="1002">
                  <c:v>305</c:v>
                </c:pt>
                <c:pt idx="1003">
                  <c:v>#N/A</c:v>
                </c:pt>
                <c:pt idx="1004">
                  <c:v>#N/A</c:v>
                </c:pt>
                <c:pt idx="1005">
                  <c:v>#N/A</c:v>
                </c:pt>
                <c:pt idx="1006">
                  <c:v>349</c:v>
                </c:pt>
                <c:pt idx="1007">
                  <c:v>#N/A</c:v>
                </c:pt>
                <c:pt idx="1008">
                  <c:v>346</c:v>
                </c:pt>
                <c:pt idx="1009">
                  <c:v>#N/A</c:v>
                </c:pt>
                <c:pt idx="1010">
                  <c:v>#N/A</c:v>
                </c:pt>
                <c:pt idx="1011">
                  <c:v>#N/A</c:v>
                </c:pt>
                <c:pt idx="1012">
                  <c:v>#N/A</c:v>
                </c:pt>
                <c:pt idx="1013">
                  <c:v>282</c:v>
                </c:pt>
                <c:pt idx="1014">
                  <c:v>#N/A</c:v>
                </c:pt>
                <c:pt idx="1015">
                  <c:v>#N/A</c:v>
                </c:pt>
                <c:pt idx="1016">
                  <c:v>#N/A</c:v>
                </c:pt>
                <c:pt idx="1017">
                  <c:v>#N/A</c:v>
                </c:pt>
                <c:pt idx="1018">
                  <c:v>#N/A</c:v>
                </c:pt>
                <c:pt idx="1019">
                  <c:v>210</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284</c:v>
                </c:pt>
                <c:pt idx="1043">
                  <c:v>288</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267</c:v>
                </c:pt>
                <c:pt idx="1061">
                  <c:v>#N/A</c:v>
                </c:pt>
                <c:pt idx="1062">
                  <c:v>#N/A</c:v>
                </c:pt>
                <c:pt idx="1063">
                  <c:v>#N/A</c:v>
                </c:pt>
                <c:pt idx="1064">
                  <c:v>#N/A</c:v>
                </c:pt>
                <c:pt idx="1065">
                  <c:v>#N/A</c:v>
                </c:pt>
                <c:pt idx="1066">
                  <c:v>#N/A</c:v>
                </c:pt>
                <c:pt idx="1067">
                  <c:v>#N/A</c:v>
                </c:pt>
                <c:pt idx="1068">
                  <c:v>#N/A</c:v>
                </c:pt>
                <c:pt idx="1069">
                  <c:v>#N/A</c:v>
                </c:pt>
                <c:pt idx="1070">
                  <c:v>350</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275</c:v>
                </c:pt>
                <c:pt idx="1086">
                  <c:v>#N/A</c:v>
                </c:pt>
                <c:pt idx="1087">
                  <c:v>#N/A</c:v>
                </c:pt>
                <c:pt idx="1088">
                  <c:v>287</c:v>
                </c:pt>
                <c:pt idx="1089">
                  <c:v>#N/A</c:v>
                </c:pt>
                <c:pt idx="1090">
                  <c:v>#N/A</c:v>
                </c:pt>
                <c:pt idx="1091">
                  <c:v>#N/A</c:v>
                </c:pt>
                <c:pt idx="1092">
                  <c:v>#N/A</c:v>
                </c:pt>
                <c:pt idx="1093">
                  <c:v>#N/A</c:v>
                </c:pt>
                <c:pt idx="1094">
                  <c:v>#N/A</c:v>
                </c:pt>
                <c:pt idx="1095">
                  <c:v>#N/A</c:v>
                </c:pt>
                <c:pt idx="1096">
                  <c:v>234</c:v>
                </c:pt>
                <c:pt idx="1097">
                  <c:v>#N/A</c:v>
                </c:pt>
                <c:pt idx="1098">
                  <c:v>#N/A</c:v>
                </c:pt>
                <c:pt idx="1099">
                  <c:v>#N/A</c:v>
                </c:pt>
                <c:pt idx="1100">
                  <c:v>275</c:v>
                </c:pt>
                <c:pt idx="1101">
                  <c:v>#N/A</c:v>
                </c:pt>
                <c:pt idx="1102">
                  <c:v>#N/A</c:v>
                </c:pt>
                <c:pt idx="1103">
                  <c:v>#N/A</c:v>
                </c:pt>
                <c:pt idx="1104">
                  <c:v>260</c:v>
                </c:pt>
                <c:pt idx="1105">
                  <c:v>#N/A</c:v>
                </c:pt>
                <c:pt idx="1106">
                  <c:v>#N/A</c:v>
                </c:pt>
                <c:pt idx="1107">
                  <c:v>#N/A</c:v>
                </c:pt>
                <c:pt idx="1108">
                  <c:v>#N/A</c:v>
                </c:pt>
                <c:pt idx="1109">
                  <c:v>#N/A</c:v>
                </c:pt>
                <c:pt idx="1110">
                  <c:v>343</c:v>
                </c:pt>
                <c:pt idx="1111">
                  <c:v>#N/A</c:v>
                </c:pt>
                <c:pt idx="1112">
                  <c:v>#N/A</c:v>
                </c:pt>
                <c:pt idx="1113">
                  <c:v>333</c:v>
                </c:pt>
                <c:pt idx="1114">
                  <c:v>#N/A</c:v>
                </c:pt>
                <c:pt idx="1115">
                  <c:v>#N/A</c:v>
                </c:pt>
                <c:pt idx="1116">
                  <c:v>#N/A</c:v>
                </c:pt>
                <c:pt idx="1117">
                  <c:v>270</c:v>
                </c:pt>
                <c:pt idx="1118">
                  <c:v>#N/A</c:v>
                </c:pt>
                <c:pt idx="1119">
                  <c:v>#N/A</c:v>
                </c:pt>
                <c:pt idx="1120">
                  <c:v>#N/A</c:v>
                </c:pt>
                <c:pt idx="1121">
                  <c:v>279</c:v>
                </c:pt>
                <c:pt idx="1122">
                  <c:v>#N/A</c:v>
                </c:pt>
                <c:pt idx="1123">
                  <c:v>#N/A</c:v>
                </c:pt>
                <c:pt idx="1124">
                  <c:v>#N/A</c:v>
                </c:pt>
                <c:pt idx="1125">
                  <c:v>#N/A</c:v>
                </c:pt>
                <c:pt idx="1126">
                  <c:v>#N/A</c:v>
                </c:pt>
                <c:pt idx="1127">
                  <c:v>#N/A</c:v>
                </c:pt>
                <c:pt idx="1128">
                  <c:v>306</c:v>
                </c:pt>
                <c:pt idx="1129">
                  <c:v>316</c:v>
                </c:pt>
                <c:pt idx="1130">
                  <c:v>#N/A</c:v>
                </c:pt>
                <c:pt idx="1131">
                  <c:v>#N/A</c:v>
                </c:pt>
                <c:pt idx="1132">
                  <c:v>#N/A</c:v>
                </c:pt>
                <c:pt idx="1133">
                  <c:v>#N/A</c:v>
                </c:pt>
                <c:pt idx="1134">
                  <c:v>334</c:v>
                </c:pt>
                <c:pt idx="1135">
                  <c:v>272</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218</c:v>
                </c:pt>
                <c:pt idx="1149">
                  <c:v>#N/A</c:v>
                </c:pt>
                <c:pt idx="1150">
                  <c:v>215</c:v>
                </c:pt>
                <c:pt idx="1151">
                  <c:v>#N/A</c:v>
                </c:pt>
                <c:pt idx="1152">
                  <c:v>289</c:v>
                </c:pt>
                <c:pt idx="1153">
                  <c:v>#N/A</c:v>
                </c:pt>
                <c:pt idx="1154">
                  <c:v>255</c:v>
                </c:pt>
                <c:pt idx="1155">
                  <c:v>304</c:v>
                </c:pt>
                <c:pt idx="1156">
                  <c:v>#N/A</c:v>
                </c:pt>
                <c:pt idx="1157">
                  <c:v>300</c:v>
                </c:pt>
                <c:pt idx="1158">
                  <c:v>#N/A</c:v>
                </c:pt>
                <c:pt idx="1159">
                  <c:v>#N/A</c:v>
                </c:pt>
                <c:pt idx="1160">
                  <c:v>#N/A</c:v>
                </c:pt>
                <c:pt idx="1161">
                  <c:v>#N/A</c:v>
                </c:pt>
                <c:pt idx="1162">
                  <c:v>#N/A</c:v>
                </c:pt>
                <c:pt idx="1163">
                  <c:v>#N/A</c:v>
                </c:pt>
                <c:pt idx="1164">
                  <c:v>#N/A</c:v>
                </c:pt>
                <c:pt idx="1165">
                  <c:v>321</c:v>
                </c:pt>
                <c:pt idx="1166">
                  <c:v>#N/A</c:v>
                </c:pt>
                <c:pt idx="1167">
                  <c:v>#N/A</c:v>
                </c:pt>
                <c:pt idx="1168">
                  <c:v>#N/A</c:v>
                </c:pt>
                <c:pt idx="1169">
                  <c:v>#N/A</c:v>
                </c:pt>
                <c:pt idx="1170">
                  <c:v>#N/A</c:v>
                </c:pt>
                <c:pt idx="1171">
                  <c:v>#N/A</c:v>
                </c:pt>
                <c:pt idx="1172">
                  <c:v>#N/A</c:v>
                </c:pt>
                <c:pt idx="1173">
                  <c:v>158</c:v>
                </c:pt>
                <c:pt idx="1174">
                  <c:v>#N/A</c:v>
                </c:pt>
                <c:pt idx="1175">
                  <c:v>#N/A</c:v>
                </c:pt>
                <c:pt idx="1176">
                  <c:v>#N/A</c:v>
                </c:pt>
                <c:pt idx="1177">
                  <c:v>#N/A</c:v>
                </c:pt>
                <c:pt idx="1178">
                  <c:v>#N/A</c:v>
                </c:pt>
                <c:pt idx="1179">
                  <c:v>311</c:v>
                </c:pt>
                <c:pt idx="1180">
                  <c:v>#N/A</c:v>
                </c:pt>
                <c:pt idx="1181">
                  <c:v>#N/A</c:v>
                </c:pt>
                <c:pt idx="1182">
                  <c:v>#N/A</c:v>
                </c:pt>
                <c:pt idx="1183">
                  <c:v>#N/A</c:v>
                </c:pt>
                <c:pt idx="1184">
                  <c:v>219</c:v>
                </c:pt>
                <c:pt idx="1185">
                  <c:v>257</c:v>
                </c:pt>
                <c:pt idx="1186">
                  <c:v>353</c:v>
                </c:pt>
                <c:pt idx="1187">
                  <c:v>#N/A</c:v>
                </c:pt>
                <c:pt idx="1188">
                  <c:v>#N/A</c:v>
                </c:pt>
                <c:pt idx="1189">
                  <c:v>#N/A</c:v>
                </c:pt>
                <c:pt idx="1190">
                  <c:v>#N/A</c:v>
                </c:pt>
                <c:pt idx="1191">
                  <c:v>#N/A</c:v>
                </c:pt>
                <c:pt idx="1192">
                  <c:v>235</c:v>
                </c:pt>
                <c:pt idx="1193">
                  <c:v>221</c:v>
                </c:pt>
                <c:pt idx="1194">
                  <c:v>#N/A</c:v>
                </c:pt>
                <c:pt idx="1195">
                  <c:v>#N/A</c:v>
                </c:pt>
                <c:pt idx="1196">
                  <c:v>#N/A</c:v>
                </c:pt>
                <c:pt idx="1197">
                  <c:v>#N/A</c:v>
                </c:pt>
                <c:pt idx="1198">
                  <c:v>#N/A</c:v>
                </c:pt>
                <c:pt idx="1199">
                  <c:v>#N/A</c:v>
                </c:pt>
                <c:pt idx="1200">
                  <c:v>#N/A</c:v>
                </c:pt>
              </c:strCache>
            </c:strRef>
          </c:xVal>
          <c:yVal>
            <c:numRef>
              <c:f>riyadh_realestate_dataset!$T:$T</c:f>
              <c:numCache>
                <c:formatCode>General</c:formatCode>
                <c:ptCount val="1048576"/>
                <c:pt idx="0">
                  <c:v>0</c:v>
                </c:pt>
                <c:pt idx="1">
                  <c:v>#N/A</c:v>
                </c:pt>
                <c:pt idx="2">
                  <c:v>#N/A</c:v>
                </c:pt>
                <c:pt idx="3">
                  <c:v>1088000</c:v>
                </c:pt>
                <c:pt idx="4">
                  <c:v>#N/A</c:v>
                </c:pt>
                <c:pt idx="5">
                  <c:v>#N/A</c:v>
                </c:pt>
                <c:pt idx="6">
                  <c:v>#N/A</c:v>
                </c:pt>
                <c:pt idx="7">
                  <c:v>#N/A</c:v>
                </c:pt>
                <c:pt idx="8">
                  <c:v>#N/A</c:v>
                </c:pt>
                <c:pt idx="9">
                  <c:v>#N/A</c:v>
                </c:pt>
                <c:pt idx="10">
                  <c:v>823000</c:v>
                </c:pt>
                <c:pt idx="11">
                  <c:v>1011000</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1360000</c:v>
                </c:pt>
                <c:pt idx="40">
                  <c:v>1150000</c:v>
                </c:pt>
                <c:pt idx="41">
                  <c:v>#N/A</c:v>
                </c:pt>
                <c:pt idx="42">
                  <c:v>1460000</c:v>
                </c:pt>
                <c:pt idx="43">
                  <c:v>#N/A</c:v>
                </c:pt>
                <c:pt idx="44">
                  <c:v>#N/A</c:v>
                </c:pt>
                <c:pt idx="45">
                  <c:v>#N/A</c:v>
                </c:pt>
                <c:pt idx="46">
                  <c:v>#N/A</c:v>
                </c:pt>
                <c:pt idx="47">
                  <c:v>#N/A</c:v>
                </c:pt>
                <c:pt idx="48">
                  <c:v>1038000</c:v>
                </c:pt>
                <c:pt idx="49">
                  <c:v>#N/A</c:v>
                </c:pt>
                <c:pt idx="50">
                  <c:v>#N/A</c:v>
                </c:pt>
                <c:pt idx="51">
                  <c:v>#N/A</c:v>
                </c:pt>
                <c:pt idx="52">
                  <c:v>1128000</c:v>
                </c:pt>
                <c:pt idx="53">
                  <c:v>#N/A</c:v>
                </c:pt>
                <c:pt idx="54">
                  <c:v>#N/A</c:v>
                </c:pt>
                <c:pt idx="55">
                  <c:v>1306000</c:v>
                </c:pt>
                <c:pt idx="56">
                  <c:v>#N/A</c:v>
                </c:pt>
                <c:pt idx="57">
                  <c:v>#N/A</c:v>
                </c:pt>
                <c:pt idx="58">
                  <c:v>#N/A</c:v>
                </c:pt>
                <c:pt idx="59">
                  <c:v>#N/A</c:v>
                </c:pt>
                <c:pt idx="60">
                  <c:v>#N/A</c:v>
                </c:pt>
                <c:pt idx="61">
                  <c:v>#N/A</c:v>
                </c:pt>
                <c:pt idx="62">
                  <c:v>#N/A</c:v>
                </c:pt>
                <c:pt idx="63">
                  <c:v>#N/A</c:v>
                </c:pt>
                <c:pt idx="64">
                  <c:v>#N/A</c:v>
                </c:pt>
                <c:pt idx="65">
                  <c:v>#N/A</c:v>
                </c:pt>
                <c:pt idx="66">
                  <c:v>#N/A</c:v>
                </c:pt>
                <c:pt idx="67">
                  <c:v>832000</c:v>
                </c:pt>
                <c:pt idx="68">
                  <c:v>#N/A</c:v>
                </c:pt>
                <c:pt idx="69">
                  <c:v>#N/A</c:v>
                </c:pt>
                <c:pt idx="70">
                  <c:v>#N/A</c:v>
                </c:pt>
                <c:pt idx="71">
                  <c:v>#N/A</c:v>
                </c:pt>
                <c:pt idx="72">
                  <c:v>1613000</c:v>
                </c:pt>
                <c:pt idx="73">
                  <c:v>#N/A</c:v>
                </c:pt>
                <c:pt idx="74">
                  <c:v>#N/A</c:v>
                </c:pt>
                <c:pt idx="75">
                  <c:v>#N/A</c:v>
                </c:pt>
                <c:pt idx="76">
                  <c:v>#N/A</c:v>
                </c:pt>
                <c:pt idx="77">
                  <c:v>1000000</c:v>
                </c:pt>
                <c:pt idx="78">
                  <c:v>#N/A</c:v>
                </c:pt>
                <c:pt idx="79">
                  <c:v>#N/A</c:v>
                </c:pt>
                <c:pt idx="80">
                  <c:v>#N/A</c:v>
                </c:pt>
                <c:pt idx="81">
                  <c:v>#N/A</c:v>
                </c:pt>
                <c:pt idx="82">
                  <c:v>#N/A</c:v>
                </c:pt>
                <c:pt idx="83">
                  <c:v>#N/A</c:v>
                </c:pt>
                <c:pt idx="84">
                  <c:v>#N/A</c:v>
                </c:pt>
                <c:pt idx="85">
                  <c:v>#N/A</c:v>
                </c:pt>
                <c:pt idx="86">
                  <c:v>766000</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1294000</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875000</c:v>
                </c:pt>
                <c:pt idx="118">
                  <c:v>#N/A</c:v>
                </c:pt>
                <c:pt idx="119">
                  <c:v>1205000</c:v>
                </c:pt>
                <c:pt idx="120">
                  <c:v>#N/A</c:v>
                </c:pt>
                <c:pt idx="121">
                  <c:v>#N/A</c:v>
                </c:pt>
                <c:pt idx="122">
                  <c:v>#N/A</c:v>
                </c:pt>
                <c:pt idx="123">
                  <c:v>#N/A</c:v>
                </c:pt>
                <c:pt idx="124">
                  <c:v>#N/A</c:v>
                </c:pt>
                <c:pt idx="125">
                  <c:v>864000</c:v>
                </c:pt>
                <c:pt idx="126">
                  <c:v>#N/A</c:v>
                </c:pt>
                <c:pt idx="127">
                  <c:v>#N/A</c:v>
                </c:pt>
                <c:pt idx="128">
                  <c:v>1172000</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944000</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1329000</c:v>
                </c:pt>
                <c:pt idx="158">
                  <c:v>#N/A</c:v>
                </c:pt>
                <c:pt idx="159">
                  <c:v>386000</c:v>
                </c:pt>
                <c:pt idx="160">
                  <c:v>#N/A</c:v>
                </c:pt>
                <c:pt idx="161">
                  <c:v>#N/A</c:v>
                </c:pt>
                <c:pt idx="162">
                  <c:v>#N/A</c:v>
                </c:pt>
                <c:pt idx="163">
                  <c:v>1600000</c:v>
                </c:pt>
                <c:pt idx="164">
                  <c:v>#N/A</c:v>
                </c:pt>
                <c:pt idx="165">
                  <c:v>#N/A</c:v>
                </c:pt>
                <c:pt idx="166">
                  <c:v>#N/A</c:v>
                </c:pt>
                <c:pt idx="167">
                  <c:v>#N/A</c:v>
                </c:pt>
                <c:pt idx="168">
                  <c:v>#N/A</c:v>
                </c:pt>
                <c:pt idx="169">
                  <c:v>#N/A</c:v>
                </c:pt>
                <c:pt idx="170">
                  <c:v>#N/A</c:v>
                </c:pt>
                <c:pt idx="171">
                  <c:v>#N/A</c:v>
                </c:pt>
                <c:pt idx="172">
                  <c:v>1145000</c:v>
                </c:pt>
                <c:pt idx="173">
                  <c:v>#N/A</c:v>
                </c:pt>
                <c:pt idx="174">
                  <c:v>936000</c:v>
                </c:pt>
                <c:pt idx="175">
                  <c:v>846000</c:v>
                </c:pt>
                <c:pt idx="176">
                  <c:v>#N/A</c:v>
                </c:pt>
                <c:pt idx="177">
                  <c:v>1458000</c:v>
                </c:pt>
                <c:pt idx="178">
                  <c:v>#N/A</c:v>
                </c:pt>
                <c:pt idx="179">
                  <c:v>#N/A</c:v>
                </c:pt>
                <c:pt idx="180">
                  <c:v>1522000</c:v>
                </c:pt>
                <c:pt idx="181">
                  <c:v>#N/A</c:v>
                </c:pt>
                <c:pt idx="182">
                  <c:v>#N/A</c:v>
                </c:pt>
                <c:pt idx="183">
                  <c:v>1224000</c:v>
                </c:pt>
                <c:pt idx="184">
                  <c:v>1550000</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798000</c:v>
                </c:pt>
                <c:pt idx="199">
                  <c:v>#N/A</c:v>
                </c:pt>
                <c:pt idx="200">
                  <c:v>#N/A</c:v>
                </c:pt>
                <c:pt idx="201">
                  <c:v>#N/A</c:v>
                </c:pt>
                <c:pt idx="202">
                  <c:v>928000</c:v>
                </c:pt>
                <c:pt idx="203">
                  <c:v>#N/A</c:v>
                </c:pt>
                <c:pt idx="204">
                  <c:v>#N/A</c:v>
                </c:pt>
                <c:pt idx="205">
                  <c:v>#N/A</c:v>
                </c:pt>
                <c:pt idx="206">
                  <c:v>1143000</c:v>
                </c:pt>
                <c:pt idx="207">
                  <c:v>#N/A</c:v>
                </c:pt>
                <c:pt idx="208">
                  <c:v>1087000</c:v>
                </c:pt>
                <c:pt idx="209">
                  <c:v>#N/A</c:v>
                </c:pt>
                <c:pt idx="210">
                  <c:v>#N/A</c:v>
                </c:pt>
                <c:pt idx="211">
                  <c:v>#N/A</c:v>
                </c:pt>
                <c:pt idx="212">
                  <c:v>#N/A</c:v>
                </c:pt>
                <c:pt idx="213">
                  <c:v>#N/A</c:v>
                </c:pt>
                <c:pt idx="214">
                  <c:v>657000</c:v>
                </c:pt>
                <c:pt idx="215">
                  <c:v>#N/A</c:v>
                </c:pt>
                <c:pt idx="216">
                  <c:v>#N/A</c:v>
                </c:pt>
                <c:pt idx="217">
                  <c:v>#N/A</c:v>
                </c:pt>
                <c:pt idx="218">
                  <c:v>#N/A</c:v>
                </c:pt>
                <c:pt idx="219">
                  <c:v>#N/A</c:v>
                </c:pt>
                <c:pt idx="220">
                  <c:v>#N/A</c:v>
                </c:pt>
                <c:pt idx="221">
                  <c:v>1572000</c:v>
                </c:pt>
                <c:pt idx="222">
                  <c:v>#N/A</c:v>
                </c:pt>
                <c:pt idx="223">
                  <c:v>#N/A</c:v>
                </c:pt>
                <c:pt idx="224">
                  <c:v>#N/A</c:v>
                </c:pt>
                <c:pt idx="225">
                  <c:v>#N/A</c:v>
                </c:pt>
                <c:pt idx="226">
                  <c:v>694000</c:v>
                </c:pt>
                <c:pt idx="227">
                  <c:v>#N/A</c:v>
                </c:pt>
                <c:pt idx="228">
                  <c:v>#N/A</c:v>
                </c:pt>
                <c:pt idx="229">
                  <c:v>#N/A</c:v>
                </c:pt>
                <c:pt idx="230">
                  <c:v>#N/A</c:v>
                </c:pt>
                <c:pt idx="231">
                  <c:v>838000</c:v>
                </c:pt>
                <c:pt idx="232">
                  <c:v>#N/A</c:v>
                </c:pt>
                <c:pt idx="233">
                  <c:v>#N/A</c:v>
                </c:pt>
                <c:pt idx="234">
                  <c:v>#N/A</c:v>
                </c:pt>
                <c:pt idx="235">
                  <c:v>#N/A</c:v>
                </c:pt>
                <c:pt idx="236">
                  <c:v>#N/A</c:v>
                </c:pt>
                <c:pt idx="237">
                  <c:v>1436000</c:v>
                </c:pt>
                <c:pt idx="238">
                  <c:v>#N/A</c:v>
                </c:pt>
                <c:pt idx="239">
                  <c:v>#N/A</c:v>
                </c:pt>
                <c:pt idx="240">
                  <c:v>#N/A</c:v>
                </c:pt>
                <c:pt idx="241">
                  <c:v>#N/A</c:v>
                </c:pt>
                <c:pt idx="242">
                  <c:v>#N/A</c:v>
                </c:pt>
                <c:pt idx="243">
                  <c:v>#N/A</c:v>
                </c:pt>
                <c:pt idx="244">
                  <c:v>#N/A</c:v>
                </c:pt>
                <c:pt idx="245">
                  <c:v>#N/A</c:v>
                </c:pt>
                <c:pt idx="246">
                  <c:v>1559000</c:v>
                </c:pt>
                <c:pt idx="247">
                  <c:v>#N/A</c:v>
                </c:pt>
                <c:pt idx="248">
                  <c:v>#N/A</c:v>
                </c:pt>
                <c:pt idx="249">
                  <c:v>1764000</c:v>
                </c:pt>
                <c:pt idx="250">
                  <c:v>#N/A</c:v>
                </c:pt>
                <c:pt idx="251">
                  <c:v>#N/A</c:v>
                </c:pt>
                <c:pt idx="252">
                  <c:v>#N/A</c:v>
                </c:pt>
                <c:pt idx="253">
                  <c:v>#N/A</c:v>
                </c:pt>
                <c:pt idx="254">
                  <c:v>#N/A</c:v>
                </c:pt>
                <c:pt idx="255">
                  <c:v>#N/A</c:v>
                </c:pt>
                <c:pt idx="256">
                  <c:v>#N/A</c:v>
                </c:pt>
                <c:pt idx="257">
                  <c:v>#N/A</c:v>
                </c:pt>
                <c:pt idx="258">
                  <c:v>#N/A</c:v>
                </c:pt>
                <c:pt idx="259">
                  <c:v>984000</c:v>
                </c:pt>
                <c:pt idx="260">
                  <c:v>#N/A</c:v>
                </c:pt>
                <c:pt idx="261">
                  <c:v>#N/A</c:v>
                </c:pt>
                <c:pt idx="262">
                  <c:v>#N/A</c:v>
                </c:pt>
                <c:pt idx="263">
                  <c:v>#N/A</c:v>
                </c:pt>
                <c:pt idx="264">
                  <c:v>#N/A</c:v>
                </c:pt>
                <c:pt idx="265">
                  <c:v>#N/A</c:v>
                </c:pt>
                <c:pt idx="266">
                  <c:v>#N/A</c:v>
                </c:pt>
                <c:pt idx="267">
                  <c:v>993000</c:v>
                </c:pt>
                <c:pt idx="268">
                  <c:v>#N/A</c:v>
                </c:pt>
                <c:pt idx="269">
                  <c:v>968000</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639000</c:v>
                </c:pt>
                <c:pt idx="286">
                  <c:v>#N/A</c:v>
                </c:pt>
                <c:pt idx="287">
                  <c:v>#N/A</c:v>
                </c:pt>
                <c:pt idx="288">
                  <c:v>937000</c:v>
                </c:pt>
                <c:pt idx="289">
                  <c:v>#N/A</c:v>
                </c:pt>
                <c:pt idx="290">
                  <c:v>#N/A</c:v>
                </c:pt>
                <c:pt idx="291">
                  <c:v>#N/A</c:v>
                </c:pt>
                <c:pt idx="292">
                  <c:v>#N/A</c:v>
                </c:pt>
                <c:pt idx="293">
                  <c:v>#N/A</c:v>
                </c:pt>
                <c:pt idx="294">
                  <c:v>#N/A</c:v>
                </c:pt>
                <c:pt idx="295">
                  <c:v>#N/A</c:v>
                </c:pt>
                <c:pt idx="296">
                  <c:v>#N/A</c:v>
                </c:pt>
                <c:pt idx="297">
                  <c:v>#N/A</c:v>
                </c:pt>
                <c:pt idx="298">
                  <c:v>853000</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746000</c:v>
                </c:pt>
                <c:pt idx="312">
                  <c:v>#N/A</c:v>
                </c:pt>
                <c:pt idx="313">
                  <c:v>#N/A</c:v>
                </c:pt>
                <c:pt idx="314">
                  <c:v>576000</c:v>
                </c:pt>
                <c:pt idx="315">
                  <c:v>#N/A</c:v>
                </c:pt>
                <c:pt idx="316">
                  <c:v>1075000</c:v>
                </c:pt>
                <c:pt idx="317">
                  <c:v>#N/A</c:v>
                </c:pt>
                <c:pt idx="318">
                  <c:v>#N/A</c:v>
                </c:pt>
                <c:pt idx="319">
                  <c:v>#N/A</c:v>
                </c:pt>
                <c:pt idx="320">
                  <c:v>#N/A</c:v>
                </c:pt>
                <c:pt idx="321">
                  <c:v>#N/A</c:v>
                </c:pt>
                <c:pt idx="322">
                  <c:v>#N/A</c:v>
                </c:pt>
                <c:pt idx="323">
                  <c:v>#N/A</c:v>
                </c:pt>
                <c:pt idx="324">
                  <c:v>#N/A</c:v>
                </c:pt>
                <c:pt idx="325">
                  <c:v>956000</c:v>
                </c:pt>
                <c:pt idx="326">
                  <c:v>1022000</c:v>
                </c:pt>
                <c:pt idx="327">
                  <c:v>#N/A</c:v>
                </c:pt>
                <c:pt idx="328">
                  <c:v>#N/A</c:v>
                </c:pt>
                <c:pt idx="329">
                  <c:v>1515000</c:v>
                </c:pt>
                <c:pt idx="330">
                  <c:v>#N/A</c:v>
                </c:pt>
                <c:pt idx="331">
                  <c:v>#N/A</c:v>
                </c:pt>
                <c:pt idx="332">
                  <c:v>#N/A</c:v>
                </c:pt>
                <c:pt idx="333">
                  <c:v>843000</c:v>
                </c:pt>
                <c:pt idx="334">
                  <c:v>#N/A</c:v>
                </c:pt>
                <c:pt idx="335">
                  <c:v>986000</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974000</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1078000</c:v>
                </c:pt>
                <c:pt idx="367">
                  <c:v>#N/A</c:v>
                </c:pt>
                <c:pt idx="368">
                  <c:v>#N/A</c:v>
                </c:pt>
                <c:pt idx="369">
                  <c:v>#N/A</c:v>
                </c:pt>
                <c:pt idx="370">
                  <c:v>#N/A</c:v>
                </c:pt>
                <c:pt idx="371">
                  <c:v>#N/A</c:v>
                </c:pt>
                <c:pt idx="372">
                  <c:v>#N/A</c:v>
                </c:pt>
                <c:pt idx="373">
                  <c:v>641000</c:v>
                </c:pt>
                <c:pt idx="374">
                  <c:v>#N/A</c:v>
                </c:pt>
                <c:pt idx="375">
                  <c:v>#N/A</c:v>
                </c:pt>
                <c:pt idx="376">
                  <c:v>#N/A</c:v>
                </c:pt>
                <c:pt idx="377">
                  <c:v>#N/A</c:v>
                </c:pt>
                <c:pt idx="378">
                  <c:v>#N/A</c:v>
                </c:pt>
                <c:pt idx="379">
                  <c:v>#N/A</c:v>
                </c:pt>
                <c:pt idx="380">
                  <c:v>#N/A</c:v>
                </c:pt>
                <c:pt idx="381">
                  <c:v>#N/A</c:v>
                </c:pt>
                <c:pt idx="382">
                  <c:v>#N/A</c:v>
                </c:pt>
                <c:pt idx="383">
                  <c:v>#N/A</c:v>
                </c:pt>
                <c:pt idx="384">
                  <c:v>1610000</c:v>
                </c:pt>
                <c:pt idx="385">
                  <c:v>#N/A</c:v>
                </c:pt>
                <c:pt idx="386">
                  <c:v>1082000</c:v>
                </c:pt>
                <c:pt idx="387">
                  <c:v>#N/A</c:v>
                </c:pt>
                <c:pt idx="388">
                  <c:v>#N/A</c:v>
                </c:pt>
                <c:pt idx="389">
                  <c:v>#N/A</c:v>
                </c:pt>
                <c:pt idx="390">
                  <c:v>#N/A</c:v>
                </c:pt>
                <c:pt idx="391">
                  <c:v>#N/A</c:v>
                </c:pt>
                <c:pt idx="392">
                  <c:v>#N/A</c:v>
                </c:pt>
                <c:pt idx="393">
                  <c:v>#N/A</c:v>
                </c:pt>
                <c:pt idx="394">
                  <c:v>#N/A</c:v>
                </c:pt>
                <c:pt idx="395">
                  <c:v>#N/A</c:v>
                </c:pt>
                <c:pt idx="396">
                  <c:v>1026000</c:v>
                </c:pt>
                <c:pt idx="397">
                  <c:v>#N/A</c:v>
                </c:pt>
                <c:pt idx="398">
                  <c:v>#N/A</c:v>
                </c:pt>
                <c:pt idx="399">
                  <c:v>#N/A</c:v>
                </c:pt>
                <c:pt idx="400">
                  <c:v>1206000</c:v>
                </c:pt>
                <c:pt idx="401">
                  <c:v>#N/A</c:v>
                </c:pt>
                <c:pt idx="402">
                  <c:v>#N/A</c:v>
                </c:pt>
                <c:pt idx="403">
                  <c:v>#N/A</c:v>
                </c:pt>
                <c:pt idx="404">
                  <c:v>#N/A</c:v>
                </c:pt>
                <c:pt idx="405">
                  <c:v>#N/A</c:v>
                </c:pt>
                <c:pt idx="406">
                  <c:v>#N/A</c:v>
                </c:pt>
                <c:pt idx="407">
                  <c:v>#N/A</c:v>
                </c:pt>
                <c:pt idx="408">
                  <c:v>#N/A</c:v>
                </c:pt>
                <c:pt idx="409">
                  <c:v>#N/A</c:v>
                </c:pt>
                <c:pt idx="410">
                  <c:v>#N/A</c:v>
                </c:pt>
                <c:pt idx="411">
                  <c:v>823000</c:v>
                </c:pt>
                <c:pt idx="412">
                  <c:v>1057000</c:v>
                </c:pt>
                <c:pt idx="413">
                  <c:v>837000</c:v>
                </c:pt>
                <c:pt idx="414">
                  <c:v>#N/A</c:v>
                </c:pt>
                <c:pt idx="415">
                  <c:v>#N/A</c:v>
                </c:pt>
                <c:pt idx="416">
                  <c:v>#N/A</c:v>
                </c:pt>
                <c:pt idx="417">
                  <c:v>#N/A</c:v>
                </c:pt>
                <c:pt idx="418">
                  <c:v>1531000</c:v>
                </c:pt>
                <c:pt idx="419">
                  <c:v>#N/A</c:v>
                </c:pt>
                <c:pt idx="420">
                  <c:v>#N/A</c:v>
                </c:pt>
                <c:pt idx="421">
                  <c:v>1415000</c:v>
                </c:pt>
                <c:pt idx="422">
                  <c:v>#N/A</c:v>
                </c:pt>
                <c:pt idx="423">
                  <c:v>#N/A</c:v>
                </c:pt>
                <c:pt idx="424">
                  <c:v>#N/A</c:v>
                </c:pt>
                <c:pt idx="425">
                  <c:v>#N/A</c:v>
                </c:pt>
                <c:pt idx="426">
                  <c:v>#N/A</c:v>
                </c:pt>
                <c:pt idx="427">
                  <c:v>#N/A</c:v>
                </c:pt>
                <c:pt idx="428">
                  <c:v>#N/A</c:v>
                </c:pt>
                <c:pt idx="429">
                  <c:v>#N/A</c:v>
                </c:pt>
                <c:pt idx="430">
                  <c:v>1054000</c:v>
                </c:pt>
                <c:pt idx="431">
                  <c:v>#N/A</c:v>
                </c:pt>
                <c:pt idx="432">
                  <c:v>#N/A</c:v>
                </c:pt>
                <c:pt idx="433">
                  <c:v>#N/A</c:v>
                </c:pt>
                <c:pt idx="434">
                  <c:v>#N/A</c:v>
                </c:pt>
                <c:pt idx="435">
                  <c:v>888000</c:v>
                </c:pt>
                <c:pt idx="436">
                  <c:v>#N/A</c:v>
                </c:pt>
                <c:pt idx="437">
                  <c:v>#N/A</c:v>
                </c:pt>
                <c:pt idx="438">
                  <c:v>#N/A</c:v>
                </c:pt>
                <c:pt idx="439">
                  <c:v>1158000</c:v>
                </c:pt>
                <c:pt idx="440">
                  <c:v>#N/A</c:v>
                </c:pt>
                <c:pt idx="441">
                  <c:v>#N/A</c:v>
                </c:pt>
                <c:pt idx="442">
                  <c:v>#N/A</c:v>
                </c:pt>
                <c:pt idx="443">
                  <c:v>#N/A</c:v>
                </c:pt>
                <c:pt idx="444">
                  <c:v>#N/A</c:v>
                </c:pt>
                <c:pt idx="445">
                  <c:v>#N/A</c:v>
                </c:pt>
                <c:pt idx="446">
                  <c:v>#N/A</c:v>
                </c:pt>
                <c:pt idx="447">
                  <c:v>#N/A</c:v>
                </c:pt>
                <c:pt idx="448">
                  <c:v>1334000</c:v>
                </c:pt>
                <c:pt idx="449">
                  <c:v>#N/A</c:v>
                </c:pt>
                <c:pt idx="450">
                  <c:v>998000</c:v>
                </c:pt>
                <c:pt idx="451">
                  <c:v>1085000</c:v>
                </c:pt>
                <c:pt idx="452">
                  <c:v>#N/A</c:v>
                </c:pt>
                <c:pt idx="453">
                  <c:v>#N/A</c:v>
                </c:pt>
                <c:pt idx="454">
                  <c:v>#N/A</c:v>
                </c:pt>
                <c:pt idx="455">
                  <c:v>#N/A</c:v>
                </c:pt>
                <c:pt idx="456">
                  <c:v>#N/A</c:v>
                </c:pt>
                <c:pt idx="457">
                  <c:v>#N/A</c:v>
                </c:pt>
                <c:pt idx="458">
                  <c:v>1268000</c:v>
                </c:pt>
                <c:pt idx="459">
                  <c:v>929000</c:v>
                </c:pt>
                <c:pt idx="460">
                  <c:v>#N/A</c:v>
                </c:pt>
                <c:pt idx="461">
                  <c:v>1074000</c:v>
                </c:pt>
                <c:pt idx="462">
                  <c:v>#N/A</c:v>
                </c:pt>
                <c:pt idx="463">
                  <c:v>#N/A</c:v>
                </c:pt>
                <c:pt idx="464">
                  <c:v>#N/A</c:v>
                </c:pt>
                <c:pt idx="465">
                  <c:v>1316000</c:v>
                </c:pt>
                <c:pt idx="466">
                  <c:v>#N/A</c:v>
                </c:pt>
                <c:pt idx="467">
                  <c:v>#N/A</c:v>
                </c:pt>
                <c:pt idx="468">
                  <c:v>#N/A</c:v>
                </c:pt>
                <c:pt idx="469">
                  <c:v>#N/A</c:v>
                </c:pt>
                <c:pt idx="470">
                  <c:v>#N/A</c:v>
                </c:pt>
                <c:pt idx="471">
                  <c:v>956000</c:v>
                </c:pt>
                <c:pt idx="472">
                  <c:v>#N/A</c:v>
                </c:pt>
                <c:pt idx="473">
                  <c:v>#N/A</c:v>
                </c:pt>
                <c:pt idx="474">
                  <c:v>#N/A</c:v>
                </c:pt>
                <c:pt idx="475">
                  <c:v>#N/A</c:v>
                </c:pt>
                <c:pt idx="476">
                  <c:v>#N/A</c:v>
                </c:pt>
                <c:pt idx="477">
                  <c:v>#N/A</c:v>
                </c:pt>
                <c:pt idx="478">
                  <c:v>#N/A</c:v>
                </c:pt>
                <c:pt idx="479">
                  <c:v>901000</c:v>
                </c:pt>
                <c:pt idx="480">
                  <c:v>#N/A</c:v>
                </c:pt>
                <c:pt idx="481">
                  <c:v>#N/A</c:v>
                </c:pt>
                <c:pt idx="482">
                  <c:v>931000</c:v>
                </c:pt>
                <c:pt idx="483">
                  <c:v>#N/A</c:v>
                </c:pt>
                <c:pt idx="484">
                  <c:v>#N/A</c:v>
                </c:pt>
                <c:pt idx="485">
                  <c:v>#N/A</c:v>
                </c:pt>
                <c:pt idx="486">
                  <c:v>#N/A</c:v>
                </c:pt>
                <c:pt idx="487">
                  <c:v>#N/A</c:v>
                </c:pt>
                <c:pt idx="488">
                  <c:v>#N/A</c:v>
                </c:pt>
                <c:pt idx="489">
                  <c:v>#N/A</c:v>
                </c:pt>
                <c:pt idx="490">
                  <c:v>1016000</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972000</c:v>
                </c:pt>
                <c:pt idx="506">
                  <c:v>#N/A</c:v>
                </c:pt>
                <c:pt idx="507">
                  <c:v>#N/A</c:v>
                </c:pt>
                <c:pt idx="508">
                  <c:v>#N/A</c:v>
                </c:pt>
                <c:pt idx="509">
                  <c:v>1086000</c:v>
                </c:pt>
                <c:pt idx="510">
                  <c:v>#N/A</c:v>
                </c:pt>
                <c:pt idx="511">
                  <c:v>1441000</c:v>
                </c:pt>
                <c:pt idx="512">
                  <c:v>#N/A</c:v>
                </c:pt>
                <c:pt idx="513">
                  <c:v>#N/A</c:v>
                </c:pt>
                <c:pt idx="514">
                  <c:v>#N/A</c:v>
                </c:pt>
                <c:pt idx="515">
                  <c:v>#N/A</c:v>
                </c:pt>
                <c:pt idx="516">
                  <c:v>#N/A</c:v>
                </c:pt>
                <c:pt idx="517">
                  <c:v>#N/A</c:v>
                </c:pt>
                <c:pt idx="518">
                  <c:v>#N/A</c:v>
                </c:pt>
                <c:pt idx="519">
                  <c:v>#N/A</c:v>
                </c:pt>
                <c:pt idx="520">
                  <c:v>#N/A</c:v>
                </c:pt>
                <c:pt idx="521">
                  <c:v>#N/A</c:v>
                </c:pt>
                <c:pt idx="522">
                  <c:v>852000</c:v>
                </c:pt>
                <c:pt idx="523">
                  <c:v>#N/A</c:v>
                </c:pt>
                <c:pt idx="524">
                  <c:v>#N/A</c:v>
                </c:pt>
                <c:pt idx="525">
                  <c:v>#N/A</c:v>
                </c:pt>
                <c:pt idx="526">
                  <c:v>#N/A</c:v>
                </c:pt>
                <c:pt idx="527">
                  <c:v>#N/A</c:v>
                </c:pt>
                <c:pt idx="528">
                  <c:v>#N/A</c:v>
                </c:pt>
                <c:pt idx="529">
                  <c:v>#N/A</c:v>
                </c:pt>
                <c:pt idx="530">
                  <c:v>#N/A</c:v>
                </c:pt>
                <c:pt idx="531">
                  <c:v>#N/A</c:v>
                </c:pt>
                <c:pt idx="532">
                  <c:v>1448000</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1111000</c:v>
                </c:pt>
                <c:pt idx="550">
                  <c:v>#N/A</c:v>
                </c:pt>
                <c:pt idx="551">
                  <c:v>#N/A</c:v>
                </c:pt>
                <c:pt idx="552">
                  <c:v>#N/A</c:v>
                </c:pt>
                <c:pt idx="553">
                  <c:v>717000</c:v>
                </c:pt>
                <c:pt idx="554">
                  <c:v>#N/A</c:v>
                </c:pt>
                <c:pt idx="555">
                  <c:v>#N/A</c:v>
                </c:pt>
                <c:pt idx="556">
                  <c:v>#N/A</c:v>
                </c:pt>
                <c:pt idx="557">
                  <c:v>#N/A</c:v>
                </c:pt>
                <c:pt idx="558">
                  <c:v>#N/A</c:v>
                </c:pt>
                <c:pt idx="559">
                  <c:v>1470000</c:v>
                </c:pt>
                <c:pt idx="560">
                  <c:v>#N/A</c:v>
                </c:pt>
                <c:pt idx="561">
                  <c:v>#N/A</c:v>
                </c:pt>
                <c:pt idx="562">
                  <c:v>#N/A</c:v>
                </c:pt>
                <c:pt idx="563">
                  <c:v>#N/A</c:v>
                </c:pt>
                <c:pt idx="564">
                  <c:v>#N/A</c:v>
                </c:pt>
                <c:pt idx="565">
                  <c:v>#N/A</c:v>
                </c:pt>
                <c:pt idx="566">
                  <c:v>#N/A</c:v>
                </c:pt>
                <c:pt idx="567">
                  <c:v>#N/A</c:v>
                </c:pt>
                <c:pt idx="568">
                  <c:v>622000</c:v>
                </c:pt>
                <c:pt idx="569">
                  <c:v>#N/A</c:v>
                </c:pt>
                <c:pt idx="570">
                  <c:v>#N/A</c:v>
                </c:pt>
                <c:pt idx="571">
                  <c:v>#N/A</c:v>
                </c:pt>
                <c:pt idx="572">
                  <c:v>#N/A</c:v>
                </c:pt>
                <c:pt idx="573">
                  <c:v>#N/A</c:v>
                </c:pt>
                <c:pt idx="574">
                  <c:v>#N/A</c:v>
                </c:pt>
                <c:pt idx="575">
                  <c:v>#N/A</c:v>
                </c:pt>
                <c:pt idx="576">
                  <c:v>#N/A</c:v>
                </c:pt>
                <c:pt idx="577">
                  <c:v>#N/A</c:v>
                </c:pt>
                <c:pt idx="578">
                  <c:v>925000</c:v>
                </c:pt>
                <c:pt idx="579">
                  <c:v>#N/A</c:v>
                </c:pt>
                <c:pt idx="580">
                  <c:v>#N/A</c:v>
                </c:pt>
                <c:pt idx="581">
                  <c:v>827000</c:v>
                </c:pt>
                <c:pt idx="582">
                  <c:v>1402000</c:v>
                </c:pt>
                <c:pt idx="583">
                  <c:v>1428000</c:v>
                </c:pt>
                <c:pt idx="584">
                  <c:v>1716000</c:v>
                </c:pt>
                <c:pt idx="585">
                  <c:v>#N/A</c:v>
                </c:pt>
                <c:pt idx="586">
                  <c:v>#N/A</c:v>
                </c:pt>
                <c:pt idx="587">
                  <c:v>#N/A</c:v>
                </c:pt>
                <c:pt idx="588">
                  <c:v>#N/A</c:v>
                </c:pt>
                <c:pt idx="589">
                  <c:v>#N/A</c:v>
                </c:pt>
                <c:pt idx="590">
                  <c:v>1623000</c:v>
                </c:pt>
                <c:pt idx="591">
                  <c:v>#N/A</c:v>
                </c:pt>
                <c:pt idx="592">
                  <c:v>#N/A</c:v>
                </c:pt>
                <c:pt idx="593">
                  <c:v>#N/A</c:v>
                </c:pt>
                <c:pt idx="594">
                  <c:v>699000</c:v>
                </c:pt>
                <c:pt idx="595">
                  <c:v>#N/A</c:v>
                </c:pt>
                <c:pt idx="596">
                  <c:v>#N/A</c:v>
                </c:pt>
                <c:pt idx="597">
                  <c:v>1915000</c:v>
                </c:pt>
                <c:pt idx="598">
                  <c:v>1165000</c:v>
                </c:pt>
                <c:pt idx="599">
                  <c:v>1545000</c:v>
                </c:pt>
                <c:pt idx="600">
                  <c:v>#N/A</c:v>
                </c:pt>
                <c:pt idx="601">
                  <c:v>#N/A</c:v>
                </c:pt>
                <c:pt idx="602">
                  <c:v>#N/A</c:v>
                </c:pt>
                <c:pt idx="603">
                  <c:v>#N/A</c:v>
                </c:pt>
                <c:pt idx="604">
                  <c:v>1408000</c:v>
                </c:pt>
                <c:pt idx="605">
                  <c:v>#N/A</c:v>
                </c:pt>
                <c:pt idx="606">
                  <c:v>#N/A</c:v>
                </c:pt>
                <c:pt idx="607">
                  <c:v>#N/A</c:v>
                </c:pt>
                <c:pt idx="608">
                  <c:v>#N/A</c:v>
                </c:pt>
                <c:pt idx="609">
                  <c:v>#N/A</c:v>
                </c:pt>
                <c:pt idx="610">
                  <c:v>#N/A</c:v>
                </c:pt>
                <c:pt idx="611">
                  <c:v>1620000</c:v>
                </c:pt>
                <c:pt idx="612">
                  <c:v>#N/A</c:v>
                </c:pt>
                <c:pt idx="613">
                  <c:v>#N/A</c:v>
                </c:pt>
                <c:pt idx="614">
                  <c:v>#N/A</c:v>
                </c:pt>
                <c:pt idx="615">
                  <c:v>#N/A</c:v>
                </c:pt>
                <c:pt idx="616">
                  <c:v>#N/A</c:v>
                </c:pt>
                <c:pt idx="617">
                  <c:v>#N/A</c:v>
                </c:pt>
                <c:pt idx="618">
                  <c:v>#N/A</c:v>
                </c:pt>
                <c:pt idx="619">
                  <c:v>1051000</c:v>
                </c:pt>
                <c:pt idx="620">
                  <c:v>726000</c:v>
                </c:pt>
                <c:pt idx="621">
                  <c:v>#N/A</c:v>
                </c:pt>
                <c:pt idx="622">
                  <c:v>#N/A</c:v>
                </c:pt>
                <c:pt idx="623">
                  <c:v>#N/A</c:v>
                </c:pt>
                <c:pt idx="624">
                  <c:v>#N/A</c:v>
                </c:pt>
                <c:pt idx="625">
                  <c:v>#N/A</c:v>
                </c:pt>
                <c:pt idx="626">
                  <c:v>#N/A</c:v>
                </c:pt>
                <c:pt idx="627">
                  <c:v>#N/A</c:v>
                </c:pt>
                <c:pt idx="628">
                  <c:v>#N/A</c:v>
                </c:pt>
                <c:pt idx="629">
                  <c:v>644000</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972000</c:v>
                </c:pt>
                <c:pt idx="649">
                  <c:v>#N/A</c:v>
                </c:pt>
                <c:pt idx="650">
                  <c:v>#N/A</c:v>
                </c:pt>
                <c:pt idx="651">
                  <c:v>#N/A</c:v>
                </c:pt>
                <c:pt idx="652">
                  <c:v>#N/A</c:v>
                </c:pt>
                <c:pt idx="653">
                  <c:v>#N/A</c:v>
                </c:pt>
                <c:pt idx="654">
                  <c:v>#N/A</c:v>
                </c:pt>
                <c:pt idx="655">
                  <c:v>#N/A</c:v>
                </c:pt>
                <c:pt idx="656">
                  <c:v>1474000</c:v>
                </c:pt>
                <c:pt idx="657">
                  <c:v>#N/A</c:v>
                </c:pt>
                <c:pt idx="658">
                  <c:v>#N/A</c:v>
                </c:pt>
                <c:pt idx="659">
                  <c:v>1050000</c:v>
                </c:pt>
                <c:pt idx="660">
                  <c:v>890000</c:v>
                </c:pt>
                <c:pt idx="661">
                  <c:v>1078000</c:v>
                </c:pt>
                <c:pt idx="662">
                  <c:v>#N/A</c:v>
                </c:pt>
                <c:pt idx="663">
                  <c:v>#N/A</c:v>
                </c:pt>
                <c:pt idx="664">
                  <c:v>#N/A</c:v>
                </c:pt>
                <c:pt idx="665">
                  <c:v>#N/A</c:v>
                </c:pt>
                <c:pt idx="666">
                  <c:v>#N/A</c:v>
                </c:pt>
                <c:pt idx="667">
                  <c:v>918000</c:v>
                </c:pt>
                <c:pt idx="668">
                  <c:v>#N/A</c:v>
                </c:pt>
                <c:pt idx="669">
                  <c:v>#N/A</c:v>
                </c:pt>
                <c:pt idx="670">
                  <c:v>#N/A</c:v>
                </c:pt>
                <c:pt idx="671">
                  <c:v>1111000</c:v>
                </c:pt>
                <c:pt idx="672">
                  <c:v>#N/A</c:v>
                </c:pt>
                <c:pt idx="673">
                  <c:v>#N/A</c:v>
                </c:pt>
                <c:pt idx="674">
                  <c:v>#N/A</c:v>
                </c:pt>
                <c:pt idx="675">
                  <c:v>#N/A</c:v>
                </c:pt>
                <c:pt idx="676">
                  <c:v>#N/A</c:v>
                </c:pt>
                <c:pt idx="677">
                  <c:v>#N/A</c:v>
                </c:pt>
                <c:pt idx="678">
                  <c:v>#N/A</c:v>
                </c:pt>
                <c:pt idx="679">
                  <c:v>#N/A</c:v>
                </c:pt>
                <c:pt idx="680">
                  <c:v>798000</c:v>
                </c:pt>
                <c:pt idx="681">
                  <c:v>710000</c:v>
                </c:pt>
                <c:pt idx="682">
                  <c:v>#N/A</c:v>
                </c:pt>
                <c:pt idx="683">
                  <c:v>#N/A</c:v>
                </c:pt>
                <c:pt idx="684">
                  <c:v>907000</c:v>
                </c:pt>
                <c:pt idx="685">
                  <c:v>#N/A</c:v>
                </c:pt>
                <c:pt idx="686">
                  <c:v>#N/A</c:v>
                </c:pt>
                <c:pt idx="687">
                  <c:v>#N/A</c:v>
                </c:pt>
                <c:pt idx="688">
                  <c:v>#N/A</c:v>
                </c:pt>
                <c:pt idx="689">
                  <c:v>#N/A</c:v>
                </c:pt>
                <c:pt idx="690">
                  <c:v>1124000</c:v>
                </c:pt>
                <c:pt idx="691">
                  <c:v>#N/A</c:v>
                </c:pt>
                <c:pt idx="692">
                  <c:v>#N/A</c:v>
                </c:pt>
                <c:pt idx="693">
                  <c:v>1326000</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731000</c:v>
                </c:pt>
                <c:pt idx="708">
                  <c:v>#N/A</c:v>
                </c:pt>
                <c:pt idx="709">
                  <c:v>#N/A</c:v>
                </c:pt>
                <c:pt idx="710">
                  <c:v>#N/A</c:v>
                </c:pt>
                <c:pt idx="711">
                  <c:v>#N/A</c:v>
                </c:pt>
                <c:pt idx="712">
                  <c:v>#N/A</c:v>
                </c:pt>
                <c:pt idx="713">
                  <c:v>#N/A</c:v>
                </c:pt>
                <c:pt idx="714">
                  <c:v>#N/A</c:v>
                </c:pt>
                <c:pt idx="715">
                  <c:v>828000</c:v>
                </c:pt>
                <c:pt idx="716">
                  <c:v>#N/A</c:v>
                </c:pt>
                <c:pt idx="717">
                  <c:v>#N/A</c:v>
                </c:pt>
                <c:pt idx="718">
                  <c:v>#N/A</c:v>
                </c:pt>
                <c:pt idx="719">
                  <c:v>#N/A</c:v>
                </c:pt>
                <c:pt idx="720">
                  <c:v>#N/A</c:v>
                </c:pt>
                <c:pt idx="721">
                  <c:v>#N/A</c:v>
                </c:pt>
                <c:pt idx="722">
                  <c:v>#N/A</c:v>
                </c:pt>
                <c:pt idx="723">
                  <c:v>#N/A</c:v>
                </c:pt>
                <c:pt idx="724">
                  <c:v>#N/A</c:v>
                </c:pt>
                <c:pt idx="725">
                  <c:v>1016000</c:v>
                </c:pt>
                <c:pt idx="726">
                  <c:v>#N/A</c:v>
                </c:pt>
                <c:pt idx="727">
                  <c:v>839000</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1208000</c:v>
                </c:pt>
                <c:pt idx="747">
                  <c:v>#N/A</c:v>
                </c:pt>
                <c:pt idx="748">
                  <c:v>#N/A</c:v>
                </c:pt>
                <c:pt idx="749">
                  <c:v>#N/A</c:v>
                </c:pt>
                <c:pt idx="750">
                  <c:v>#N/A</c:v>
                </c:pt>
                <c:pt idx="751">
                  <c:v>#N/A</c:v>
                </c:pt>
                <c:pt idx="752">
                  <c:v>#N/A</c:v>
                </c:pt>
                <c:pt idx="753">
                  <c:v>1010000</c:v>
                </c:pt>
                <c:pt idx="754">
                  <c:v>#N/A</c:v>
                </c:pt>
                <c:pt idx="755">
                  <c:v>#N/A</c:v>
                </c:pt>
                <c:pt idx="756">
                  <c:v>#N/A</c:v>
                </c:pt>
                <c:pt idx="757">
                  <c:v>#N/A</c:v>
                </c:pt>
                <c:pt idx="758">
                  <c:v>#N/A</c:v>
                </c:pt>
                <c:pt idx="759">
                  <c:v>#N/A</c:v>
                </c:pt>
                <c:pt idx="760">
                  <c:v>#N/A</c:v>
                </c:pt>
                <c:pt idx="761">
                  <c:v>#N/A</c:v>
                </c:pt>
                <c:pt idx="762">
                  <c:v>#N/A</c:v>
                </c:pt>
                <c:pt idx="763">
                  <c:v>#N/A</c:v>
                </c:pt>
                <c:pt idx="764">
                  <c:v>2036000</c:v>
                </c:pt>
                <c:pt idx="765">
                  <c:v>#N/A</c:v>
                </c:pt>
                <c:pt idx="766">
                  <c:v>#N/A</c:v>
                </c:pt>
                <c:pt idx="767">
                  <c:v>1166000</c:v>
                </c:pt>
                <c:pt idx="768">
                  <c:v>1431000</c:v>
                </c:pt>
                <c:pt idx="769">
                  <c:v>#N/A</c:v>
                </c:pt>
                <c:pt idx="770">
                  <c:v>#N/A</c:v>
                </c:pt>
                <c:pt idx="771">
                  <c:v>#N/A</c:v>
                </c:pt>
                <c:pt idx="772">
                  <c:v>1096000</c:v>
                </c:pt>
                <c:pt idx="773">
                  <c:v>#N/A</c:v>
                </c:pt>
                <c:pt idx="774">
                  <c:v>904000</c:v>
                </c:pt>
                <c:pt idx="775">
                  <c:v>#N/A</c:v>
                </c:pt>
                <c:pt idx="776">
                  <c:v>#N/A</c:v>
                </c:pt>
                <c:pt idx="777">
                  <c:v>#N/A</c:v>
                </c:pt>
                <c:pt idx="778">
                  <c:v>#N/A</c:v>
                </c:pt>
                <c:pt idx="779">
                  <c:v>#N/A</c:v>
                </c:pt>
                <c:pt idx="780">
                  <c:v>1385000</c:v>
                </c:pt>
                <c:pt idx="781">
                  <c:v>1023000</c:v>
                </c:pt>
                <c:pt idx="782">
                  <c:v>1109000</c:v>
                </c:pt>
                <c:pt idx="783">
                  <c:v>#N/A</c:v>
                </c:pt>
                <c:pt idx="784">
                  <c:v>#N/A</c:v>
                </c:pt>
                <c:pt idx="785">
                  <c:v>#N/A</c:v>
                </c:pt>
                <c:pt idx="786">
                  <c:v>#N/A</c:v>
                </c:pt>
                <c:pt idx="787">
                  <c:v>#N/A</c:v>
                </c:pt>
                <c:pt idx="788">
                  <c:v>919000</c:v>
                </c:pt>
                <c:pt idx="789">
                  <c:v>929000</c:v>
                </c:pt>
                <c:pt idx="790">
                  <c:v>1385000</c:v>
                </c:pt>
                <c:pt idx="791">
                  <c:v>#N/A</c:v>
                </c:pt>
                <c:pt idx="792">
                  <c:v>#N/A</c:v>
                </c:pt>
                <c:pt idx="793">
                  <c:v>#N/A</c:v>
                </c:pt>
                <c:pt idx="794">
                  <c:v>#N/A</c:v>
                </c:pt>
                <c:pt idx="795">
                  <c:v>1148000</c:v>
                </c:pt>
                <c:pt idx="796">
                  <c:v>#N/A</c:v>
                </c:pt>
                <c:pt idx="797">
                  <c:v>#N/A</c:v>
                </c:pt>
                <c:pt idx="798">
                  <c:v>1012000</c:v>
                </c:pt>
                <c:pt idx="799">
                  <c:v>#N/A</c:v>
                </c:pt>
                <c:pt idx="800">
                  <c:v>#N/A</c:v>
                </c:pt>
                <c:pt idx="801">
                  <c:v>#N/A</c:v>
                </c:pt>
                <c:pt idx="802">
                  <c:v>#N/A</c:v>
                </c:pt>
                <c:pt idx="803">
                  <c:v>#N/A</c:v>
                </c:pt>
                <c:pt idx="804">
                  <c:v>1121000</c:v>
                </c:pt>
                <c:pt idx="805">
                  <c:v>#N/A</c:v>
                </c:pt>
                <c:pt idx="806">
                  <c:v>#N/A</c:v>
                </c:pt>
                <c:pt idx="807">
                  <c:v>#N/A</c:v>
                </c:pt>
                <c:pt idx="808">
                  <c:v>#N/A</c:v>
                </c:pt>
                <c:pt idx="809">
                  <c:v>#N/A</c:v>
                </c:pt>
                <c:pt idx="810">
                  <c:v>#N/A</c:v>
                </c:pt>
                <c:pt idx="811">
                  <c:v>1616000</c:v>
                </c:pt>
                <c:pt idx="812">
                  <c:v>#N/A</c:v>
                </c:pt>
                <c:pt idx="813">
                  <c:v>#N/A</c:v>
                </c:pt>
                <c:pt idx="814">
                  <c:v>#N/A</c:v>
                </c:pt>
                <c:pt idx="815">
                  <c:v>#N/A</c:v>
                </c:pt>
                <c:pt idx="816">
                  <c:v>#N/A</c:v>
                </c:pt>
                <c:pt idx="817">
                  <c:v>#N/A</c:v>
                </c:pt>
                <c:pt idx="818">
                  <c:v>#N/A</c:v>
                </c:pt>
                <c:pt idx="819">
                  <c:v>#N/A</c:v>
                </c:pt>
                <c:pt idx="820">
                  <c:v>#N/A</c:v>
                </c:pt>
                <c:pt idx="821">
                  <c:v>#N/A</c:v>
                </c:pt>
                <c:pt idx="822">
                  <c:v>#N/A</c:v>
                </c:pt>
                <c:pt idx="823">
                  <c:v>1440000</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989000</c:v>
                </c:pt>
                <c:pt idx="850">
                  <c:v>#N/A</c:v>
                </c:pt>
                <c:pt idx="851">
                  <c:v>#N/A</c:v>
                </c:pt>
                <c:pt idx="852">
                  <c:v>#N/A</c:v>
                </c:pt>
                <c:pt idx="853">
                  <c:v>#N/A</c:v>
                </c:pt>
                <c:pt idx="854">
                  <c:v>#N/A</c:v>
                </c:pt>
                <c:pt idx="855">
                  <c:v>710000</c:v>
                </c:pt>
                <c:pt idx="856">
                  <c:v>#N/A</c:v>
                </c:pt>
                <c:pt idx="857">
                  <c:v>#N/A</c:v>
                </c:pt>
                <c:pt idx="858">
                  <c:v>#N/A</c:v>
                </c:pt>
                <c:pt idx="859">
                  <c:v>1850000</c:v>
                </c:pt>
                <c:pt idx="860">
                  <c:v>#N/A</c:v>
                </c:pt>
                <c:pt idx="861">
                  <c:v>#N/A</c:v>
                </c:pt>
                <c:pt idx="862">
                  <c:v>#N/A</c:v>
                </c:pt>
                <c:pt idx="863">
                  <c:v>#N/A</c:v>
                </c:pt>
                <c:pt idx="864">
                  <c:v>#N/A</c:v>
                </c:pt>
                <c:pt idx="865">
                  <c:v>#N/A</c:v>
                </c:pt>
                <c:pt idx="866">
                  <c:v>#N/A</c:v>
                </c:pt>
                <c:pt idx="867">
                  <c:v>#N/A</c:v>
                </c:pt>
                <c:pt idx="868">
                  <c:v>#N/A</c:v>
                </c:pt>
                <c:pt idx="869">
                  <c:v>1297000</c:v>
                </c:pt>
                <c:pt idx="870">
                  <c:v>#N/A</c:v>
                </c:pt>
                <c:pt idx="871">
                  <c:v>1162000</c:v>
                </c:pt>
                <c:pt idx="872">
                  <c:v>#N/A</c:v>
                </c:pt>
                <c:pt idx="873">
                  <c:v>#N/A</c:v>
                </c:pt>
                <c:pt idx="874">
                  <c:v>#N/A</c:v>
                </c:pt>
                <c:pt idx="875">
                  <c:v>#N/A</c:v>
                </c:pt>
                <c:pt idx="876">
                  <c:v>#N/A</c:v>
                </c:pt>
                <c:pt idx="877">
                  <c:v>#N/A</c:v>
                </c:pt>
                <c:pt idx="878">
                  <c:v>#N/A</c:v>
                </c:pt>
                <c:pt idx="879">
                  <c:v>#N/A</c:v>
                </c:pt>
                <c:pt idx="880">
                  <c:v>#N/A</c:v>
                </c:pt>
                <c:pt idx="881">
                  <c:v>1087000</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1208000</c:v>
                </c:pt>
                <c:pt idx="915">
                  <c:v>#N/A</c:v>
                </c:pt>
                <c:pt idx="916">
                  <c:v>#N/A</c:v>
                </c:pt>
                <c:pt idx="917">
                  <c:v>#N/A</c:v>
                </c:pt>
                <c:pt idx="918">
                  <c:v>#N/A</c:v>
                </c:pt>
                <c:pt idx="919">
                  <c:v>#N/A</c:v>
                </c:pt>
                <c:pt idx="920">
                  <c:v>#N/A</c:v>
                </c:pt>
                <c:pt idx="921">
                  <c:v>#N/A</c:v>
                </c:pt>
                <c:pt idx="922">
                  <c:v>#N/A</c:v>
                </c:pt>
                <c:pt idx="923">
                  <c:v>#N/A</c:v>
                </c:pt>
                <c:pt idx="924">
                  <c:v>1286000</c:v>
                </c:pt>
                <c:pt idx="925">
                  <c:v>#N/A</c:v>
                </c:pt>
                <c:pt idx="926">
                  <c:v>#N/A</c:v>
                </c:pt>
                <c:pt idx="927">
                  <c:v>#N/A</c:v>
                </c:pt>
                <c:pt idx="928">
                  <c:v>#N/A</c:v>
                </c:pt>
                <c:pt idx="929">
                  <c:v>930000</c:v>
                </c:pt>
                <c:pt idx="930">
                  <c:v>#N/A</c:v>
                </c:pt>
                <c:pt idx="931">
                  <c:v>#N/A</c:v>
                </c:pt>
                <c:pt idx="932">
                  <c:v>#N/A</c:v>
                </c:pt>
                <c:pt idx="933">
                  <c:v>#N/A</c:v>
                </c:pt>
                <c:pt idx="934">
                  <c:v>#N/A</c:v>
                </c:pt>
                <c:pt idx="935">
                  <c:v>#N/A</c:v>
                </c:pt>
                <c:pt idx="936">
                  <c:v>#N/A</c:v>
                </c:pt>
                <c:pt idx="937">
                  <c:v>#N/A</c:v>
                </c:pt>
                <c:pt idx="938">
                  <c:v>#N/A</c:v>
                </c:pt>
                <c:pt idx="939">
                  <c:v>1076000</c:v>
                </c:pt>
                <c:pt idx="940">
                  <c:v>#N/A</c:v>
                </c:pt>
                <c:pt idx="941">
                  <c:v>#N/A</c:v>
                </c:pt>
                <c:pt idx="942">
                  <c:v>#N/A</c:v>
                </c:pt>
                <c:pt idx="943">
                  <c:v>#N/A</c:v>
                </c:pt>
                <c:pt idx="944">
                  <c:v>#N/A</c:v>
                </c:pt>
                <c:pt idx="945">
                  <c:v>#N/A</c:v>
                </c:pt>
                <c:pt idx="946">
                  <c:v>1645000</c:v>
                </c:pt>
                <c:pt idx="947">
                  <c:v>#N/A</c:v>
                </c:pt>
                <c:pt idx="948">
                  <c:v>#N/A</c:v>
                </c:pt>
                <c:pt idx="949">
                  <c:v>1004000</c:v>
                </c:pt>
                <c:pt idx="950">
                  <c:v>#N/A</c:v>
                </c:pt>
                <c:pt idx="951">
                  <c:v>1663000</c:v>
                </c:pt>
                <c:pt idx="952">
                  <c:v>#N/A</c:v>
                </c:pt>
                <c:pt idx="953">
                  <c:v>#N/A</c:v>
                </c:pt>
                <c:pt idx="954">
                  <c:v>#N/A</c:v>
                </c:pt>
                <c:pt idx="955">
                  <c:v>#N/A</c:v>
                </c:pt>
                <c:pt idx="956">
                  <c:v>#N/A</c:v>
                </c:pt>
                <c:pt idx="957">
                  <c:v>#N/A</c:v>
                </c:pt>
                <c:pt idx="958">
                  <c:v>#N/A</c:v>
                </c:pt>
                <c:pt idx="959">
                  <c:v>#N/A</c:v>
                </c:pt>
                <c:pt idx="960">
                  <c:v>#N/A</c:v>
                </c:pt>
                <c:pt idx="961">
                  <c:v>#N/A</c:v>
                </c:pt>
                <c:pt idx="962">
                  <c:v>1126000</c:v>
                </c:pt>
                <c:pt idx="963">
                  <c:v>#N/A</c:v>
                </c:pt>
                <c:pt idx="964">
                  <c:v>#N/A</c:v>
                </c:pt>
                <c:pt idx="965">
                  <c:v>1316000</c:v>
                </c:pt>
                <c:pt idx="966">
                  <c:v>#N/A</c:v>
                </c:pt>
                <c:pt idx="967">
                  <c:v>#N/A</c:v>
                </c:pt>
                <c:pt idx="968">
                  <c:v>#N/A</c:v>
                </c:pt>
                <c:pt idx="969">
                  <c:v>#N/A</c:v>
                </c:pt>
                <c:pt idx="970">
                  <c:v>#N/A</c:v>
                </c:pt>
                <c:pt idx="971">
                  <c:v>#N/A</c:v>
                </c:pt>
                <c:pt idx="972">
                  <c:v>#N/A</c:v>
                </c:pt>
                <c:pt idx="973">
                  <c:v>1405000</c:v>
                </c:pt>
                <c:pt idx="974">
                  <c:v>#N/A</c:v>
                </c:pt>
                <c:pt idx="975">
                  <c:v>#N/A</c:v>
                </c:pt>
                <c:pt idx="976">
                  <c:v>#N/A</c:v>
                </c:pt>
                <c:pt idx="977">
                  <c:v>#N/A</c:v>
                </c:pt>
                <c:pt idx="978">
                  <c:v>1152000</c:v>
                </c:pt>
                <c:pt idx="979">
                  <c:v>#N/A</c:v>
                </c:pt>
                <c:pt idx="980">
                  <c:v>#N/A</c:v>
                </c:pt>
                <c:pt idx="981">
                  <c:v>#N/A</c:v>
                </c:pt>
                <c:pt idx="982">
                  <c:v>#N/A</c:v>
                </c:pt>
                <c:pt idx="983">
                  <c:v>#N/A</c:v>
                </c:pt>
                <c:pt idx="984">
                  <c:v>#N/A</c:v>
                </c:pt>
                <c:pt idx="985">
                  <c:v>#N/A</c:v>
                </c:pt>
                <c:pt idx="986">
                  <c:v>1248000</c:v>
                </c:pt>
                <c:pt idx="987">
                  <c:v>#N/A</c:v>
                </c:pt>
                <c:pt idx="988">
                  <c:v>#N/A</c:v>
                </c:pt>
                <c:pt idx="989">
                  <c:v>1287000</c:v>
                </c:pt>
                <c:pt idx="990">
                  <c:v>#N/A</c:v>
                </c:pt>
                <c:pt idx="991">
                  <c:v>#N/A</c:v>
                </c:pt>
                <c:pt idx="992">
                  <c:v>#N/A</c:v>
                </c:pt>
                <c:pt idx="993">
                  <c:v>#N/A</c:v>
                </c:pt>
                <c:pt idx="994">
                  <c:v>#N/A</c:v>
                </c:pt>
                <c:pt idx="995">
                  <c:v>#N/A</c:v>
                </c:pt>
                <c:pt idx="996">
                  <c:v>#N/A</c:v>
                </c:pt>
                <c:pt idx="997">
                  <c:v>#N/A</c:v>
                </c:pt>
                <c:pt idx="998">
                  <c:v>#N/A</c:v>
                </c:pt>
                <c:pt idx="999">
                  <c:v>802000</c:v>
                </c:pt>
                <c:pt idx="1000">
                  <c:v>1351000</c:v>
                </c:pt>
                <c:pt idx="1001">
                  <c:v>#N/A</c:v>
                </c:pt>
                <c:pt idx="1002">
                  <c:v>1347000</c:v>
                </c:pt>
                <c:pt idx="1003">
                  <c:v>#N/A</c:v>
                </c:pt>
                <c:pt idx="1004">
                  <c:v>#N/A</c:v>
                </c:pt>
                <c:pt idx="1005">
                  <c:v>#N/A</c:v>
                </c:pt>
                <c:pt idx="1006">
                  <c:v>1353000</c:v>
                </c:pt>
                <c:pt idx="1007">
                  <c:v>#N/A</c:v>
                </c:pt>
                <c:pt idx="1008">
                  <c:v>1843000</c:v>
                </c:pt>
                <c:pt idx="1009">
                  <c:v>#N/A</c:v>
                </c:pt>
                <c:pt idx="1010">
                  <c:v>#N/A</c:v>
                </c:pt>
                <c:pt idx="1011">
                  <c:v>#N/A</c:v>
                </c:pt>
                <c:pt idx="1012">
                  <c:v>#N/A</c:v>
                </c:pt>
                <c:pt idx="1013">
                  <c:v>1309000</c:v>
                </c:pt>
                <c:pt idx="1014">
                  <c:v>#N/A</c:v>
                </c:pt>
                <c:pt idx="1015">
                  <c:v>#N/A</c:v>
                </c:pt>
                <c:pt idx="1016">
                  <c:v>#N/A</c:v>
                </c:pt>
                <c:pt idx="1017">
                  <c:v>#N/A</c:v>
                </c:pt>
                <c:pt idx="1018">
                  <c:v>#N/A</c:v>
                </c:pt>
                <c:pt idx="1019">
                  <c:v>580000</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1365000</c:v>
                </c:pt>
                <c:pt idx="1043">
                  <c:v>1140000</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1544000</c:v>
                </c:pt>
                <c:pt idx="1061">
                  <c:v>#N/A</c:v>
                </c:pt>
                <c:pt idx="1062">
                  <c:v>#N/A</c:v>
                </c:pt>
                <c:pt idx="1063">
                  <c:v>#N/A</c:v>
                </c:pt>
                <c:pt idx="1064">
                  <c:v>#N/A</c:v>
                </c:pt>
                <c:pt idx="1065">
                  <c:v>#N/A</c:v>
                </c:pt>
                <c:pt idx="1066">
                  <c:v>#N/A</c:v>
                </c:pt>
                <c:pt idx="1067">
                  <c:v>#N/A</c:v>
                </c:pt>
                <c:pt idx="1068">
                  <c:v>#N/A</c:v>
                </c:pt>
                <c:pt idx="1069">
                  <c:v>#N/A</c:v>
                </c:pt>
                <c:pt idx="1070">
                  <c:v>1424000</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965000</c:v>
                </c:pt>
                <c:pt idx="1086">
                  <c:v>#N/A</c:v>
                </c:pt>
                <c:pt idx="1087">
                  <c:v>#N/A</c:v>
                </c:pt>
                <c:pt idx="1088">
                  <c:v>1491000</c:v>
                </c:pt>
                <c:pt idx="1089">
                  <c:v>#N/A</c:v>
                </c:pt>
                <c:pt idx="1090">
                  <c:v>#N/A</c:v>
                </c:pt>
                <c:pt idx="1091">
                  <c:v>#N/A</c:v>
                </c:pt>
                <c:pt idx="1092">
                  <c:v>#N/A</c:v>
                </c:pt>
                <c:pt idx="1093">
                  <c:v>#N/A</c:v>
                </c:pt>
                <c:pt idx="1094">
                  <c:v>#N/A</c:v>
                </c:pt>
                <c:pt idx="1095">
                  <c:v>#N/A</c:v>
                </c:pt>
                <c:pt idx="1096">
                  <c:v>928000</c:v>
                </c:pt>
                <c:pt idx="1097">
                  <c:v>#N/A</c:v>
                </c:pt>
                <c:pt idx="1098">
                  <c:v>#N/A</c:v>
                </c:pt>
                <c:pt idx="1099">
                  <c:v>#N/A</c:v>
                </c:pt>
                <c:pt idx="1100">
                  <c:v>733000</c:v>
                </c:pt>
                <c:pt idx="1101">
                  <c:v>#N/A</c:v>
                </c:pt>
                <c:pt idx="1102">
                  <c:v>#N/A</c:v>
                </c:pt>
                <c:pt idx="1103">
                  <c:v>#N/A</c:v>
                </c:pt>
                <c:pt idx="1104">
                  <c:v>1147000</c:v>
                </c:pt>
                <c:pt idx="1105">
                  <c:v>#N/A</c:v>
                </c:pt>
                <c:pt idx="1106">
                  <c:v>#N/A</c:v>
                </c:pt>
                <c:pt idx="1107">
                  <c:v>#N/A</c:v>
                </c:pt>
                <c:pt idx="1108">
                  <c:v>#N/A</c:v>
                </c:pt>
                <c:pt idx="1109">
                  <c:v>#N/A</c:v>
                </c:pt>
                <c:pt idx="1110">
                  <c:v>1347000</c:v>
                </c:pt>
                <c:pt idx="1111">
                  <c:v>#N/A</c:v>
                </c:pt>
                <c:pt idx="1112">
                  <c:v>#N/A</c:v>
                </c:pt>
                <c:pt idx="1113">
                  <c:v>1248000</c:v>
                </c:pt>
                <c:pt idx="1114">
                  <c:v>#N/A</c:v>
                </c:pt>
                <c:pt idx="1115">
                  <c:v>#N/A</c:v>
                </c:pt>
                <c:pt idx="1116">
                  <c:v>#N/A</c:v>
                </c:pt>
                <c:pt idx="1117">
                  <c:v>815000</c:v>
                </c:pt>
                <c:pt idx="1118">
                  <c:v>#N/A</c:v>
                </c:pt>
                <c:pt idx="1119">
                  <c:v>#N/A</c:v>
                </c:pt>
                <c:pt idx="1120">
                  <c:v>#N/A</c:v>
                </c:pt>
                <c:pt idx="1121">
                  <c:v>1118000</c:v>
                </c:pt>
                <c:pt idx="1122">
                  <c:v>#N/A</c:v>
                </c:pt>
                <c:pt idx="1123">
                  <c:v>#N/A</c:v>
                </c:pt>
                <c:pt idx="1124">
                  <c:v>#N/A</c:v>
                </c:pt>
                <c:pt idx="1125">
                  <c:v>#N/A</c:v>
                </c:pt>
                <c:pt idx="1126">
                  <c:v>#N/A</c:v>
                </c:pt>
                <c:pt idx="1127">
                  <c:v>#N/A</c:v>
                </c:pt>
                <c:pt idx="1128">
                  <c:v>1245000</c:v>
                </c:pt>
                <c:pt idx="1129">
                  <c:v>1467000</c:v>
                </c:pt>
                <c:pt idx="1130">
                  <c:v>#N/A</c:v>
                </c:pt>
                <c:pt idx="1131">
                  <c:v>#N/A</c:v>
                </c:pt>
                <c:pt idx="1132">
                  <c:v>#N/A</c:v>
                </c:pt>
                <c:pt idx="1133">
                  <c:v>#N/A</c:v>
                </c:pt>
                <c:pt idx="1134">
                  <c:v>1655000</c:v>
                </c:pt>
                <c:pt idx="1135">
                  <c:v>979000</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1072000</c:v>
                </c:pt>
                <c:pt idx="1149">
                  <c:v>#N/A</c:v>
                </c:pt>
                <c:pt idx="1150">
                  <c:v>1088000</c:v>
                </c:pt>
                <c:pt idx="1151">
                  <c:v>#N/A</c:v>
                </c:pt>
                <c:pt idx="1152">
                  <c:v>1426000</c:v>
                </c:pt>
                <c:pt idx="1153">
                  <c:v>#N/A</c:v>
                </c:pt>
                <c:pt idx="1154">
                  <c:v>888000</c:v>
                </c:pt>
                <c:pt idx="1155">
                  <c:v>1435000</c:v>
                </c:pt>
                <c:pt idx="1156">
                  <c:v>#N/A</c:v>
                </c:pt>
                <c:pt idx="1157">
                  <c:v>1144000</c:v>
                </c:pt>
                <c:pt idx="1158">
                  <c:v>#N/A</c:v>
                </c:pt>
                <c:pt idx="1159">
                  <c:v>#N/A</c:v>
                </c:pt>
                <c:pt idx="1160">
                  <c:v>#N/A</c:v>
                </c:pt>
                <c:pt idx="1161">
                  <c:v>#N/A</c:v>
                </c:pt>
                <c:pt idx="1162">
                  <c:v>#N/A</c:v>
                </c:pt>
                <c:pt idx="1163">
                  <c:v>#N/A</c:v>
                </c:pt>
                <c:pt idx="1164">
                  <c:v>#N/A</c:v>
                </c:pt>
                <c:pt idx="1165">
                  <c:v>1150000</c:v>
                </c:pt>
                <c:pt idx="1166">
                  <c:v>#N/A</c:v>
                </c:pt>
                <c:pt idx="1167">
                  <c:v>#N/A</c:v>
                </c:pt>
                <c:pt idx="1168">
                  <c:v>#N/A</c:v>
                </c:pt>
                <c:pt idx="1169">
                  <c:v>#N/A</c:v>
                </c:pt>
                <c:pt idx="1170">
                  <c:v>#N/A</c:v>
                </c:pt>
                <c:pt idx="1171">
                  <c:v>#N/A</c:v>
                </c:pt>
                <c:pt idx="1172">
                  <c:v>#N/A</c:v>
                </c:pt>
                <c:pt idx="1173">
                  <c:v>705000</c:v>
                </c:pt>
                <c:pt idx="1174">
                  <c:v>#N/A</c:v>
                </c:pt>
                <c:pt idx="1175">
                  <c:v>#N/A</c:v>
                </c:pt>
                <c:pt idx="1176">
                  <c:v>#N/A</c:v>
                </c:pt>
                <c:pt idx="1177">
                  <c:v>#N/A</c:v>
                </c:pt>
                <c:pt idx="1178">
                  <c:v>#N/A</c:v>
                </c:pt>
                <c:pt idx="1179">
                  <c:v>1126000</c:v>
                </c:pt>
                <c:pt idx="1180">
                  <c:v>#N/A</c:v>
                </c:pt>
                <c:pt idx="1181">
                  <c:v>#N/A</c:v>
                </c:pt>
                <c:pt idx="1182">
                  <c:v>#N/A</c:v>
                </c:pt>
                <c:pt idx="1183">
                  <c:v>#N/A</c:v>
                </c:pt>
                <c:pt idx="1184">
                  <c:v>1028000</c:v>
                </c:pt>
                <c:pt idx="1185">
                  <c:v>1342000</c:v>
                </c:pt>
                <c:pt idx="1186">
                  <c:v>1509000</c:v>
                </c:pt>
                <c:pt idx="1187">
                  <c:v>#N/A</c:v>
                </c:pt>
                <c:pt idx="1188">
                  <c:v>#N/A</c:v>
                </c:pt>
                <c:pt idx="1189">
                  <c:v>#N/A</c:v>
                </c:pt>
                <c:pt idx="1190">
                  <c:v>#N/A</c:v>
                </c:pt>
                <c:pt idx="1191">
                  <c:v>#N/A</c:v>
                </c:pt>
                <c:pt idx="1192">
                  <c:v>913000</c:v>
                </c:pt>
                <c:pt idx="1193">
                  <c:v>1072000</c:v>
                </c:pt>
                <c:pt idx="1194">
                  <c:v>#N/A</c:v>
                </c:pt>
                <c:pt idx="1195">
                  <c:v>#N/A</c:v>
                </c:pt>
                <c:pt idx="1196">
                  <c:v>#N/A</c:v>
                </c:pt>
                <c:pt idx="1197">
                  <c:v>#N/A</c:v>
                </c:pt>
                <c:pt idx="1198">
                  <c:v>#N/A</c:v>
                </c:pt>
                <c:pt idx="1199">
                  <c:v>#N/A</c:v>
                </c:pt>
                <c:pt idx="1200">
                  <c:v>#N/A</c:v>
                </c:pt>
              </c:numCache>
            </c:numRef>
          </c:yVal>
          <c:smooth val="0"/>
          <c:extLst>
            <c:ext xmlns:c16="http://schemas.microsoft.com/office/drawing/2014/chart" uri="{C3380CC4-5D6E-409C-BE32-E72D297353CC}">
              <c16:uniqueId val="{00000003-E629-E440-B215-18940960DC09}"/>
            </c:ext>
          </c:extLst>
        </c:ser>
        <c:ser>
          <c:idx val="3"/>
          <c:order val="3"/>
          <c:tx>
            <c:v>Studio</c:v>
          </c:tx>
          <c:spPr>
            <a:ln w="25400" cap="rnd">
              <a:noFill/>
              <a:round/>
            </a:ln>
            <a:effectLst/>
          </c:spPr>
          <c:marker>
            <c:symbol val="circle"/>
            <c:size val="5"/>
            <c:spPr>
              <a:solidFill>
                <a:schemeClr val="accent4"/>
              </a:solidFill>
              <a:ln w="9525">
                <a:solidFill>
                  <a:schemeClr val="accent4"/>
                </a:solidFill>
              </a:ln>
              <a:effectLst/>
            </c:spPr>
          </c:marker>
          <c:xVal>
            <c:strRef>
              <c:f>riyadh_realestate_dataset!$W:$W</c:f>
              <c:strCache>
                <c:ptCount val="1201"/>
                <c:pt idx="0">
                  <c:v>studio_area</c:v>
                </c:pt>
                <c:pt idx="1">
                  <c:v>#N/A</c:v>
                </c:pt>
                <c:pt idx="2">
                  <c:v>#N/A</c:v>
                </c:pt>
                <c:pt idx="3">
                  <c:v>#N/A</c:v>
                </c:pt>
                <c:pt idx="4">
                  <c:v>#N/A</c:v>
                </c:pt>
                <c:pt idx="5">
                  <c:v>#N/A</c:v>
                </c:pt>
                <c:pt idx="6">
                  <c:v>#N/A</c:v>
                </c:pt>
                <c:pt idx="7">
                  <c:v>#N/A</c:v>
                </c:pt>
                <c:pt idx="8">
                  <c:v>#N/A</c:v>
                </c:pt>
                <c:pt idx="9">
                  <c:v>#N/A</c:v>
                </c:pt>
                <c:pt idx="10">
                  <c:v>#N/A</c:v>
                </c:pt>
                <c:pt idx="11">
                  <c:v>#N/A</c:v>
                </c:pt>
                <c:pt idx="12">
                  <c:v>#N/A</c:v>
                </c:pt>
                <c:pt idx="13">
                  <c:v>70</c:v>
                </c:pt>
                <c:pt idx="14">
                  <c:v>#N/A</c:v>
                </c:pt>
                <c:pt idx="15">
                  <c:v>#N/A</c:v>
                </c:pt>
                <c:pt idx="16">
                  <c:v>#N/A</c:v>
                </c:pt>
                <c:pt idx="17">
                  <c:v>#N/A</c:v>
                </c:pt>
                <c:pt idx="18">
                  <c:v>#N/A</c:v>
                </c:pt>
                <c:pt idx="19">
                  <c:v>#N/A</c:v>
                </c:pt>
                <c:pt idx="20">
                  <c:v>#N/A</c:v>
                </c:pt>
                <c:pt idx="21">
                  <c:v>#N/A</c:v>
                </c:pt>
                <c:pt idx="22">
                  <c:v>#N/A</c:v>
                </c:pt>
                <c:pt idx="23">
                  <c:v>#N/A</c:v>
                </c:pt>
                <c:pt idx="24">
                  <c:v>#N/A</c:v>
                </c:pt>
                <c:pt idx="25">
                  <c:v>#N/A</c:v>
                </c:pt>
                <c:pt idx="26">
                  <c:v>57</c:v>
                </c:pt>
                <c:pt idx="27">
                  <c:v>#N/A</c:v>
                </c:pt>
                <c:pt idx="28">
                  <c:v>#N/A</c:v>
                </c:pt>
                <c:pt idx="29">
                  <c:v>#N/A</c:v>
                </c:pt>
                <c:pt idx="30">
                  <c:v>#N/A</c:v>
                </c:pt>
                <c:pt idx="31">
                  <c:v>58</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41</c:v>
                </c:pt>
                <c:pt idx="62">
                  <c:v>#N/A</c:v>
                </c:pt>
                <c:pt idx="63">
                  <c:v>#N/A</c:v>
                </c:pt>
                <c:pt idx="64">
                  <c:v>#N/A</c:v>
                </c:pt>
                <c:pt idx="65">
                  <c:v>#N/A</c:v>
                </c:pt>
                <c:pt idx="66">
                  <c:v>#N/A</c:v>
                </c:pt>
                <c:pt idx="67">
                  <c:v>#N/A</c:v>
                </c:pt>
                <c:pt idx="68">
                  <c:v>#N/A</c:v>
                </c:pt>
                <c:pt idx="69">
                  <c:v>#N/A</c:v>
                </c:pt>
                <c:pt idx="70">
                  <c:v>#N/A</c:v>
                </c:pt>
                <c:pt idx="71">
                  <c:v>#N/A</c:v>
                </c:pt>
                <c:pt idx="72">
                  <c:v>#N/A</c:v>
                </c:pt>
                <c:pt idx="73">
                  <c:v>66</c:v>
                </c:pt>
                <c:pt idx="74">
                  <c:v>#N/A</c:v>
                </c:pt>
                <c:pt idx="75">
                  <c:v>#N/A</c:v>
                </c:pt>
                <c:pt idx="76">
                  <c:v>#N/A</c:v>
                </c:pt>
                <c:pt idx="77">
                  <c:v>#N/A</c:v>
                </c:pt>
                <c:pt idx="78">
                  <c:v>#N/A</c:v>
                </c:pt>
                <c:pt idx="79">
                  <c:v>39</c:v>
                </c:pt>
                <c:pt idx="80">
                  <c:v>#N/A</c:v>
                </c:pt>
                <c:pt idx="81">
                  <c:v>#N/A</c:v>
                </c:pt>
                <c:pt idx="82">
                  <c:v>70</c:v>
                </c:pt>
                <c:pt idx="83">
                  <c:v>#N/A</c:v>
                </c:pt>
                <c:pt idx="84">
                  <c:v>#N/A</c:v>
                </c:pt>
                <c:pt idx="85">
                  <c:v>63</c:v>
                </c:pt>
                <c:pt idx="86">
                  <c:v>#N/A</c:v>
                </c:pt>
                <c:pt idx="87">
                  <c:v>#N/A</c:v>
                </c:pt>
                <c:pt idx="88">
                  <c:v>#N/A</c:v>
                </c:pt>
                <c:pt idx="89">
                  <c:v>#N/A</c:v>
                </c:pt>
                <c:pt idx="90">
                  <c:v>#N/A</c:v>
                </c:pt>
                <c:pt idx="91">
                  <c:v>#N/A</c:v>
                </c:pt>
                <c:pt idx="92">
                  <c:v>#N/A</c:v>
                </c:pt>
                <c:pt idx="93">
                  <c:v>#N/A</c:v>
                </c:pt>
                <c:pt idx="94">
                  <c:v>#N/A</c:v>
                </c:pt>
                <c:pt idx="95">
                  <c:v>#N/A</c:v>
                </c:pt>
                <c:pt idx="96">
                  <c:v>48</c:v>
                </c:pt>
                <c:pt idx="97">
                  <c:v>#N/A</c:v>
                </c:pt>
                <c:pt idx="98">
                  <c:v>#N/A</c:v>
                </c:pt>
                <c:pt idx="99">
                  <c:v>#N/A</c:v>
                </c:pt>
                <c:pt idx="100">
                  <c:v>#N/A</c:v>
                </c:pt>
                <c:pt idx="101">
                  <c:v>#N/A</c:v>
                </c:pt>
                <c:pt idx="102">
                  <c:v>#N/A</c:v>
                </c:pt>
                <c:pt idx="103">
                  <c:v>#N/A</c:v>
                </c:pt>
                <c:pt idx="104">
                  <c:v>#N/A</c:v>
                </c:pt>
                <c:pt idx="105">
                  <c:v>#N/A</c:v>
                </c:pt>
                <c:pt idx="106">
                  <c:v>58</c:v>
                </c:pt>
                <c:pt idx="107">
                  <c:v>#N/A</c:v>
                </c:pt>
                <c:pt idx="108">
                  <c:v>#N/A</c:v>
                </c:pt>
                <c:pt idx="109">
                  <c:v>#N/A</c:v>
                </c:pt>
                <c:pt idx="110">
                  <c:v>#N/A</c:v>
                </c:pt>
                <c:pt idx="111">
                  <c:v>#N/A</c:v>
                </c:pt>
                <c:pt idx="112">
                  <c:v>#N/A</c:v>
                </c:pt>
                <c:pt idx="113">
                  <c:v>#N/A</c:v>
                </c:pt>
                <c:pt idx="114">
                  <c:v>#N/A</c:v>
                </c:pt>
                <c:pt idx="115">
                  <c:v>#N/A</c:v>
                </c:pt>
                <c:pt idx="116">
                  <c:v>54</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94</c:v>
                </c:pt>
                <c:pt idx="131">
                  <c:v>65</c:v>
                </c:pt>
                <c:pt idx="132">
                  <c:v>#N/A</c:v>
                </c:pt>
                <c:pt idx="133">
                  <c:v>#N/A</c:v>
                </c:pt>
                <c:pt idx="134">
                  <c:v>53</c:v>
                </c:pt>
                <c:pt idx="135">
                  <c:v>#N/A</c:v>
                </c:pt>
                <c:pt idx="136">
                  <c:v>#N/A</c:v>
                </c:pt>
                <c:pt idx="137">
                  <c:v>#N/A</c:v>
                </c:pt>
                <c:pt idx="138">
                  <c:v>#N/A</c:v>
                </c:pt>
                <c:pt idx="139">
                  <c:v>#N/A</c:v>
                </c:pt>
                <c:pt idx="140">
                  <c:v>62</c:v>
                </c:pt>
                <c:pt idx="141">
                  <c:v>#N/A</c:v>
                </c:pt>
                <c:pt idx="142">
                  <c:v>48</c:v>
                </c:pt>
                <c:pt idx="143">
                  <c:v>#N/A</c:v>
                </c:pt>
                <c:pt idx="144">
                  <c:v>#N/A</c:v>
                </c:pt>
                <c:pt idx="145">
                  <c:v>#N/A</c:v>
                </c:pt>
                <c:pt idx="146">
                  <c:v>#N/A</c:v>
                </c:pt>
                <c:pt idx="147">
                  <c:v>#N/A</c:v>
                </c:pt>
                <c:pt idx="148">
                  <c:v>#N/A</c:v>
                </c:pt>
                <c:pt idx="149">
                  <c:v>#N/A</c:v>
                </c:pt>
                <c:pt idx="150">
                  <c:v>48</c:v>
                </c:pt>
                <c:pt idx="151">
                  <c:v>#N/A</c:v>
                </c:pt>
                <c:pt idx="152">
                  <c:v>#N/A</c:v>
                </c:pt>
                <c:pt idx="153">
                  <c:v>#N/A</c:v>
                </c:pt>
                <c:pt idx="154">
                  <c:v>#N/A</c:v>
                </c:pt>
                <c:pt idx="155">
                  <c:v>68</c:v>
                </c:pt>
                <c:pt idx="156">
                  <c:v>#N/A</c:v>
                </c:pt>
                <c:pt idx="157">
                  <c:v>#N/A</c:v>
                </c:pt>
                <c:pt idx="158">
                  <c:v>#N/A</c:v>
                </c:pt>
                <c:pt idx="159">
                  <c:v>#N/A</c:v>
                </c:pt>
                <c:pt idx="160">
                  <c:v>#N/A</c:v>
                </c:pt>
                <c:pt idx="161">
                  <c:v>#N/A</c:v>
                </c:pt>
                <c:pt idx="162">
                  <c:v>#N/A</c:v>
                </c:pt>
                <c:pt idx="163">
                  <c:v>#N/A</c:v>
                </c:pt>
                <c:pt idx="164">
                  <c:v>#N/A</c:v>
                </c:pt>
                <c:pt idx="165">
                  <c:v>#N/A</c:v>
                </c:pt>
                <c:pt idx="166">
                  <c:v>60</c:v>
                </c:pt>
                <c:pt idx="167">
                  <c:v>#N/A</c:v>
                </c:pt>
                <c:pt idx="168">
                  <c:v>#N/A</c:v>
                </c:pt>
                <c:pt idx="169">
                  <c:v>71</c:v>
                </c:pt>
                <c:pt idx="170">
                  <c:v>#N/A</c:v>
                </c:pt>
                <c:pt idx="171">
                  <c:v>53</c:v>
                </c:pt>
                <c:pt idx="172">
                  <c:v>#N/A</c:v>
                </c:pt>
                <c:pt idx="173">
                  <c:v>#N/A</c:v>
                </c:pt>
                <c:pt idx="174">
                  <c:v>#N/A</c:v>
                </c:pt>
                <c:pt idx="175">
                  <c:v>#N/A</c:v>
                </c:pt>
                <c:pt idx="176">
                  <c:v>#N/A</c:v>
                </c:pt>
                <c:pt idx="177">
                  <c:v>#N/A</c:v>
                </c:pt>
                <c:pt idx="178">
                  <c:v>58</c:v>
                </c:pt>
                <c:pt idx="179">
                  <c:v>47</c:v>
                </c:pt>
                <c:pt idx="180">
                  <c:v>#N/A</c:v>
                </c:pt>
                <c:pt idx="181">
                  <c:v>#N/A</c:v>
                </c:pt>
                <c:pt idx="182">
                  <c:v>#N/A</c:v>
                </c:pt>
                <c:pt idx="183">
                  <c:v>#N/A</c:v>
                </c:pt>
                <c:pt idx="184">
                  <c:v>#N/A</c:v>
                </c:pt>
                <c:pt idx="185">
                  <c:v>63</c:v>
                </c:pt>
                <c:pt idx="186">
                  <c:v>#N/A</c:v>
                </c:pt>
                <c:pt idx="187">
                  <c:v>#N/A</c:v>
                </c:pt>
                <c:pt idx="188">
                  <c:v>#N/A</c:v>
                </c:pt>
                <c:pt idx="189">
                  <c:v>#N/A</c:v>
                </c:pt>
                <c:pt idx="190">
                  <c:v>#N/A</c:v>
                </c:pt>
                <c:pt idx="191">
                  <c:v>47</c:v>
                </c:pt>
                <c:pt idx="192">
                  <c:v>#N/A</c:v>
                </c:pt>
                <c:pt idx="193">
                  <c:v>#N/A</c:v>
                </c:pt>
                <c:pt idx="194">
                  <c:v>#N/A</c:v>
                </c:pt>
                <c:pt idx="195">
                  <c:v>#N/A</c:v>
                </c:pt>
                <c:pt idx="196">
                  <c:v>#N/A</c:v>
                </c:pt>
                <c:pt idx="197">
                  <c:v>#N/A</c:v>
                </c:pt>
                <c:pt idx="198">
                  <c:v>#N/A</c:v>
                </c:pt>
                <c:pt idx="199">
                  <c:v>#N/A</c:v>
                </c:pt>
                <c:pt idx="200">
                  <c:v>49</c:v>
                </c:pt>
                <c:pt idx="201">
                  <c:v>#N/A</c:v>
                </c:pt>
                <c:pt idx="202">
                  <c:v>#N/A</c:v>
                </c:pt>
                <c:pt idx="203">
                  <c:v>#N/A</c:v>
                </c:pt>
                <c:pt idx="204">
                  <c:v>#N/A</c:v>
                </c:pt>
                <c:pt idx="205">
                  <c:v>#N/A</c:v>
                </c:pt>
                <c:pt idx="206">
                  <c:v>#N/A</c:v>
                </c:pt>
                <c:pt idx="207">
                  <c:v>48</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67</c:v>
                </c:pt>
                <c:pt idx="234">
                  <c:v>#N/A</c:v>
                </c:pt>
                <c:pt idx="235">
                  <c:v>#N/A</c:v>
                </c:pt>
                <c:pt idx="236">
                  <c:v>#N/A</c:v>
                </c:pt>
                <c:pt idx="237">
                  <c:v>#N/A</c:v>
                </c:pt>
                <c:pt idx="238">
                  <c:v>#N/A</c:v>
                </c:pt>
                <c:pt idx="239">
                  <c:v>#N/A</c:v>
                </c:pt>
                <c:pt idx="240">
                  <c:v>55</c:v>
                </c:pt>
                <c:pt idx="241">
                  <c:v>#N/A</c:v>
                </c:pt>
                <c:pt idx="242">
                  <c:v>61</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53</c:v>
                </c:pt>
                <c:pt idx="277">
                  <c:v>50</c:v>
                </c:pt>
                <c:pt idx="278">
                  <c:v>#N/A</c:v>
                </c:pt>
                <c:pt idx="279">
                  <c:v>#N/A</c:v>
                </c:pt>
                <c:pt idx="280">
                  <c:v>#N/A</c:v>
                </c:pt>
                <c:pt idx="281">
                  <c:v>#N/A</c:v>
                </c:pt>
                <c:pt idx="282">
                  <c:v>#N/A</c:v>
                </c:pt>
                <c:pt idx="283">
                  <c:v>#N/A</c:v>
                </c:pt>
                <c:pt idx="284">
                  <c:v>#N/A</c:v>
                </c:pt>
                <c:pt idx="285">
                  <c:v>#N/A</c:v>
                </c:pt>
                <c:pt idx="286">
                  <c:v>#N/A</c:v>
                </c:pt>
                <c:pt idx="287">
                  <c:v>#N/A</c:v>
                </c:pt>
                <c:pt idx="288">
                  <c:v>#N/A</c:v>
                </c:pt>
                <c:pt idx="289">
                  <c:v>72</c:v>
                </c:pt>
                <c:pt idx="290">
                  <c:v>#N/A</c:v>
                </c:pt>
                <c:pt idx="291">
                  <c:v>#N/A</c:v>
                </c:pt>
                <c:pt idx="292">
                  <c:v>#N/A</c:v>
                </c:pt>
                <c:pt idx="293">
                  <c:v>#N/A</c:v>
                </c:pt>
                <c:pt idx="294">
                  <c:v>53</c:v>
                </c:pt>
                <c:pt idx="295">
                  <c:v>#N/A</c:v>
                </c:pt>
                <c:pt idx="296">
                  <c:v>#N/A</c:v>
                </c:pt>
                <c:pt idx="297">
                  <c:v>#N/A</c:v>
                </c:pt>
                <c:pt idx="298">
                  <c:v>#N/A</c:v>
                </c:pt>
                <c:pt idx="299">
                  <c:v>#N/A</c:v>
                </c:pt>
                <c:pt idx="300">
                  <c:v>#N/A</c:v>
                </c:pt>
                <c:pt idx="301">
                  <c:v>#N/A</c:v>
                </c:pt>
                <c:pt idx="302">
                  <c:v>#N/A</c:v>
                </c:pt>
                <c:pt idx="303">
                  <c:v>#N/A</c:v>
                </c:pt>
                <c:pt idx="304">
                  <c:v>#N/A</c:v>
                </c:pt>
                <c:pt idx="305">
                  <c:v>#N/A</c:v>
                </c:pt>
                <c:pt idx="306">
                  <c:v>63</c:v>
                </c:pt>
                <c:pt idx="307">
                  <c:v>#N/A</c:v>
                </c:pt>
                <c:pt idx="308">
                  <c:v>#N/A</c:v>
                </c:pt>
                <c:pt idx="309">
                  <c:v>48</c:v>
                </c:pt>
                <c:pt idx="310">
                  <c:v>61</c:v>
                </c:pt>
                <c:pt idx="311">
                  <c:v>#N/A</c:v>
                </c:pt>
                <c:pt idx="312">
                  <c:v>#N/A</c:v>
                </c:pt>
                <c:pt idx="313">
                  <c:v>#N/A</c:v>
                </c:pt>
                <c:pt idx="314">
                  <c:v>#N/A</c:v>
                </c:pt>
                <c:pt idx="315">
                  <c:v>#N/A</c:v>
                </c:pt>
                <c:pt idx="316">
                  <c:v>#N/A</c:v>
                </c:pt>
                <c:pt idx="317">
                  <c:v>#N/A</c:v>
                </c:pt>
                <c:pt idx="318">
                  <c:v>#N/A</c:v>
                </c:pt>
                <c:pt idx="319">
                  <c:v>#N/A</c:v>
                </c:pt>
                <c:pt idx="320">
                  <c:v>#N/A</c:v>
                </c:pt>
                <c:pt idx="321">
                  <c:v>61</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50</c:v>
                </c:pt>
                <c:pt idx="349">
                  <c:v>#N/A</c:v>
                </c:pt>
                <c:pt idx="350">
                  <c:v>45</c:v>
                </c:pt>
                <c:pt idx="351">
                  <c:v>#N/A</c:v>
                </c:pt>
                <c:pt idx="352">
                  <c:v>#N/A</c:v>
                </c:pt>
                <c:pt idx="353">
                  <c:v>#N/A</c:v>
                </c:pt>
                <c:pt idx="354">
                  <c:v>74</c:v>
                </c:pt>
                <c:pt idx="355">
                  <c:v>#N/A</c:v>
                </c:pt>
                <c:pt idx="356">
                  <c:v>#N/A</c:v>
                </c:pt>
                <c:pt idx="357">
                  <c:v>#N/A</c:v>
                </c:pt>
                <c:pt idx="358">
                  <c:v>#N/A</c:v>
                </c:pt>
                <c:pt idx="359">
                  <c:v>#N/A</c:v>
                </c:pt>
                <c:pt idx="360">
                  <c:v>#N/A</c:v>
                </c:pt>
                <c:pt idx="361">
                  <c:v>47</c:v>
                </c:pt>
                <c:pt idx="362">
                  <c:v>#N/A</c:v>
                </c:pt>
                <c:pt idx="363">
                  <c:v>#N/A</c:v>
                </c:pt>
                <c:pt idx="364">
                  <c:v>#N/A</c:v>
                </c:pt>
                <c:pt idx="365">
                  <c:v>#N/A</c:v>
                </c:pt>
                <c:pt idx="366">
                  <c:v>#N/A</c:v>
                </c:pt>
                <c:pt idx="367">
                  <c:v>#N/A</c:v>
                </c:pt>
                <c:pt idx="368">
                  <c:v>#N/A</c:v>
                </c:pt>
                <c:pt idx="369">
                  <c:v>#N/A</c:v>
                </c:pt>
                <c:pt idx="370">
                  <c:v>#N/A</c:v>
                </c:pt>
                <c:pt idx="371">
                  <c:v>45</c:v>
                </c:pt>
                <c:pt idx="372">
                  <c:v>#N/A</c:v>
                </c:pt>
                <c:pt idx="373">
                  <c:v>#N/A</c:v>
                </c:pt>
                <c:pt idx="374">
                  <c:v>#N/A</c:v>
                </c:pt>
                <c:pt idx="375">
                  <c:v>52</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52</c:v>
                </c:pt>
                <c:pt idx="390">
                  <c:v>#N/A</c:v>
                </c:pt>
                <c:pt idx="391">
                  <c:v>#N/A</c:v>
                </c:pt>
                <c:pt idx="392">
                  <c:v>#N/A</c:v>
                </c:pt>
                <c:pt idx="393">
                  <c:v>#N/A</c:v>
                </c:pt>
                <c:pt idx="394">
                  <c:v>#N/A</c:v>
                </c:pt>
                <c:pt idx="395">
                  <c:v>#N/A</c:v>
                </c:pt>
                <c:pt idx="396">
                  <c:v>#N/A</c:v>
                </c:pt>
                <c:pt idx="397">
                  <c:v>62</c:v>
                </c:pt>
                <c:pt idx="398">
                  <c:v>#N/A</c:v>
                </c:pt>
                <c:pt idx="399">
                  <c:v>#N/A</c:v>
                </c:pt>
                <c:pt idx="400">
                  <c:v>#N/A</c:v>
                </c:pt>
                <c:pt idx="401">
                  <c:v>53</c:v>
                </c:pt>
                <c:pt idx="402">
                  <c:v>#N/A</c:v>
                </c:pt>
                <c:pt idx="403">
                  <c:v>#N/A</c:v>
                </c:pt>
                <c:pt idx="404">
                  <c:v>#N/A</c:v>
                </c:pt>
                <c:pt idx="405">
                  <c:v>#N/A</c:v>
                </c:pt>
                <c:pt idx="406">
                  <c:v>52</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58</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56</c:v>
                </c:pt>
                <c:pt idx="443">
                  <c:v>#N/A</c:v>
                </c:pt>
                <c:pt idx="444">
                  <c:v>48</c:v>
                </c:pt>
                <c:pt idx="445">
                  <c:v>#N/A</c:v>
                </c:pt>
                <c:pt idx="446">
                  <c:v>#N/A</c:v>
                </c:pt>
                <c:pt idx="447">
                  <c:v>#N/A</c:v>
                </c:pt>
                <c:pt idx="448">
                  <c:v>#N/A</c:v>
                </c:pt>
                <c:pt idx="449">
                  <c:v>#N/A</c:v>
                </c:pt>
                <c:pt idx="450">
                  <c:v>#N/A</c:v>
                </c:pt>
                <c:pt idx="451">
                  <c:v>#N/A</c:v>
                </c:pt>
                <c:pt idx="452">
                  <c:v>#N/A</c:v>
                </c:pt>
                <c:pt idx="453">
                  <c:v>#N/A</c:v>
                </c:pt>
                <c:pt idx="454">
                  <c:v>#N/A</c:v>
                </c:pt>
                <c:pt idx="455">
                  <c:v>63</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69</c:v>
                </c:pt>
                <c:pt idx="477">
                  <c:v>#N/A</c:v>
                </c:pt>
                <c:pt idx="478">
                  <c:v>70</c:v>
                </c:pt>
                <c:pt idx="479">
                  <c:v>#N/A</c:v>
                </c:pt>
                <c:pt idx="480">
                  <c:v>#N/A</c:v>
                </c:pt>
                <c:pt idx="481">
                  <c:v>#N/A</c:v>
                </c:pt>
                <c:pt idx="482">
                  <c:v>#N/A</c:v>
                </c:pt>
                <c:pt idx="483">
                  <c:v>#N/A</c:v>
                </c:pt>
                <c:pt idx="484">
                  <c:v>#N/A</c:v>
                </c:pt>
                <c:pt idx="485">
                  <c:v>#N/A</c:v>
                </c:pt>
                <c:pt idx="486">
                  <c:v>#N/A</c:v>
                </c:pt>
                <c:pt idx="487">
                  <c:v>#N/A</c:v>
                </c:pt>
                <c:pt idx="488">
                  <c:v>#N/A</c:v>
                </c:pt>
                <c:pt idx="489">
                  <c:v>57</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51</c:v>
                </c:pt>
                <c:pt idx="503">
                  <c:v>#N/A</c:v>
                </c:pt>
                <c:pt idx="504">
                  <c:v>#N/A</c:v>
                </c:pt>
                <c:pt idx="505">
                  <c:v>#N/A</c:v>
                </c:pt>
                <c:pt idx="506">
                  <c:v>47</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59</c:v>
                </c:pt>
                <c:pt idx="524">
                  <c:v>#N/A</c:v>
                </c:pt>
                <c:pt idx="525">
                  <c:v>#N/A</c:v>
                </c:pt>
                <c:pt idx="526">
                  <c:v>55</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41</c:v>
                </c:pt>
                <c:pt idx="542">
                  <c:v>#N/A</c:v>
                </c:pt>
                <c:pt idx="543">
                  <c:v>#N/A</c:v>
                </c:pt>
                <c:pt idx="544">
                  <c:v>#N/A</c:v>
                </c:pt>
                <c:pt idx="545">
                  <c:v>#N/A</c:v>
                </c:pt>
                <c:pt idx="546">
                  <c:v>#N/A</c:v>
                </c:pt>
                <c:pt idx="547">
                  <c:v>#N/A</c:v>
                </c:pt>
                <c:pt idx="548">
                  <c:v>54</c:v>
                </c:pt>
                <c:pt idx="549">
                  <c:v>#N/A</c:v>
                </c:pt>
                <c:pt idx="550">
                  <c:v>#N/A</c:v>
                </c:pt>
                <c:pt idx="551">
                  <c:v>#N/A</c:v>
                </c:pt>
                <c:pt idx="552">
                  <c:v>#N/A</c:v>
                </c:pt>
                <c:pt idx="553">
                  <c:v>#N/A</c:v>
                </c:pt>
                <c:pt idx="554">
                  <c:v>#N/A</c:v>
                </c:pt>
                <c:pt idx="555">
                  <c:v>#N/A</c:v>
                </c:pt>
                <c:pt idx="556">
                  <c:v>60</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45</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50</c:v>
                </c:pt>
                <c:pt idx="604">
                  <c:v>#N/A</c:v>
                </c:pt>
                <c:pt idx="605">
                  <c:v>#N/A</c:v>
                </c:pt>
                <c:pt idx="606">
                  <c:v>#N/A</c:v>
                </c:pt>
                <c:pt idx="607">
                  <c:v>#N/A</c:v>
                </c:pt>
                <c:pt idx="608">
                  <c:v>#N/A</c:v>
                </c:pt>
                <c:pt idx="609">
                  <c:v>#N/A</c:v>
                </c:pt>
                <c:pt idx="610">
                  <c:v>#N/A</c:v>
                </c:pt>
                <c:pt idx="611">
                  <c:v>#N/A</c:v>
                </c:pt>
                <c:pt idx="612">
                  <c:v>#N/A</c:v>
                </c:pt>
                <c:pt idx="613">
                  <c:v>#N/A</c:v>
                </c:pt>
                <c:pt idx="614">
                  <c:v>58</c:v>
                </c:pt>
                <c:pt idx="615">
                  <c:v>#N/A</c:v>
                </c:pt>
                <c:pt idx="616">
                  <c:v>#N/A</c:v>
                </c:pt>
                <c:pt idx="617">
                  <c:v>#N/A</c:v>
                </c:pt>
                <c:pt idx="618">
                  <c:v>#N/A</c:v>
                </c:pt>
                <c:pt idx="619">
                  <c:v>#N/A</c:v>
                </c:pt>
                <c:pt idx="620">
                  <c:v>#N/A</c:v>
                </c:pt>
                <c:pt idx="621">
                  <c:v>42</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55</c:v>
                </c:pt>
                <c:pt idx="637">
                  <c:v>#N/A</c:v>
                </c:pt>
                <c:pt idx="638">
                  <c:v>#N/A</c:v>
                </c:pt>
                <c:pt idx="639">
                  <c:v>#N/A</c:v>
                </c:pt>
                <c:pt idx="640">
                  <c:v>#N/A</c:v>
                </c:pt>
                <c:pt idx="641">
                  <c:v>76</c:v>
                </c:pt>
                <c:pt idx="642">
                  <c:v>#N/A</c:v>
                </c:pt>
                <c:pt idx="643">
                  <c:v>#N/A</c:v>
                </c:pt>
                <c:pt idx="644">
                  <c:v>#N/A</c:v>
                </c:pt>
                <c:pt idx="645">
                  <c:v>#N/A</c:v>
                </c:pt>
                <c:pt idx="646">
                  <c:v>#N/A</c:v>
                </c:pt>
                <c:pt idx="647">
                  <c:v>#N/A</c:v>
                </c:pt>
                <c:pt idx="648">
                  <c:v>#N/A</c:v>
                </c:pt>
                <c:pt idx="649">
                  <c:v>79</c:v>
                </c:pt>
                <c:pt idx="650">
                  <c:v>#N/A</c:v>
                </c:pt>
                <c:pt idx="651">
                  <c:v>#N/A</c:v>
                </c:pt>
                <c:pt idx="652">
                  <c:v>67</c:v>
                </c:pt>
                <c:pt idx="653">
                  <c:v>#N/A</c:v>
                </c:pt>
                <c:pt idx="654">
                  <c:v>#N/A</c:v>
                </c:pt>
                <c:pt idx="655">
                  <c:v>#N/A</c:v>
                </c:pt>
                <c:pt idx="656">
                  <c:v>#N/A</c:v>
                </c:pt>
                <c:pt idx="657">
                  <c:v>#N/A</c:v>
                </c:pt>
                <c:pt idx="658">
                  <c:v>60</c:v>
                </c:pt>
                <c:pt idx="659">
                  <c:v>#N/A</c:v>
                </c:pt>
                <c:pt idx="660">
                  <c:v>#N/A</c:v>
                </c:pt>
                <c:pt idx="661">
                  <c:v>#N/A</c:v>
                </c:pt>
                <c:pt idx="662">
                  <c:v>#N/A</c:v>
                </c:pt>
                <c:pt idx="663">
                  <c:v>#N/A</c:v>
                </c:pt>
                <c:pt idx="664">
                  <c:v>#N/A</c:v>
                </c:pt>
                <c:pt idx="665">
                  <c:v>#N/A</c:v>
                </c:pt>
                <c:pt idx="666">
                  <c:v>47</c:v>
                </c:pt>
                <c:pt idx="667">
                  <c:v>#N/A</c:v>
                </c:pt>
                <c:pt idx="668">
                  <c:v>#N/A</c:v>
                </c:pt>
                <c:pt idx="669">
                  <c:v>#N/A</c:v>
                </c:pt>
                <c:pt idx="670">
                  <c:v>#N/A</c:v>
                </c:pt>
                <c:pt idx="671">
                  <c:v>#N/A</c:v>
                </c:pt>
                <c:pt idx="672">
                  <c:v>#N/A</c:v>
                </c:pt>
                <c:pt idx="673">
                  <c:v>#N/A</c:v>
                </c:pt>
                <c:pt idx="674">
                  <c:v>#N/A</c:v>
                </c:pt>
                <c:pt idx="675">
                  <c:v>#N/A</c:v>
                </c:pt>
                <c:pt idx="676">
                  <c:v>#N/A</c:v>
                </c:pt>
                <c:pt idx="677">
                  <c:v>63</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45</c:v>
                </c:pt>
                <c:pt idx="715">
                  <c:v>#N/A</c:v>
                </c:pt>
                <c:pt idx="716">
                  <c:v>#N/A</c:v>
                </c:pt>
                <c:pt idx="717">
                  <c:v>#N/A</c:v>
                </c:pt>
                <c:pt idx="718">
                  <c:v>39</c:v>
                </c:pt>
                <c:pt idx="719">
                  <c:v>#N/A</c:v>
                </c:pt>
                <c:pt idx="720">
                  <c:v>#N/A</c:v>
                </c:pt>
                <c:pt idx="721">
                  <c:v>#N/A</c:v>
                </c:pt>
                <c:pt idx="722">
                  <c:v>#N/A</c:v>
                </c:pt>
                <c:pt idx="723">
                  <c:v>#N/A</c:v>
                </c:pt>
                <c:pt idx="724">
                  <c:v>#N/A</c:v>
                </c:pt>
                <c:pt idx="725">
                  <c:v>#N/A</c:v>
                </c:pt>
                <c:pt idx="726">
                  <c:v>41</c:v>
                </c:pt>
                <c:pt idx="727">
                  <c:v>#N/A</c:v>
                </c:pt>
                <c:pt idx="728">
                  <c:v>#N/A</c:v>
                </c:pt>
                <c:pt idx="729">
                  <c:v>#N/A</c:v>
                </c:pt>
                <c:pt idx="730">
                  <c:v>#N/A</c:v>
                </c:pt>
                <c:pt idx="731">
                  <c:v>#N/A</c:v>
                </c:pt>
                <c:pt idx="732">
                  <c:v>#N/A</c:v>
                </c:pt>
                <c:pt idx="733">
                  <c:v>#N/A</c:v>
                </c:pt>
                <c:pt idx="734">
                  <c:v>#N/A</c:v>
                </c:pt>
                <c:pt idx="735">
                  <c:v>#N/A</c:v>
                </c:pt>
                <c:pt idx="736">
                  <c:v>#N/A</c:v>
                </c:pt>
                <c:pt idx="737">
                  <c:v>#N/A</c:v>
                </c:pt>
                <c:pt idx="738">
                  <c:v>42</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41</c:v>
                </c:pt>
                <c:pt idx="774">
                  <c:v>#N/A</c:v>
                </c:pt>
                <c:pt idx="775">
                  <c:v>#N/A</c:v>
                </c:pt>
                <c:pt idx="776">
                  <c:v>#N/A</c:v>
                </c:pt>
                <c:pt idx="777">
                  <c:v>#N/A</c:v>
                </c:pt>
                <c:pt idx="778">
                  <c:v>#N/A</c:v>
                </c:pt>
                <c:pt idx="779">
                  <c:v>#N/A</c:v>
                </c:pt>
                <c:pt idx="780">
                  <c:v>#N/A</c:v>
                </c:pt>
                <c:pt idx="781">
                  <c:v>#N/A</c:v>
                </c:pt>
                <c:pt idx="782">
                  <c:v>#N/A</c:v>
                </c:pt>
                <c:pt idx="783">
                  <c:v>67</c:v>
                </c:pt>
                <c:pt idx="784">
                  <c:v>53</c:v>
                </c:pt>
                <c:pt idx="785">
                  <c:v>#N/A</c:v>
                </c:pt>
                <c:pt idx="786">
                  <c:v>#N/A</c:v>
                </c:pt>
                <c:pt idx="787">
                  <c:v>#N/A</c:v>
                </c:pt>
                <c:pt idx="788">
                  <c:v>#N/A</c:v>
                </c:pt>
                <c:pt idx="789">
                  <c:v>#N/A</c:v>
                </c:pt>
                <c:pt idx="790">
                  <c:v>#N/A</c:v>
                </c:pt>
                <c:pt idx="791">
                  <c:v>#N/A</c:v>
                </c:pt>
                <c:pt idx="792">
                  <c:v>#N/A</c:v>
                </c:pt>
                <c:pt idx="793">
                  <c:v>#N/A</c:v>
                </c:pt>
                <c:pt idx="794">
                  <c:v>#N/A</c:v>
                </c:pt>
                <c:pt idx="795">
                  <c:v>#N/A</c:v>
                </c:pt>
                <c:pt idx="796">
                  <c:v>71</c:v>
                </c:pt>
                <c:pt idx="797">
                  <c:v>#N/A</c:v>
                </c:pt>
                <c:pt idx="798">
                  <c:v>#N/A</c:v>
                </c:pt>
                <c:pt idx="799">
                  <c:v>#N/A</c:v>
                </c:pt>
                <c:pt idx="800">
                  <c:v>#N/A</c:v>
                </c:pt>
                <c:pt idx="801">
                  <c:v>#N/A</c:v>
                </c:pt>
                <c:pt idx="802">
                  <c:v>#N/A</c:v>
                </c:pt>
                <c:pt idx="803">
                  <c:v>45</c:v>
                </c:pt>
                <c:pt idx="804">
                  <c:v>#N/A</c:v>
                </c:pt>
                <c:pt idx="805">
                  <c:v>#N/A</c:v>
                </c:pt>
                <c:pt idx="806">
                  <c:v>#N/A</c:v>
                </c:pt>
                <c:pt idx="807">
                  <c:v>#N/A</c:v>
                </c:pt>
                <c:pt idx="808">
                  <c:v>#N/A</c:v>
                </c:pt>
                <c:pt idx="809">
                  <c:v>#N/A</c:v>
                </c:pt>
                <c:pt idx="810">
                  <c:v>#N/A</c:v>
                </c:pt>
                <c:pt idx="811">
                  <c:v>#N/A</c:v>
                </c:pt>
                <c:pt idx="812">
                  <c:v>#N/A</c:v>
                </c:pt>
                <c:pt idx="813">
                  <c:v>49</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67</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61</c:v>
                </c:pt>
                <c:pt idx="849">
                  <c:v>#N/A</c:v>
                </c:pt>
                <c:pt idx="850">
                  <c:v>#N/A</c:v>
                </c:pt>
                <c:pt idx="851">
                  <c:v>#N/A</c:v>
                </c:pt>
                <c:pt idx="852">
                  <c:v>51</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60</c:v>
                </c:pt>
                <c:pt idx="887">
                  <c:v>63</c:v>
                </c:pt>
                <c:pt idx="888">
                  <c:v>67</c:v>
                </c:pt>
                <c:pt idx="889">
                  <c:v>54</c:v>
                </c:pt>
                <c:pt idx="890">
                  <c:v>#N/A</c:v>
                </c:pt>
                <c:pt idx="891">
                  <c:v>#N/A</c:v>
                </c:pt>
                <c:pt idx="892">
                  <c:v>#N/A</c:v>
                </c:pt>
                <c:pt idx="893">
                  <c:v>70</c:v>
                </c:pt>
                <c:pt idx="894">
                  <c:v>52</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51</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41</c:v>
                </c:pt>
                <c:pt idx="931">
                  <c:v>#N/A</c:v>
                </c:pt>
                <c:pt idx="932">
                  <c:v>#N/A</c:v>
                </c:pt>
                <c:pt idx="933">
                  <c:v>#N/A</c:v>
                </c:pt>
                <c:pt idx="934">
                  <c:v>#N/A</c:v>
                </c:pt>
                <c:pt idx="935">
                  <c:v>#N/A</c:v>
                </c:pt>
                <c:pt idx="936">
                  <c:v>#N/A</c:v>
                </c:pt>
                <c:pt idx="937">
                  <c:v>#N/A</c:v>
                </c:pt>
                <c:pt idx="938">
                  <c:v>#N/A</c:v>
                </c:pt>
                <c:pt idx="939">
                  <c:v>#N/A</c:v>
                </c:pt>
                <c:pt idx="940">
                  <c:v>#N/A</c:v>
                </c:pt>
                <c:pt idx="941">
                  <c:v>#N/A</c:v>
                </c:pt>
                <c:pt idx="942">
                  <c:v>69</c:v>
                </c:pt>
                <c:pt idx="943">
                  <c:v>44</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60</c:v>
                </c:pt>
                <c:pt idx="957">
                  <c:v>#N/A</c:v>
                </c:pt>
                <c:pt idx="958">
                  <c:v>46</c:v>
                </c:pt>
                <c:pt idx="959">
                  <c:v>#N/A</c:v>
                </c:pt>
                <c:pt idx="960">
                  <c:v>#N/A</c:v>
                </c:pt>
                <c:pt idx="961">
                  <c:v>#N/A</c:v>
                </c:pt>
                <c:pt idx="962">
                  <c:v>#N/A</c:v>
                </c:pt>
                <c:pt idx="963">
                  <c:v>43</c:v>
                </c:pt>
                <c:pt idx="964">
                  <c:v>#N/A</c:v>
                </c:pt>
                <c:pt idx="965">
                  <c:v>#N/A</c:v>
                </c:pt>
                <c:pt idx="966">
                  <c:v>#N/A</c:v>
                </c:pt>
                <c:pt idx="967">
                  <c:v>#N/A</c:v>
                </c:pt>
                <c:pt idx="968">
                  <c:v>#N/A</c:v>
                </c:pt>
                <c:pt idx="969">
                  <c:v>#N/A</c:v>
                </c:pt>
                <c:pt idx="970">
                  <c:v>#N/A</c:v>
                </c:pt>
                <c:pt idx="971">
                  <c:v>60</c:v>
                </c:pt>
                <c:pt idx="972">
                  <c:v>#N/A</c:v>
                </c:pt>
                <c:pt idx="973">
                  <c:v>#N/A</c:v>
                </c:pt>
                <c:pt idx="974">
                  <c:v>#N/A</c:v>
                </c:pt>
                <c:pt idx="975">
                  <c:v>#N/A</c:v>
                </c:pt>
                <c:pt idx="976">
                  <c:v>#N/A</c:v>
                </c:pt>
                <c:pt idx="977">
                  <c:v>#N/A</c:v>
                </c:pt>
                <c:pt idx="978">
                  <c:v>#N/A</c:v>
                </c:pt>
                <c:pt idx="979">
                  <c:v>#N/A</c:v>
                </c:pt>
                <c:pt idx="980">
                  <c:v>#N/A</c:v>
                </c:pt>
                <c:pt idx="981">
                  <c:v>#N/A</c:v>
                </c:pt>
                <c:pt idx="982">
                  <c:v>51</c:v>
                </c:pt>
                <c:pt idx="983">
                  <c:v>#N/A</c:v>
                </c:pt>
                <c:pt idx="984">
                  <c:v>#N/A</c:v>
                </c:pt>
                <c:pt idx="985">
                  <c:v>#N/A</c:v>
                </c:pt>
                <c:pt idx="986">
                  <c:v>#N/A</c:v>
                </c:pt>
                <c:pt idx="987">
                  <c:v>#N/A</c:v>
                </c:pt>
                <c:pt idx="988">
                  <c:v>#N/A</c:v>
                </c:pt>
                <c:pt idx="989">
                  <c:v>#N/A</c:v>
                </c:pt>
                <c:pt idx="990">
                  <c:v>#N/A</c:v>
                </c:pt>
                <c:pt idx="991">
                  <c:v>#N/A</c:v>
                </c:pt>
                <c:pt idx="992">
                  <c:v>44</c:v>
                </c:pt>
                <c:pt idx="993">
                  <c:v>#N/A</c:v>
                </c:pt>
                <c:pt idx="994">
                  <c:v>#N/A</c:v>
                </c:pt>
                <c:pt idx="995">
                  <c:v>#N/A</c:v>
                </c:pt>
                <c:pt idx="996">
                  <c:v>#N/A</c:v>
                </c:pt>
                <c:pt idx="997">
                  <c:v>#N/A</c:v>
                </c:pt>
                <c:pt idx="998">
                  <c:v>#N/A</c:v>
                </c:pt>
                <c:pt idx="999">
                  <c:v>#N/A</c:v>
                </c:pt>
                <c:pt idx="1000">
                  <c:v>#N/A</c:v>
                </c:pt>
                <c:pt idx="1001">
                  <c:v>#N/A</c:v>
                </c:pt>
                <c:pt idx="1002">
                  <c:v>#N/A</c:v>
                </c:pt>
                <c:pt idx="1003">
                  <c:v>#N/A</c:v>
                </c:pt>
                <c:pt idx="1004">
                  <c:v>62</c:v>
                </c:pt>
                <c:pt idx="1005">
                  <c:v>#N/A</c:v>
                </c:pt>
                <c:pt idx="1006">
                  <c:v>#N/A</c:v>
                </c:pt>
                <c:pt idx="1007">
                  <c:v>#N/A</c:v>
                </c:pt>
                <c:pt idx="1008">
                  <c:v>#N/A</c:v>
                </c:pt>
                <c:pt idx="1009">
                  <c:v>#N/A</c:v>
                </c:pt>
                <c:pt idx="1010">
                  <c:v>#N/A</c:v>
                </c:pt>
                <c:pt idx="1011">
                  <c:v>77</c:v>
                </c:pt>
                <c:pt idx="1012">
                  <c:v>#N/A</c:v>
                </c:pt>
                <c:pt idx="1013">
                  <c:v>#N/A</c:v>
                </c:pt>
                <c:pt idx="1014">
                  <c:v>#N/A</c:v>
                </c:pt>
                <c:pt idx="1015">
                  <c:v>#N/A</c:v>
                </c:pt>
                <c:pt idx="1016">
                  <c:v>42</c:v>
                </c:pt>
                <c:pt idx="1017">
                  <c:v>#N/A</c:v>
                </c:pt>
                <c:pt idx="1018">
                  <c:v>#N/A</c:v>
                </c:pt>
                <c:pt idx="1019">
                  <c:v>#N/A</c:v>
                </c:pt>
                <c:pt idx="1020">
                  <c:v>#N/A</c:v>
                </c:pt>
                <c:pt idx="1021">
                  <c:v>#N/A</c:v>
                </c:pt>
                <c:pt idx="1022">
                  <c:v>#N/A</c:v>
                </c:pt>
                <c:pt idx="1023">
                  <c:v>#N/A</c:v>
                </c:pt>
                <c:pt idx="1024">
                  <c:v>47</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54</c:v>
                </c:pt>
                <c:pt idx="1052">
                  <c:v>#N/A</c:v>
                </c:pt>
                <c:pt idx="1053">
                  <c:v>#N/A</c:v>
                </c:pt>
                <c:pt idx="1054">
                  <c:v>45</c:v>
                </c:pt>
                <c:pt idx="1055">
                  <c:v>65</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63</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52</c:v>
                </c:pt>
                <c:pt idx="1085">
                  <c:v>#N/A</c:v>
                </c:pt>
                <c:pt idx="1086">
                  <c:v>#N/A</c:v>
                </c:pt>
                <c:pt idx="1087">
                  <c:v>#N/A</c:v>
                </c:pt>
                <c:pt idx="1088">
                  <c:v>#N/A</c:v>
                </c:pt>
                <c:pt idx="1089">
                  <c:v>#N/A</c:v>
                </c:pt>
                <c:pt idx="1090">
                  <c:v>#N/A</c:v>
                </c:pt>
                <c:pt idx="1091">
                  <c:v>47</c:v>
                </c:pt>
                <c:pt idx="1092">
                  <c:v>#N/A</c:v>
                </c:pt>
                <c:pt idx="1093">
                  <c:v>#N/A</c:v>
                </c:pt>
                <c:pt idx="1094">
                  <c:v>#N/A</c:v>
                </c:pt>
                <c:pt idx="1095">
                  <c:v>#N/A</c:v>
                </c:pt>
                <c:pt idx="1096">
                  <c:v>#N/A</c:v>
                </c:pt>
                <c:pt idx="1097">
                  <c:v>66</c:v>
                </c:pt>
                <c:pt idx="1098">
                  <c:v>75</c:v>
                </c:pt>
                <c:pt idx="1099">
                  <c:v>#N/A</c:v>
                </c:pt>
                <c:pt idx="1100">
                  <c:v>#N/A</c:v>
                </c:pt>
                <c:pt idx="1101">
                  <c:v>#N/A</c:v>
                </c:pt>
                <c:pt idx="1102">
                  <c:v>60</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60</c:v>
                </c:pt>
                <c:pt idx="1116">
                  <c:v>#N/A</c:v>
                </c:pt>
                <c:pt idx="1117">
                  <c:v>#N/A</c:v>
                </c:pt>
                <c:pt idx="1118">
                  <c:v>#N/A</c:v>
                </c:pt>
                <c:pt idx="1119">
                  <c:v>#N/A</c:v>
                </c:pt>
                <c:pt idx="1120">
                  <c:v>#N/A</c:v>
                </c:pt>
                <c:pt idx="1121">
                  <c:v>#N/A</c:v>
                </c:pt>
                <c:pt idx="1122">
                  <c:v>#N/A</c:v>
                </c:pt>
                <c:pt idx="1123">
                  <c:v>#N/A</c:v>
                </c:pt>
                <c:pt idx="1124">
                  <c:v>59</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47</c:v>
                </c:pt>
                <c:pt idx="1138">
                  <c:v>#N/A</c:v>
                </c:pt>
                <c:pt idx="1139">
                  <c:v>#N/A</c:v>
                </c:pt>
                <c:pt idx="1140">
                  <c:v>#N/A</c:v>
                </c:pt>
                <c:pt idx="1141">
                  <c:v>#N/A</c:v>
                </c:pt>
                <c:pt idx="1142">
                  <c:v>#N/A</c:v>
                </c:pt>
                <c:pt idx="1143">
                  <c:v>#N/A</c:v>
                </c:pt>
                <c:pt idx="1144">
                  <c:v>#N/A</c:v>
                </c:pt>
                <c:pt idx="1145">
                  <c:v>#N/A</c:v>
                </c:pt>
                <c:pt idx="1146">
                  <c:v>#N/A</c:v>
                </c:pt>
                <c:pt idx="1147">
                  <c:v>#N/A</c:v>
                </c:pt>
                <c:pt idx="1148">
                  <c:v>#N/A</c:v>
                </c:pt>
                <c:pt idx="1149">
                  <c:v>69</c:v>
                </c:pt>
                <c:pt idx="1150">
                  <c:v>#N/A</c:v>
                </c:pt>
                <c:pt idx="1151">
                  <c:v>#N/A</c:v>
                </c:pt>
                <c:pt idx="1152">
                  <c:v>#N/A</c:v>
                </c:pt>
                <c:pt idx="1153">
                  <c:v>#N/A</c:v>
                </c:pt>
                <c:pt idx="1154">
                  <c:v>#N/A</c:v>
                </c:pt>
                <c:pt idx="1155">
                  <c:v>#N/A</c:v>
                </c:pt>
                <c:pt idx="1156">
                  <c:v>60</c:v>
                </c:pt>
                <c:pt idx="1157">
                  <c:v>#N/A</c:v>
                </c:pt>
                <c:pt idx="1158">
                  <c:v>#N/A</c:v>
                </c:pt>
                <c:pt idx="1159">
                  <c:v>#N/A</c:v>
                </c:pt>
                <c:pt idx="1160">
                  <c:v>#N/A</c:v>
                </c:pt>
                <c:pt idx="1161">
                  <c:v>47</c:v>
                </c:pt>
                <c:pt idx="1162">
                  <c:v>#N/A</c:v>
                </c:pt>
                <c:pt idx="1163">
                  <c:v>#N/A</c:v>
                </c:pt>
                <c:pt idx="1164">
                  <c:v>#N/A</c:v>
                </c:pt>
                <c:pt idx="1165">
                  <c:v>#N/A</c:v>
                </c:pt>
                <c:pt idx="1166">
                  <c:v>#N/A</c:v>
                </c:pt>
                <c:pt idx="1167">
                  <c:v>42</c:v>
                </c:pt>
                <c:pt idx="1168">
                  <c:v>#N/A</c:v>
                </c:pt>
                <c:pt idx="1169">
                  <c:v>#N/A</c:v>
                </c:pt>
                <c:pt idx="1170">
                  <c:v>#N/A</c:v>
                </c:pt>
                <c:pt idx="1171">
                  <c:v>#N/A</c:v>
                </c:pt>
                <c:pt idx="1172">
                  <c:v>#N/A</c:v>
                </c:pt>
                <c:pt idx="1173">
                  <c:v>#N/A</c:v>
                </c:pt>
                <c:pt idx="1174">
                  <c:v>#N/A</c:v>
                </c:pt>
                <c:pt idx="1175">
                  <c:v>#N/A</c:v>
                </c:pt>
                <c:pt idx="1176">
                  <c:v>#N/A</c:v>
                </c:pt>
                <c:pt idx="1177">
                  <c:v>56</c:v>
                </c:pt>
                <c:pt idx="1178">
                  <c:v>57</c:v>
                </c:pt>
                <c:pt idx="1179">
                  <c:v>#N/A</c:v>
                </c:pt>
                <c:pt idx="1180">
                  <c:v>#N/A</c:v>
                </c:pt>
                <c:pt idx="1181">
                  <c:v>#N/A</c:v>
                </c:pt>
                <c:pt idx="1182">
                  <c:v>#N/A</c:v>
                </c:pt>
                <c:pt idx="1183">
                  <c:v>#N/A</c:v>
                </c:pt>
                <c:pt idx="1184">
                  <c:v>#N/A</c:v>
                </c:pt>
                <c:pt idx="1185">
                  <c:v>#N/A</c:v>
                </c:pt>
                <c:pt idx="1186">
                  <c:v>#N/A</c:v>
                </c:pt>
                <c:pt idx="1187">
                  <c:v>61</c:v>
                </c:pt>
                <c:pt idx="1188">
                  <c:v>44</c:v>
                </c:pt>
                <c:pt idx="1189">
                  <c:v>#N/A</c:v>
                </c:pt>
                <c:pt idx="1190">
                  <c:v>#N/A</c:v>
                </c:pt>
                <c:pt idx="1191">
                  <c:v>59</c:v>
                </c:pt>
                <c:pt idx="1192">
                  <c:v>#N/A</c:v>
                </c:pt>
                <c:pt idx="1193">
                  <c:v>#N/A</c:v>
                </c:pt>
                <c:pt idx="1194">
                  <c:v>#N/A</c:v>
                </c:pt>
                <c:pt idx="1195">
                  <c:v>#N/A</c:v>
                </c:pt>
                <c:pt idx="1196">
                  <c:v>#N/A</c:v>
                </c:pt>
                <c:pt idx="1197">
                  <c:v>#N/A</c:v>
                </c:pt>
                <c:pt idx="1198">
                  <c:v>#N/A</c:v>
                </c:pt>
                <c:pt idx="1199">
                  <c:v>#N/A</c:v>
                </c:pt>
                <c:pt idx="1200">
                  <c:v>#N/A</c:v>
                </c:pt>
              </c:strCache>
            </c:strRef>
          </c:xVal>
          <c:yVal>
            <c:numRef>
              <c:f>riyadh_realestate_dataset!$V:$V</c:f>
              <c:numCache>
                <c:formatCode>General</c:formatCode>
                <c:ptCount val="1048576"/>
                <c:pt idx="0">
                  <c:v>0</c:v>
                </c:pt>
                <c:pt idx="1">
                  <c:v>#N/A</c:v>
                </c:pt>
                <c:pt idx="2">
                  <c:v>#N/A</c:v>
                </c:pt>
                <c:pt idx="3">
                  <c:v>#N/A</c:v>
                </c:pt>
                <c:pt idx="4">
                  <c:v>#N/A</c:v>
                </c:pt>
                <c:pt idx="5">
                  <c:v>#N/A</c:v>
                </c:pt>
                <c:pt idx="6">
                  <c:v>#N/A</c:v>
                </c:pt>
                <c:pt idx="7">
                  <c:v>#N/A</c:v>
                </c:pt>
                <c:pt idx="8">
                  <c:v>#N/A</c:v>
                </c:pt>
                <c:pt idx="9">
                  <c:v>#N/A</c:v>
                </c:pt>
                <c:pt idx="10">
                  <c:v>#N/A</c:v>
                </c:pt>
                <c:pt idx="11">
                  <c:v>#N/A</c:v>
                </c:pt>
                <c:pt idx="12">
                  <c:v>#N/A</c:v>
                </c:pt>
                <c:pt idx="13">
                  <c:v>381000</c:v>
                </c:pt>
                <c:pt idx="14">
                  <c:v>#N/A</c:v>
                </c:pt>
                <c:pt idx="15">
                  <c:v>#N/A</c:v>
                </c:pt>
                <c:pt idx="16">
                  <c:v>#N/A</c:v>
                </c:pt>
                <c:pt idx="17">
                  <c:v>#N/A</c:v>
                </c:pt>
                <c:pt idx="18">
                  <c:v>#N/A</c:v>
                </c:pt>
                <c:pt idx="19">
                  <c:v>#N/A</c:v>
                </c:pt>
                <c:pt idx="20">
                  <c:v>#N/A</c:v>
                </c:pt>
                <c:pt idx="21">
                  <c:v>#N/A</c:v>
                </c:pt>
                <c:pt idx="22">
                  <c:v>#N/A</c:v>
                </c:pt>
                <c:pt idx="23">
                  <c:v>#N/A</c:v>
                </c:pt>
                <c:pt idx="24">
                  <c:v>#N/A</c:v>
                </c:pt>
                <c:pt idx="25">
                  <c:v>#N/A</c:v>
                </c:pt>
                <c:pt idx="26">
                  <c:v>286000</c:v>
                </c:pt>
                <c:pt idx="27">
                  <c:v>#N/A</c:v>
                </c:pt>
                <c:pt idx="28">
                  <c:v>#N/A</c:v>
                </c:pt>
                <c:pt idx="29">
                  <c:v>#N/A</c:v>
                </c:pt>
                <c:pt idx="30">
                  <c:v>#N/A</c:v>
                </c:pt>
                <c:pt idx="31">
                  <c:v>218000</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198000</c:v>
                </c:pt>
                <c:pt idx="62">
                  <c:v>#N/A</c:v>
                </c:pt>
                <c:pt idx="63">
                  <c:v>#N/A</c:v>
                </c:pt>
                <c:pt idx="64">
                  <c:v>#N/A</c:v>
                </c:pt>
                <c:pt idx="65">
                  <c:v>#N/A</c:v>
                </c:pt>
                <c:pt idx="66">
                  <c:v>#N/A</c:v>
                </c:pt>
                <c:pt idx="67">
                  <c:v>#N/A</c:v>
                </c:pt>
                <c:pt idx="68">
                  <c:v>#N/A</c:v>
                </c:pt>
                <c:pt idx="69">
                  <c:v>#N/A</c:v>
                </c:pt>
                <c:pt idx="70">
                  <c:v>#N/A</c:v>
                </c:pt>
                <c:pt idx="71">
                  <c:v>#N/A</c:v>
                </c:pt>
                <c:pt idx="72">
                  <c:v>#N/A</c:v>
                </c:pt>
                <c:pt idx="73">
                  <c:v>309000</c:v>
                </c:pt>
                <c:pt idx="74">
                  <c:v>#N/A</c:v>
                </c:pt>
                <c:pt idx="75">
                  <c:v>#N/A</c:v>
                </c:pt>
                <c:pt idx="76">
                  <c:v>#N/A</c:v>
                </c:pt>
                <c:pt idx="77">
                  <c:v>#N/A</c:v>
                </c:pt>
                <c:pt idx="78">
                  <c:v>#N/A</c:v>
                </c:pt>
                <c:pt idx="79">
                  <c:v>143000</c:v>
                </c:pt>
                <c:pt idx="80">
                  <c:v>#N/A</c:v>
                </c:pt>
                <c:pt idx="81">
                  <c:v>#N/A</c:v>
                </c:pt>
                <c:pt idx="82">
                  <c:v>272000</c:v>
                </c:pt>
                <c:pt idx="83">
                  <c:v>#N/A</c:v>
                </c:pt>
                <c:pt idx="84">
                  <c:v>#N/A</c:v>
                </c:pt>
                <c:pt idx="85">
                  <c:v>355000</c:v>
                </c:pt>
                <c:pt idx="86">
                  <c:v>#N/A</c:v>
                </c:pt>
                <c:pt idx="87">
                  <c:v>#N/A</c:v>
                </c:pt>
                <c:pt idx="88">
                  <c:v>#N/A</c:v>
                </c:pt>
                <c:pt idx="89">
                  <c:v>#N/A</c:v>
                </c:pt>
                <c:pt idx="90">
                  <c:v>#N/A</c:v>
                </c:pt>
                <c:pt idx="91">
                  <c:v>#N/A</c:v>
                </c:pt>
                <c:pt idx="92">
                  <c:v>#N/A</c:v>
                </c:pt>
                <c:pt idx="93">
                  <c:v>#N/A</c:v>
                </c:pt>
                <c:pt idx="94">
                  <c:v>#N/A</c:v>
                </c:pt>
                <c:pt idx="95">
                  <c:v>#N/A</c:v>
                </c:pt>
                <c:pt idx="96">
                  <c:v>247000</c:v>
                </c:pt>
                <c:pt idx="97">
                  <c:v>#N/A</c:v>
                </c:pt>
                <c:pt idx="98">
                  <c:v>#N/A</c:v>
                </c:pt>
                <c:pt idx="99">
                  <c:v>#N/A</c:v>
                </c:pt>
                <c:pt idx="100">
                  <c:v>#N/A</c:v>
                </c:pt>
                <c:pt idx="101">
                  <c:v>#N/A</c:v>
                </c:pt>
                <c:pt idx="102">
                  <c:v>#N/A</c:v>
                </c:pt>
                <c:pt idx="103">
                  <c:v>#N/A</c:v>
                </c:pt>
                <c:pt idx="104">
                  <c:v>#N/A</c:v>
                </c:pt>
                <c:pt idx="105">
                  <c:v>#N/A</c:v>
                </c:pt>
                <c:pt idx="106">
                  <c:v>203000</c:v>
                </c:pt>
                <c:pt idx="107">
                  <c:v>#N/A</c:v>
                </c:pt>
                <c:pt idx="108">
                  <c:v>#N/A</c:v>
                </c:pt>
                <c:pt idx="109">
                  <c:v>#N/A</c:v>
                </c:pt>
                <c:pt idx="110">
                  <c:v>#N/A</c:v>
                </c:pt>
                <c:pt idx="111">
                  <c:v>#N/A</c:v>
                </c:pt>
                <c:pt idx="112">
                  <c:v>#N/A</c:v>
                </c:pt>
                <c:pt idx="113">
                  <c:v>#N/A</c:v>
                </c:pt>
                <c:pt idx="114">
                  <c:v>#N/A</c:v>
                </c:pt>
                <c:pt idx="115">
                  <c:v>#N/A</c:v>
                </c:pt>
                <c:pt idx="116">
                  <c:v>234000</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516000</c:v>
                </c:pt>
                <c:pt idx="131">
                  <c:v>299000</c:v>
                </c:pt>
                <c:pt idx="132">
                  <c:v>#N/A</c:v>
                </c:pt>
                <c:pt idx="133">
                  <c:v>#N/A</c:v>
                </c:pt>
                <c:pt idx="134">
                  <c:v>252000</c:v>
                </c:pt>
                <c:pt idx="135">
                  <c:v>#N/A</c:v>
                </c:pt>
                <c:pt idx="136">
                  <c:v>#N/A</c:v>
                </c:pt>
                <c:pt idx="137">
                  <c:v>#N/A</c:v>
                </c:pt>
                <c:pt idx="138">
                  <c:v>#N/A</c:v>
                </c:pt>
                <c:pt idx="139">
                  <c:v>#N/A</c:v>
                </c:pt>
                <c:pt idx="140">
                  <c:v>301000</c:v>
                </c:pt>
                <c:pt idx="141">
                  <c:v>#N/A</c:v>
                </c:pt>
                <c:pt idx="142">
                  <c:v>215000</c:v>
                </c:pt>
                <c:pt idx="143">
                  <c:v>#N/A</c:v>
                </c:pt>
                <c:pt idx="144">
                  <c:v>#N/A</c:v>
                </c:pt>
                <c:pt idx="145">
                  <c:v>#N/A</c:v>
                </c:pt>
                <c:pt idx="146">
                  <c:v>#N/A</c:v>
                </c:pt>
                <c:pt idx="147">
                  <c:v>#N/A</c:v>
                </c:pt>
                <c:pt idx="148">
                  <c:v>#N/A</c:v>
                </c:pt>
                <c:pt idx="149">
                  <c:v>#N/A</c:v>
                </c:pt>
                <c:pt idx="150">
                  <c:v>262000</c:v>
                </c:pt>
                <c:pt idx="151">
                  <c:v>#N/A</c:v>
                </c:pt>
                <c:pt idx="152">
                  <c:v>#N/A</c:v>
                </c:pt>
                <c:pt idx="153">
                  <c:v>#N/A</c:v>
                </c:pt>
                <c:pt idx="154">
                  <c:v>#N/A</c:v>
                </c:pt>
                <c:pt idx="155">
                  <c:v>307000</c:v>
                </c:pt>
                <c:pt idx="156">
                  <c:v>#N/A</c:v>
                </c:pt>
                <c:pt idx="157">
                  <c:v>#N/A</c:v>
                </c:pt>
                <c:pt idx="158">
                  <c:v>#N/A</c:v>
                </c:pt>
                <c:pt idx="159">
                  <c:v>#N/A</c:v>
                </c:pt>
                <c:pt idx="160">
                  <c:v>#N/A</c:v>
                </c:pt>
                <c:pt idx="161">
                  <c:v>#N/A</c:v>
                </c:pt>
                <c:pt idx="162">
                  <c:v>#N/A</c:v>
                </c:pt>
                <c:pt idx="163">
                  <c:v>#N/A</c:v>
                </c:pt>
                <c:pt idx="164">
                  <c:v>#N/A</c:v>
                </c:pt>
                <c:pt idx="165">
                  <c:v>#N/A</c:v>
                </c:pt>
                <c:pt idx="166">
                  <c:v>197000</c:v>
                </c:pt>
                <c:pt idx="167">
                  <c:v>#N/A</c:v>
                </c:pt>
                <c:pt idx="168">
                  <c:v>#N/A</c:v>
                </c:pt>
                <c:pt idx="169">
                  <c:v>355000</c:v>
                </c:pt>
                <c:pt idx="170">
                  <c:v>#N/A</c:v>
                </c:pt>
                <c:pt idx="171">
                  <c:v>234000</c:v>
                </c:pt>
                <c:pt idx="172">
                  <c:v>#N/A</c:v>
                </c:pt>
                <c:pt idx="173">
                  <c:v>#N/A</c:v>
                </c:pt>
                <c:pt idx="174">
                  <c:v>#N/A</c:v>
                </c:pt>
                <c:pt idx="175">
                  <c:v>#N/A</c:v>
                </c:pt>
                <c:pt idx="176">
                  <c:v>#N/A</c:v>
                </c:pt>
                <c:pt idx="177">
                  <c:v>#N/A</c:v>
                </c:pt>
                <c:pt idx="178">
                  <c:v>221000</c:v>
                </c:pt>
                <c:pt idx="179">
                  <c:v>282000</c:v>
                </c:pt>
                <c:pt idx="180">
                  <c:v>#N/A</c:v>
                </c:pt>
                <c:pt idx="181">
                  <c:v>#N/A</c:v>
                </c:pt>
                <c:pt idx="182">
                  <c:v>#N/A</c:v>
                </c:pt>
                <c:pt idx="183">
                  <c:v>#N/A</c:v>
                </c:pt>
                <c:pt idx="184">
                  <c:v>#N/A</c:v>
                </c:pt>
                <c:pt idx="185">
                  <c:v>238000</c:v>
                </c:pt>
                <c:pt idx="186">
                  <c:v>#N/A</c:v>
                </c:pt>
                <c:pt idx="187">
                  <c:v>#N/A</c:v>
                </c:pt>
                <c:pt idx="188">
                  <c:v>#N/A</c:v>
                </c:pt>
                <c:pt idx="189">
                  <c:v>#N/A</c:v>
                </c:pt>
                <c:pt idx="190">
                  <c:v>#N/A</c:v>
                </c:pt>
                <c:pt idx="191">
                  <c:v>174000</c:v>
                </c:pt>
                <c:pt idx="192">
                  <c:v>#N/A</c:v>
                </c:pt>
                <c:pt idx="193">
                  <c:v>#N/A</c:v>
                </c:pt>
                <c:pt idx="194">
                  <c:v>#N/A</c:v>
                </c:pt>
                <c:pt idx="195">
                  <c:v>#N/A</c:v>
                </c:pt>
                <c:pt idx="196">
                  <c:v>#N/A</c:v>
                </c:pt>
                <c:pt idx="197">
                  <c:v>#N/A</c:v>
                </c:pt>
                <c:pt idx="198">
                  <c:v>#N/A</c:v>
                </c:pt>
                <c:pt idx="199">
                  <c:v>#N/A</c:v>
                </c:pt>
                <c:pt idx="200">
                  <c:v>246000</c:v>
                </c:pt>
                <c:pt idx="201">
                  <c:v>#N/A</c:v>
                </c:pt>
                <c:pt idx="202">
                  <c:v>#N/A</c:v>
                </c:pt>
                <c:pt idx="203">
                  <c:v>#N/A</c:v>
                </c:pt>
                <c:pt idx="204">
                  <c:v>#N/A</c:v>
                </c:pt>
                <c:pt idx="205">
                  <c:v>#N/A</c:v>
                </c:pt>
                <c:pt idx="206">
                  <c:v>#N/A</c:v>
                </c:pt>
                <c:pt idx="207">
                  <c:v>242000</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262000</c:v>
                </c:pt>
                <c:pt idx="234">
                  <c:v>#N/A</c:v>
                </c:pt>
                <c:pt idx="235">
                  <c:v>#N/A</c:v>
                </c:pt>
                <c:pt idx="236">
                  <c:v>#N/A</c:v>
                </c:pt>
                <c:pt idx="237">
                  <c:v>#N/A</c:v>
                </c:pt>
                <c:pt idx="238">
                  <c:v>#N/A</c:v>
                </c:pt>
                <c:pt idx="239">
                  <c:v>#N/A</c:v>
                </c:pt>
                <c:pt idx="240">
                  <c:v>276000</c:v>
                </c:pt>
                <c:pt idx="241">
                  <c:v>#N/A</c:v>
                </c:pt>
                <c:pt idx="242">
                  <c:v>256000</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258000</c:v>
                </c:pt>
                <c:pt idx="277">
                  <c:v>320000</c:v>
                </c:pt>
                <c:pt idx="278">
                  <c:v>#N/A</c:v>
                </c:pt>
                <c:pt idx="279">
                  <c:v>#N/A</c:v>
                </c:pt>
                <c:pt idx="280">
                  <c:v>#N/A</c:v>
                </c:pt>
                <c:pt idx="281">
                  <c:v>#N/A</c:v>
                </c:pt>
                <c:pt idx="282">
                  <c:v>#N/A</c:v>
                </c:pt>
                <c:pt idx="283">
                  <c:v>#N/A</c:v>
                </c:pt>
                <c:pt idx="284">
                  <c:v>#N/A</c:v>
                </c:pt>
                <c:pt idx="285">
                  <c:v>#N/A</c:v>
                </c:pt>
                <c:pt idx="286">
                  <c:v>#N/A</c:v>
                </c:pt>
                <c:pt idx="287">
                  <c:v>#N/A</c:v>
                </c:pt>
                <c:pt idx="288">
                  <c:v>#N/A</c:v>
                </c:pt>
                <c:pt idx="289">
                  <c:v>357000</c:v>
                </c:pt>
                <c:pt idx="290">
                  <c:v>#N/A</c:v>
                </c:pt>
                <c:pt idx="291">
                  <c:v>#N/A</c:v>
                </c:pt>
                <c:pt idx="292">
                  <c:v>#N/A</c:v>
                </c:pt>
                <c:pt idx="293">
                  <c:v>#N/A</c:v>
                </c:pt>
                <c:pt idx="294">
                  <c:v>301000</c:v>
                </c:pt>
                <c:pt idx="295">
                  <c:v>#N/A</c:v>
                </c:pt>
                <c:pt idx="296">
                  <c:v>#N/A</c:v>
                </c:pt>
                <c:pt idx="297">
                  <c:v>#N/A</c:v>
                </c:pt>
                <c:pt idx="298">
                  <c:v>#N/A</c:v>
                </c:pt>
                <c:pt idx="299">
                  <c:v>#N/A</c:v>
                </c:pt>
                <c:pt idx="300">
                  <c:v>#N/A</c:v>
                </c:pt>
                <c:pt idx="301">
                  <c:v>#N/A</c:v>
                </c:pt>
                <c:pt idx="302">
                  <c:v>#N/A</c:v>
                </c:pt>
                <c:pt idx="303">
                  <c:v>#N/A</c:v>
                </c:pt>
                <c:pt idx="304">
                  <c:v>#N/A</c:v>
                </c:pt>
                <c:pt idx="305">
                  <c:v>#N/A</c:v>
                </c:pt>
                <c:pt idx="306">
                  <c:v>280000</c:v>
                </c:pt>
                <c:pt idx="307">
                  <c:v>#N/A</c:v>
                </c:pt>
                <c:pt idx="308">
                  <c:v>#N/A</c:v>
                </c:pt>
                <c:pt idx="309">
                  <c:v>202000</c:v>
                </c:pt>
                <c:pt idx="310">
                  <c:v>194000</c:v>
                </c:pt>
                <c:pt idx="311">
                  <c:v>#N/A</c:v>
                </c:pt>
                <c:pt idx="312">
                  <c:v>#N/A</c:v>
                </c:pt>
                <c:pt idx="313">
                  <c:v>#N/A</c:v>
                </c:pt>
                <c:pt idx="314">
                  <c:v>#N/A</c:v>
                </c:pt>
                <c:pt idx="315">
                  <c:v>#N/A</c:v>
                </c:pt>
                <c:pt idx="316">
                  <c:v>#N/A</c:v>
                </c:pt>
                <c:pt idx="317">
                  <c:v>#N/A</c:v>
                </c:pt>
                <c:pt idx="318">
                  <c:v>#N/A</c:v>
                </c:pt>
                <c:pt idx="319">
                  <c:v>#N/A</c:v>
                </c:pt>
                <c:pt idx="320">
                  <c:v>#N/A</c:v>
                </c:pt>
                <c:pt idx="321">
                  <c:v>384000</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278000</c:v>
                </c:pt>
                <c:pt idx="349">
                  <c:v>#N/A</c:v>
                </c:pt>
                <c:pt idx="350">
                  <c:v>171000</c:v>
                </c:pt>
                <c:pt idx="351">
                  <c:v>#N/A</c:v>
                </c:pt>
                <c:pt idx="352">
                  <c:v>#N/A</c:v>
                </c:pt>
                <c:pt idx="353">
                  <c:v>#N/A</c:v>
                </c:pt>
                <c:pt idx="354">
                  <c:v>251000</c:v>
                </c:pt>
                <c:pt idx="355">
                  <c:v>#N/A</c:v>
                </c:pt>
                <c:pt idx="356">
                  <c:v>#N/A</c:v>
                </c:pt>
                <c:pt idx="357">
                  <c:v>#N/A</c:v>
                </c:pt>
                <c:pt idx="358">
                  <c:v>#N/A</c:v>
                </c:pt>
                <c:pt idx="359">
                  <c:v>#N/A</c:v>
                </c:pt>
                <c:pt idx="360">
                  <c:v>#N/A</c:v>
                </c:pt>
                <c:pt idx="361">
                  <c:v>230000</c:v>
                </c:pt>
                <c:pt idx="362">
                  <c:v>#N/A</c:v>
                </c:pt>
                <c:pt idx="363">
                  <c:v>#N/A</c:v>
                </c:pt>
                <c:pt idx="364">
                  <c:v>#N/A</c:v>
                </c:pt>
                <c:pt idx="365">
                  <c:v>#N/A</c:v>
                </c:pt>
                <c:pt idx="366">
                  <c:v>#N/A</c:v>
                </c:pt>
                <c:pt idx="367">
                  <c:v>#N/A</c:v>
                </c:pt>
                <c:pt idx="368">
                  <c:v>#N/A</c:v>
                </c:pt>
                <c:pt idx="369">
                  <c:v>#N/A</c:v>
                </c:pt>
                <c:pt idx="370">
                  <c:v>#N/A</c:v>
                </c:pt>
                <c:pt idx="371">
                  <c:v>251000</c:v>
                </c:pt>
                <c:pt idx="372">
                  <c:v>#N/A</c:v>
                </c:pt>
                <c:pt idx="373">
                  <c:v>#N/A</c:v>
                </c:pt>
                <c:pt idx="374">
                  <c:v>#N/A</c:v>
                </c:pt>
                <c:pt idx="375">
                  <c:v>172000</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173000</c:v>
                </c:pt>
                <c:pt idx="390">
                  <c:v>#N/A</c:v>
                </c:pt>
                <c:pt idx="391">
                  <c:v>#N/A</c:v>
                </c:pt>
                <c:pt idx="392">
                  <c:v>#N/A</c:v>
                </c:pt>
                <c:pt idx="393">
                  <c:v>#N/A</c:v>
                </c:pt>
                <c:pt idx="394">
                  <c:v>#N/A</c:v>
                </c:pt>
                <c:pt idx="395">
                  <c:v>#N/A</c:v>
                </c:pt>
                <c:pt idx="396">
                  <c:v>#N/A</c:v>
                </c:pt>
                <c:pt idx="397">
                  <c:v>276000</c:v>
                </c:pt>
                <c:pt idx="398">
                  <c:v>#N/A</c:v>
                </c:pt>
                <c:pt idx="399">
                  <c:v>#N/A</c:v>
                </c:pt>
                <c:pt idx="400">
                  <c:v>#N/A</c:v>
                </c:pt>
                <c:pt idx="401">
                  <c:v>208000</c:v>
                </c:pt>
                <c:pt idx="402">
                  <c:v>#N/A</c:v>
                </c:pt>
                <c:pt idx="403">
                  <c:v>#N/A</c:v>
                </c:pt>
                <c:pt idx="404">
                  <c:v>#N/A</c:v>
                </c:pt>
                <c:pt idx="405">
                  <c:v>#N/A</c:v>
                </c:pt>
                <c:pt idx="406">
                  <c:v>260000</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227000</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253000</c:v>
                </c:pt>
                <c:pt idx="443">
                  <c:v>#N/A</c:v>
                </c:pt>
                <c:pt idx="444">
                  <c:v>137000</c:v>
                </c:pt>
                <c:pt idx="445">
                  <c:v>#N/A</c:v>
                </c:pt>
                <c:pt idx="446">
                  <c:v>#N/A</c:v>
                </c:pt>
                <c:pt idx="447">
                  <c:v>#N/A</c:v>
                </c:pt>
                <c:pt idx="448">
                  <c:v>#N/A</c:v>
                </c:pt>
                <c:pt idx="449">
                  <c:v>#N/A</c:v>
                </c:pt>
                <c:pt idx="450">
                  <c:v>#N/A</c:v>
                </c:pt>
                <c:pt idx="451">
                  <c:v>#N/A</c:v>
                </c:pt>
                <c:pt idx="452">
                  <c:v>#N/A</c:v>
                </c:pt>
                <c:pt idx="453">
                  <c:v>#N/A</c:v>
                </c:pt>
                <c:pt idx="454">
                  <c:v>#N/A</c:v>
                </c:pt>
                <c:pt idx="455">
                  <c:v>329000</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252000</c:v>
                </c:pt>
                <c:pt idx="477">
                  <c:v>#N/A</c:v>
                </c:pt>
                <c:pt idx="478">
                  <c:v>383000</c:v>
                </c:pt>
                <c:pt idx="479">
                  <c:v>#N/A</c:v>
                </c:pt>
                <c:pt idx="480">
                  <c:v>#N/A</c:v>
                </c:pt>
                <c:pt idx="481">
                  <c:v>#N/A</c:v>
                </c:pt>
                <c:pt idx="482">
                  <c:v>#N/A</c:v>
                </c:pt>
                <c:pt idx="483">
                  <c:v>#N/A</c:v>
                </c:pt>
                <c:pt idx="484">
                  <c:v>#N/A</c:v>
                </c:pt>
                <c:pt idx="485">
                  <c:v>#N/A</c:v>
                </c:pt>
                <c:pt idx="486">
                  <c:v>#N/A</c:v>
                </c:pt>
                <c:pt idx="487">
                  <c:v>#N/A</c:v>
                </c:pt>
                <c:pt idx="488">
                  <c:v>#N/A</c:v>
                </c:pt>
                <c:pt idx="489">
                  <c:v>275000</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255000</c:v>
                </c:pt>
                <c:pt idx="503">
                  <c:v>#N/A</c:v>
                </c:pt>
                <c:pt idx="504">
                  <c:v>#N/A</c:v>
                </c:pt>
                <c:pt idx="505">
                  <c:v>#N/A</c:v>
                </c:pt>
                <c:pt idx="506">
                  <c:v>168000</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282000</c:v>
                </c:pt>
                <c:pt idx="524">
                  <c:v>#N/A</c:v>
                </c:pt>
                <c:pt idx="525">
                  <c:v>#N/A</c:v>
                </c:pt>
                <c:pt idx="526">
                  <c:v>272000</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144000</c:v>
                </c:pt>
                <c:pt idx="542">
                  <c:v>#N/A</c:v>
                </c:pt>
                <c:pt idx="543">
                  <c:v>#N/A</c:v>
                </c:pt>
                <c:pt idx="544">
                  <c:v>#N/A</c:v>
                </c:pt>
                <c:pt idx="545">
                  <c:v>#N/A</c:v>
                </c:pt>
                <c:pt idx="546">
                  <c:v>#N/A</c:v>
                </c:pt>
                <c:pt idx="547">
                  <c:v>#N/A</c:v>
                </c:pt>
                <c:pt idx="548">
                  <c:v>178000</c:v>
                </c:pt>
                <c:pt idx="549">
                  <c:v>#N/A</c:v>
                </c:pt>
                <c:pt idx="550">
                  <c:v>#N/A</c:v>
                </c:pt>
                <c:pt idx="551">
                  <c:v>#N/A</c:v>
                </c:pt>
                <c:pt idx="552">
                  <c:v>#N/A</c:v>
                </c:pt>
                <c:pt idx="553">
                  <c:v>#N/A</c:v>
                </c:pt>
                <c:pt idx="554">
                  <c:v>#N/A</c:v>
                </c:pt>
                <c:pt idx="555">
                  <c:v>#N/A</c:v>
                </c:pt>
                <c:pt idx="556">
                  <c:v>209000</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156000</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237000</c:v>
                </c:pt>
                <c:pt idx="604">
                  <c:v>#N/A</c:v>
                </c:pt>
                <c:pt idx="605">
                  <c:v>#N/A</c:v>
                </c:pt>
                <c:pt idx="606">
                  <c:v>#N/A</c:v>
                </c:pt>
                <c:pt idx="607">
                  <c:v>#N/A</c:v>
                </c:pt>
                <c:pt idx="608">
                  <c:v>#N/A</c:v>
                </c:pt>
                <c:pt idx="609">
                  <c:v>#N/A</c:v>
                </c:pt>
                <c:pt idx="610">
                  <c:v>#N/A</c:v>
                </c:pt>
                <c:pt idx="611">
                  <c:v>#N/A</c:v>
                </c:pt>
                <c:pt idx="612">
                  <c:v>#N/A</c:v>
                </c:pt>
                <c:pt idx="613">
                  <c:v>#N/A</c:v>
                </c:pt>
                <c:pt idx="614">
                  <c:v>229000</c:v>
                </c:pt>
                <c:pt idx="615">
                  <c:v>#N/A</c:v>
                </c:pt>
                <c:pt idx="616">
                  <c:v>#N/A</c:v>
                </c:pt>
                <c:pt idx="617">
                  <c:v>#N/A</c:v>
                </c:pt>
                <c:pt idx="618">
                  <c:v>#N/A</c:v>
                </c:pt>
                <c:pt idx="619">
                  <c:v>#N/A</c:v>
                </c:pt>
                <c:pt idx="620">
                  <c:v>#N/A</c:v>
                </c:pt>
                <c:pt idx="621">
                  <c:v>253000</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258000</c:v>
                </c:pt>
                <c:pt idx="637">
                  <c:v>#N/A</c:v>
                </c:pt>
                <c:pt idx="638">
                  <c:v>#N/A</c:v>
                </c:pt>
                <c:pt idx="639">
                  <c:v>#N/A</c:v>
                </c:pt>
                <c:pt idx="640">
                  <c:v>#N/A</c:v>
                </c:pt>
                <c:pt idx="641">
                  <c:v>312000</c:v>
                </c:pt>
                <c:pt idx="642">
                  <c:v>#N/A</c:v>
                </c:pt>
                <c:pt idx="643">
                  <c:v>#N/A</c:v>
                </c:pt>
                <c:pt idx="644">
                  <c:v>#N/A</c:v>
                </c:pt>
                <c:pt idx="645">
                  <c:v>#N/A</c:v>
                </c:pt>
                <c:pt idx="646">
                  <c:v>#N/A</c:v>
                </c:pt>
                <c:pt idx="647">
                  <c:v>#N/A</c:v>
                </c:pt>
                <c:pt idx="648">
                  <c:v>#N/A</c:v>
                </c:pt>
                <c:pt idx="649">
                  <c:v>362000</c:v>
                </c:pt>
                <c:pt idx="650">
                  <c:v>#N/A</c:v>
                </c:pt>
                <c:pt idx="651">
                  <c:v>#N/A</c:v>
                </c:pt>
                <c:pt idx="652">
                  <c:v>424000</c:v>
                </c:pt>
                <c:pt idx="653">
                  <c:v>#N/A</c:v>
                </c:pt>
                <c:pt idx="654">
                  <c:v>#N/A</c:v>
                </c:pt>
                <c:pt idx="655">
                  <c:v>#N/A</c:v>
                </c:pt>
                <c:pt idx="656">
                  <c:v>#N/A</c:v>
                </c:pt>
                <c:pt idx="657">
                  <c:v>#N/A</c:v>
                </c:pt>
                <c:pt idx="658">
                  <c:v>248000</c:v>
                </c:pt>
                <c:pt idx="659">
                  <c:v>#N/A</c:v>
                </c:pt>
                <c:pt idx="660">
                  <c:v>#N/A</c:v>
                </c:pt>
                <c:pt idx="661">
                  <c:v>#N/A</c:v>
                </c:pt>
                <c:pt idx="662">
                  <c:v>#N/A</c:v>
                </c:pt>
                <c:pt idx="663">
                  <c:v>#N/A</c:v>
                </c:pt>
                <c:pt idx="664">
                  <c:v>#N/A</c:v>
                </c:pt>
                <c:pt idx="665">
                  <c:v>#N/A</c:v>
                </c:pt>
                <c:pt idx="666">
                  <c:v>155000</c:v>
                </c:pt>
                <c:pt idx="667">
                  <c:v>#N/A</c:v>
                </c:pt>
                <c:pt idx="668">
                  <c:v>#N/A</c:v>
                </c:pt>
                <c:pt idx="669">
                  <c:v>#N/A</c:v>
                </c:pt>
                <c:pt idx="670">
                  <c:v>#N/A</c:v>
                </c:pt>
                <c:pt idx="671">
                  <c:v>#N/A</c:v>
                </c:pt>
                <c:pt idx="672">
                  <c:v>#N/A</c:v>
                </c:pt>
                <c:pt idx="673">
                  <c:v>#N/A</c:v>
                </c:pt>
                <c:pt idx="674">
                  <c:v>#N/A</c:v>
                </c:pt>
                <c:pt idx="675">
                  <c:v>#N/A</c:v>
                </c:pt>
                <c:pt idx="676">
                  <c:v>#N/A</c:v>
                </c:pt>
                <c:pt idx="677">
                  <c:v>237000</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158000</c:v>
                </c:pt>
                <c:pt idx="715">
                  <c:v>#N/A</c:v>
                </c:pt>
                <c:pt idx="716">
                  <c:v>#N/A</c:v>
                </c:pt>
                <c:pt idx="717">
                  <c:v>#N/A</c:v>
                </c:pt>
                <c:pt idx="718">
                  <c:v>231000</c:v>
                </c:pt>
                <c:pt idx="719">
                  <c:v>#N/A</c:v>
                </c:pt>
                <c:pt idx="720">
                  <c:v>#N/A</c:v>
                </c:pt>
                <c:pt idx="721">
                  <c:v>#N/A</c:v>
                </c:pt>
                <c:pt idx="722">
                  <c:v>#N/A</c:v>
                </c:pt>
                <c:pt idx="723">
                  <c:v>#N/A</c:v>
                </c:pt>
                <c:pt idx="724">
                  <c:v>#N/A</c:v>
                </c:pt>
                <c:pt idx="725">
                  <c:v>#N/A</c:v>
                </c:pt>
                <c:pt idx="726">
                  <c:v>144000</c:v>
                </c:pt>
                <c:pt idx="727">
                  <c:v>#N/A</c:v>
                </c:pt>
                <c:pt idx="728">
                  <c:v>#N/A</c:v>
                </c:pt>
                <c:pt idx="729">
                  <c:v>#N/A</c:v>
                </c:pt>
                <c:pt idx="730">
                  <c:v>#N/A</c:v>
                </c:pt>
                <c:pt idx="731">
                  <c:v>#N/A</c:v>
                </c:pt>
                <c:pt idx="732">
                  <c:v>#N/A</c:v>
                </c:pt>
                <c:pt idx="733">
                  <c:v>#N/A</c:v>
                </c:pt>
                <c:pt idx="734">
                  <c:v>#N/A</c:v>
                </c:pt>
                <c:pt idx="735">
                  <c:v>#N/A</c:v>
                </c:pt>
                <c:pt idx="736">
                  <c:v>#N/A</c:v>
                </c:pt>
                <c:pt idx="737">
                  <c:v>#N/A</c:v>
                </c:pt>
                <c:pt idx="738">
                  <c:v>189000</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156000</c:v>
                </c:pt>
                <c:pt idx="774">
                  <c:v>#N/A</c:v>
                </c:pt>
                <c:pt idx="775">
                  <c:v>#N/A</c:v>
                </c:pt>
                <c:pt idx="776">
                  <c:v>#N/A</c:v>
                </c:pt>
                <c:pt idx="777">
                  <c:v>#N/A</c:v>
                </c:pt>
                <c:pt idx="778">
                  <c:v>#N/A</c:v>
                </c:pt>
                <c:pt idx="779">
                  <c:v>#N/A</c:v>
                </c:pt>
                <c:pt idx="780">
                  <c:v>#N/A</c:v>
                </c:pt>
                <c:pt idx="781">
                  <c:v>#N/A</c:v>
                </c:pt>
                <c:pt idx="782">
                  <c:v>#N/A</c:v>
                </c:pt>
                <c:pt idx="783">
                  <c:v>312000</c:v>
                </c:pt>
                <c:pt idx="784">
                  <c:v>288000</c:v>
                </c:pt>
                <c:pt idx="785">
                  <c:v>#N/A</c:v>
                </c:pt>
                <c:pt idx="786">
                  <c:v>#N/A</c:v>
                </c:pt>
                <c:pt idx="787">
                  <c:v>#N/A</c:v>
                </c:pt>
                <c:pt idx="788">
                  <c:v>#N/A</c:v>
                </c:pt>
                <c:pt idx="789">
                  <c:v>#N/A</c:v>
                </c:pt>
                <c:pt idx="790">
                  <c:v>#N/A</c:v>
                </c:pt>
                <c:pt idx="791">
                  <c:v>#N/A</c:v>
                </c:pt>
                <c:pt idx="792">
                  <c:v>#N/A</c:v>
                </c:pt>
                <c:pt idx="793">
                  <c:v>#N/A</c:v>
                </c:pt>
                <c:pt idx="794">
                  <c:v>#N/A</c:v>
                </c:pt>
                <c:pt idx="795">
                  <c:v>#N/A</c:v>
                </c:pt>
                <c:pt idx="796">
                  <c:v>250000</c:v>
                </c:pt>
                <c:pt idx="797">
                  <c:v>#N/A</c:v>
                </c:pt>
                <c:pt idx="798">
                  <c:v>#N/A</c:v>
                </c:pt>
                <c:pt idx="799">
                  <c:v>#N/A</c:v>
                </c:pt>
                <c:pt idx="800">
                  <c:v>#N/A</c:v>
                </c:pt>
                <c:pt idx="801">
                  <c:v>#N/A</c:v>
                </c:pt>
                <c:pt idx="802">
                  <c:v>#N/A</c:v>
                </c:pt>
                <c:pt idx="803">
                  <c:v>171000</c:v>
                </c:pt>
                <c:pt idx="804">
                  <c:v>#N/A</c:v>
                </c:pt>
                <c:pt idx="805">
                  <c:v>#N/A</c:v>
                </c:pt>
                <c:pt idx="806">
                  <c:v>#N/A</c:v>
                </c:pt>
                <c:pt idx="807">
                  <c:v>#N/A</c:v>
                </c:pt>
                <c:pt idx="808">
                  <c:v>#N/A</c:v>
                </c:pt>
                <c:pt idx="809">
                  <c:v>#N/A</c:v>
                </c:pt>
                <c:pt idx="810">
                  <c:v>#N/A</c:v>
                </c:pt>
                <c:pt idx="811">
                  <c:v>#N/A</c:v>
                </c:pt>
                <c:pt idx="812">
                  <c:v>#N/A</c:v>
                </c:pt>
                <c:pt idx="813">
                  <c:v>205000</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226000</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325000</c:v>
                </c:pt>
                <c:pt idx="849">
                  <c:v>#N/A</c:v>
                </c:pt>
                <c:pt idx="850">
                  <c:v>#N/A</c:v>
                </c:pt>
                <c:pt idx="851">
                  <c:v>#N/A</c:v>
                </c:pt>
                <c:pt idx="852">
                  <c:v>208000</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227000</c:v>
                </c:pt>
                <c:pt idx="887">
                  <c:v>326000</c:v>
                </c:pt>
                <c:pt idx="888">
                  <c:v>357000</c:v>
                </c:pt>
                <c:pt idx="889">
                  <c:v>241000</c:v>
                </c:pt>
                <c:pt idx="890">
                  <c:v>#N/A</c:v>
                </c:pt>
                <c:pt idx="891">
                  <c:v>#N/A</c:v>
                </c:pt>
                <c:pt idx="892">
                  <c:v>#N/A</c:v>
                </c:pt>
                <c:pt idx="893">
                  <c:v>199000</c:v>
                </c:pt>
                <c:pt idx="894">
                  <c:v>193000</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196000</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173000</c:v>
                </c:pt>
                <c:pt idx="931">
                  <c:v>#N/A</c:v>
                </c:pt>
                <c:pt idx="932">
                  <c:v>#N/A</c:v>
                </c:pt>
                <c:pt idx="933">
                  <c:v>#N/A</c:v>
                </c:pt>
                <c:pt idx="934">
                  <c:v>#N/A</c:v>
                </c:pt>
                <c:pt idx="935">
                  <c:v>#N/A</c:v>
                </c:pt>
                <c:pt idx="936">
                  <c:v>#N/A</c:v>
                </c:pt>
                <c:pt idx="937">
                  <c:v>#N/A</c:v>
                </c:pt>
                <c:pt idx="938">
                  <c:v>#N/A</c:v>
                </c:pt>
                <c:pt idx="939">
                  <c:v>#N/A</c:v>
                </c:pt>
                <c:pt idx="940">
                  <c:v>#N/A</c:v>
                </c:pt>
                <c:pt idx="941">
                  <c:v>#N/A</c:v>
                </c:pt>
                <c:pt idx="942">
                  <c:v>286000</c:v>
                </c:pt>
                <c:pt idx="943">
                  <c:v>139000</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185000</c:v>
                </c:pt>
                <c:pt idx="957">
                  <c:v>#N/A</c:v>
                </c:pt>
                <c:pt idx="958">
                  <c:v>233000</c:v>
                </c:pt>
                <c:pt idx="959">
                  <c:v>#N/A</c:v>
                </c:pt>
                <c:pt idx="960">
                  <c:v>#N/A</c:v>
                </c:pt>
                <c:pt idx="961">
                  <c:v>#N/A</c:v>
                </c:pt>
                <c:pt idx="962">
                  <c:v>#N/A</c:v>
                </c:pt>
                <c:pt idx="963">
                  <c:v>132000</c:v>
                </c:pt>
                <c:pt idx="964">
                  <c:v>#N/A</c:v>
                </c:pt>
                <c:pt idx="965">
                  <c:v>#N/A</c:v>
                </c:pt>
                <c:pt idx="966">
                  <c:v>#N/A</c:v>
                </c:pt>
                <c:pt idx="967">
                  <c:v>#N/A</c:v>
                </c:pt>
                <c:pt idx="968">
                  <c:v>#N/A</c:v>
                </c:pt>
                <c:pt idx="969">
                  <c:v>#N/A</c:v>
                </c:pt>
                <c:pt idx="970">
                  <c:v>#N/A</c:v>
                </c:pt>
                <c:pt idx="971">
                  <c:v>436000</c:v>
                </c:pt>
                <c:pt idx="972">
                  <c:v>#N/A</c:v>
                </c:pt>
                <c:pt idx="973">
                  <c:v>#N/A</c:v>
                </c:pt>
                <c:pt idx="974">
                  <c:v>#N/A</c:v>
                </c:pt>
                <c:pt idx="975">
                  <c:v>#N/A</c:v>
                </c:pt>
                <c:pt idx="976">
                  <c:v>#N/A</c:v>
                </c:pt>
                <c:pt idx="977">
                  <c:v>#N/A</c:v>
                </c:pt>
                <c:pt idx="978">
                  <c:v>#N/A</c:v>
                </c:pt>
                <c:pt idx="979">
                  <c:v>#N/A</c:v>
                </c:pt>
                <c:pt idx="980">
                  <c:v>#N/A</c:v>
                </c:pt>
                <c:pt idx="981">
                  <c:v>#N/A</c:v>
                </c:pt>
                <c:pt idx="982">
                  <c:v>335000</c:v>
                </c:pt>
                <c:pt idx="983">
                  <c:v>#N/A</c:v>
                </c:pt>
                <c:pt idx="984">
                  <c:v>#N/A</c:v>
                </c:pt>
                <c:pt idx="985">
                  <c:v>#N/A</c:v>
                </c:pt>
                <c:pt idx="986">
                  <c:v>#N/A</c:v>
                </c:pt>
                <c:pt idx="987">
                  <c:v>#N/A</c:v>
                </c:pt>
                <c:pt idx="988">
                  <c:v>#N/A</c:v>
                </c:pt>
                <c:pt idx="989">
                  <c:v>#N/A</c:v>
                </c:pt>
                <c:pt idx="990">
                  <c:v>#N/A</c:v>
                </c:pt>
                <c:pt idx="991">
                  <c:v>#N/A</c:v>
                </c:pt>
                <c:pt idx="992">
                  <c:v>125000</c:v>
                </c:pt>
                <c:pt idx="993">
                  <c:v>#N/A</c:v>
                </c:pt>
                <c:pt idx="994">
                  <c:v>#N/A</c:v>
                </c:pt>
                <c:pt idx="995">
                  <c:v>#N/A</c:v>
                </c:pt>
                <c:pt idx="996">
                  <c:v>#N/A</c:v>
                </c:pt>
                <c:pt idx="997">
                  <c:v>#N/A</c:v>
                </c:pt>
                <c:pt idx="998">
                  <c:v>#N/A</c:v>
                </c:pt>
                <c:pt idx="999">
                  <c:v>#N/A</c:v>
                </c:pt>
                <c:pt idx="1000">
                  <c:v>#N/A</c:v>
                </c:pt>
                <c:pt idx="1001">
                  <c:v>#N/A</c:v>
                </c:pt>
                <c:pt idx="1002">
                  <c:v>#N/A</c:v>
                </c:pt>
                <c:pt idx="1003">
                  <c:v>#N/A</c:v>
                </c:pt>
                <c:pt idx="1004">
                  <c:v>296000</c:v>
                </c:pt>
                <c:pt idx="1005">
                  <c:v>#N/A</c:v>
                </c:pt>
                <c:pt idx="1006">
                  <c:v>#N/A</c:v>
                </c:pt>
                <c:pt idx="1007">
                  <c:v>#N/A</c:v>
                </c:pt>
                <c:pt idx="1008">
                  <c:v>#N/A</c:v>
                </c:pt>
                <c:pt idx="1009">
                  <c:v>#N/A</c:v>
                </c:pt>
                <c:pt idx="1010">
                  <c:v>#N/A</c:v>
                </c:pt>
                <c:pt idx="1011">
                  <c:v>406000</c:v>
                </c:pt>
                <c:pt idx="1012">
                  <c:v>#N/A</c:v>
                </c:pt>
                <c:pt idx="1013">
                  <c:v>#N/A</c:v>
                </c:pt>
                <c:pt idx="1014">
                  <c:v>#N/A</c:v>
                </c:pt>
                <c:pt idx="1015">
                  <c:v>#N/A</c:v>
                </c:pt>
                <c:pt idx="1016">
                  <c:v>153000</c:v>
                </c:pt>
                <c:pt idx="1017">
                  <c:v>#N/A</c:v>
                </c:pt>
                <c:pt idx="1018">
                  <c:v>#N/A</c:v>
                </c:pt>
                <c:pt idx="1019">
                  <c:v>#N/A</c:v>
                </c:pt>
                <c:pt idx="1020">
                  <c:v>#N/A</c:v>
                </c:pt>
                <c:pt idx="1021">
                  <c:v>#N/A</c:v>
                </c:pt>
                <c:pt idx="1022">
                  <c:v>#N/A</c:v>
                </c:pt>
                <c:pt idx="1023">
                  <c:v>#N/A</c:v>
                </c:pt>
                <c:pt idx="1024">
                  <c:v>153000</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214000</c:v>
                </c:pt>
                <c:pt idx="1052">
                  <c:v>#N/A</c:v>
                </c:pt>
                <c:pt idx="1053">
                  <c:v>#N/A</c:v>
                </c:pt>
                <c:pt idx="1054">
                  <c:v>232000</c:v>
                </c:pt>
                <c:pt idx="1055">
                  <c:v>276000</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325000</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358000</c:v>
                </c:pt>
                <c:pt idx="1085">
                  <c:v>#N/A</c:v>
                </c:pt>
                <c:pt idx="1086">
                  <c:v>#N/A</c:v>
                </c:pt>
                <c:pt idx="1087">
                  <c:v>#N/A</c:v>
                </c:pt>
                <c:pt idx="1088">
                  <c:v>#N/A</c:v>
                </c:pt>
                <c:pt idx="1089">
                  <c:v>#N/A</c:v>
                </c:pt>
                <c:pt idx="1090">
                  <c:v>#N/A</c:v>
                </c:pt>
                <c:pt idx="1091">
                  <c:v>283000</c:v>
                </c:pt>
                <c:pt idx="1092">
                  <c:v>#N/A</c:v>
                </c:pt>
                <c:pt idx="1093">
                  <c:v>#N/A</c:v>
                </c:pt>
                <c:pt idx="1094">
                  <c:v>#N/A</c:v>
                </c:pt>
                <c:pt idx="1095">
                  <c:v>#N/A</c:v>
                </c:pt>
                <c:pt idx="1096">
                  <c:v>#N/A</c:v>
                </c:pt>
                <c:pt idx="1097">
                  <c:v>327000</c:v>
                </c:pt>
                <c:pt idx="1098">
                  <c:v>232000</c:v>
                </c:pt>
                <c:pt idx="1099">
                  <c:v>#N/A</c:v>
                </c:pt>
                <c:pt idx="1100">
                  <c:v>#N/A</c:v>
                </c:pt>
                <c:pt idx="1101">
                  <c:v>#N/A</c:v>
                </c:pt>
                <c:pt idx="1102">
                  <c:v>262000</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227000</c:v>
                </c:pt>
                <c:pt idx="1116">
                  <c:v>#N/A</c:v>
                </c:pt>
                <c:pt idx="1117">
                  <c:v>#N/A</c:v>
                </c:pt>
                <c:pt idx="1118">
                  <c:v>#N/A</c:v>
                </c:pt>
                <c:pt idx="1119">
                  <c:v>#N/A</c:v>
                </c:pt>
                <c:pt idx="1120">
                  <c:v>#N/A</c:v>
                </c:pt>
                <c:pt idx="1121">
                  <c:v>#N/A</c:v>
                </c:pt>
                <c:pt idx="1122">
                  <c:v>#N/A</c:v>
                </c:pt>
                <c:pt idx="1123">
                  <c:v>#N/A</c:v>
                </c:pt>
                <c:pt idx="1124">
                  <c:v>282000</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264000</c:v>
                </c:pt>
                <c:pt idx="1138">
                  <c:v>#N/A</c:v>
                </c:pt>
                <c:pt idx="1139">
                  <c:v>#N/A</c:v>
                </c:pt>
                <c:pt idx="1140">
                  <c:v>#N/A</c:v>
                </c:pt>
                <c:pt idx="1141">
                  <c:v>#N/A</c:v>
                </c:pt>
                <c:pt idx="1142">
                  <c:v>#N/A</c:v>
                </c:pt>
                <c:pt idx="1143">
                  <c:v>#N/A</c:v>
                </c:pt>
                <c:pt idx="1144">
                  <c:v>#N/A</c:v>
                </c:pt>
                <c:pt idx="1145">
                  <c:v>#N/A</c:v>
                </c:pt>
                <c:pt idx="1146">
                  <c:v>#N/A</c:v>
                </c:pt>
                <c:pt idx="1147">
                  <c:v>#N/A</c:v>
                </c:pt>
                <c:pt idx="1148">
                  <c:v>#N/A</c:v>
                </c:pt>
                <c:pt idx="1149">
                  <c:v>215000</c:v>
                </c:pt>
                <c:pt idx="1150">
                  <c:v>#N/A</c:v>
                </c:pt>
                <c:pt idx="1151">
                  <c:v>#N/A</c:v>
                </c:pt>
                <c:pt idx="1152">
                  <c:v>#N/A</c:v>
                </c:pt>
                <c:pt idx="1153">
                  <c:v>#N/A</c:v>
                </c:pt>
                <c:pt idx="1154">
                  <c:v>#N/A</c:v>
                </c:pt>
                <c:pt idx="1155">
                  <c:v>#N/A</c:v>
                </c:pt>
                <c:pt idx="1156">
                  <c:v>247000</c:v>
                </c:pt>
                <c:pt idx="1157">
                  <c:v>#N/A</c:v>
                </c:pt>
                <c:pt idx="1158">
                  <c:v>#N/A</c:v>
                </c:pt>
                <c:pt idx="1159">
                  <c:v>#N/A</c:v>
                </c:pt>
                <c:pt idx="1160">
                  <c:v>#N/A</c:v>
                </c:pt>
                <c:pt idx="1161">
                  <c:v>166000</c:v>
                </c:pt>
                <c:pt idx="1162">
                  <c:v>#N/A</c:v>
                </c:pt>
                <c:pt idx="1163">
                  <c:v>#N/A</c:v>
                </c:pt>
                <c:pt idx="1164">
                  <c:v>#N/A</c:v>
                </c:pt>
                <c:pt idx="1165">
                  <c:v>#N/A</c:v>
                </c:pt>
                <c:pt idx="1166">
                  <c:v>#N/A</c:v>
                </c:pt>
                <c:pt idx="1167">
                  <c:v>155000</c:v>
                </c:pt>
                <c:pt idx="1168">
                  <c:v>#N/A</c:v>
                </c:pt>
                <c:pt idx="1169">
                  <c:v>#N/A</c:v>
                </c:pt>
                <c:pt idx="1170">
                  <c:v>#N/A</c:v>
                </c:pt>
                <c:pt idx="1171">
                  <c:v>#N/A</c:v>
                </c:pt>
                <c:pt idx="1172">
                  <c:v>#N/A</c:v>
                </c:pt>
                <c:pt idx="1173">
                  <c:v>#N/A</c:v>
                </c:pt>
                <c:pt idx="1174">
                  <c:v>#N/A</c:v>
                </c:pt>
                <c:pt idx="1175">
                  <c:v>#N/A</c:v>
                </c:pt>
                <c:pt idx="1176">
                  <c:v>#N/A</c:v>
                </c:pt>
                <c:pt idx="1177">
                  <c:v>313000</c:v>
                </c:pt>
                <c:pt idx="1178">
                  <c:v>278000</c:v>
                </c:pt>
                <c:pt idx="1179">
                  <c:v>#N/A</c:v>
                </c:pt>
                <c:pt idx="1180">
                  <c:v>#N/A</c:v>
                </c:pt>
                <c:pt idx="1181">
                  <c:v>#N/A</c:v>
                </c:pt>
                <c:pt idx="1182">
                  <c:v>#N/A</c:v>
                </c:pt>
                <c:pt idx="1183">
                  <c:v>#N/A</c:v>
                </c:pt>
                <c:pt idx="1184">
                  <c:v>#N/A</c:v>
                </c:pt>
                <c:pt idx="1185">
                  <c:v>#N/A</c:v>
                </c:pt>
                <c:pt idx="1186">
                  <c:v>#N/A</c:v>
                </c:pt>
                <c:pt idx="1187">
                  <c:v>311000</c:v>
                </c:pt>
                <c:pt idx="1188">
                  <c:v>232000</c:v>
                </c:pt>
                <c:pt idx="1189">
                  <c:v>#N/A</c:v>
                </c:pt>
                <c:pt idx="1190">
                  <c:v>#N/A</c:v>
                </c:pt>
                <c:pt idx="1191">
                  <c:v>215000</c:v>
                </c:pt>
                <c:pt idx="1192">
                  <c:v>#N/A</c:v>
                </c:pt>
                <c:pt idx="1193">
                  <c:v>#N/A</c:v>
                </c:pt>
                <c:pt idx="1194">
                  <c:v>#N/A</c:v>
                </c:pt>
                <c:pt idx="1195">
                  <c:v>#N/A</c:v>
                </c:pt>
                <c:pt idx="1196">
                  <c:v>#N/A</c:v>
                </c:pt>
                <c:pt idx="1197">
                  <c:v>#N/A</c:v>
                </c:pt>
                <c:pt idx="1198">
                  <c:v>#N/A</c:v>
                </c:pt>
                <c:pt idx="1199">
                  <c:v>#N/A</c:v>
                </c:pt>
                <c:pt idx="1200">
                  <c:v>#N/A</c:v>
                </c:pt>
              </c:numCache>
            </c:numRef>
          </c:yVal>
          <c:smooth val="0"/>
          <c:extLst>
            <c:ext xmlns:c16="http://schemas.microsoft.com/office/drawing/2014/chart" uri="{C3380CC4-5D6E-409C-BE32-E72D297353CC}">
              <c16:uniqueId val="{00000004-E629-E440-B215-18940960DC09}"/>
            </c:ext>
          </c:extLst>
        </c:ser>
        <c:ser>
          <c:idx val="4"/>
          <c:order val="4"/>
          <c:tx>
            <c:v>Floor</c:v>
          </c:tx>
          <c:spPr>
            <a:ln w="25400" cap="rnd">
              <a:solidFill>
                <a:schemeClr val="accent1">
                  <a:shade val="15000"/>
                </a:schemeClr>
              </a:solidFill>
              <a:round/>
            </a:ln>
            <a:effectLst/>
          </c:spPr>
          <c:marker>
            <c:symbol val="circle"/>
            <c:size val="5"/>
            <c:spPr>
              <a:solidFill>
                <a:schemeClr val="accent5"/>
              </a:solidFill>
              <a:ln w="9525">
                <a:solidFill>
                  <a:schemeClr val="accent5"/>
                </a:solidFill>
              </a:ln>
              <a:effectLst/>
            </c:spPr>
          </c:marker>
          <c:xVal>
            <c:strRef>
              <c:f>riyadh_realestate_dataset!$Y:$Y</c:f>
              <c:strCache>
                <c:ptCount val="1201"/>
                <c:pt idx="0">
                  <c:v>floor_area</c:v>
                </c:pt>
                <c:pt idx="1">
                  <c:v>#N/A</c:v>
                </c:pt>
                <c:pt idx="2">
                  <c:v>#N/A</c:v>
                </c:pt>
                <c:pt idx="3">
                  <c:v>#N/A</c:v>
                </c:pt>
                <c:pt idx="4">
                  <c:v>#N/A</c:v>
                </c:pt>
                <c:pt idx="5">
                  <c:v>#N/A</c:v>
                </c:pt>
                <c:pt idx="6">
                  <c:v>#N/A</c:v>
                </c:pt>
                <c:pt idx="7">
                  <c:v>#N/A</c:v>
                </c:pt>
                <c:pt idx="8">
                  <c:v>#N/A</c:v>
                </c:pt>
                <c:pt idx="9">
                  <c:v>#N/A</c:v>
                </c:pt>
                <c:pt idx="10">
                  <c:v>#N/A</c:v>
                </c:pt>
                <c:pt idx="11">
                  <c:v>#N/A</c:v>
                </c:pt>
                <c:pt idx="12">
                  <c:v>369</c:v>
                </c:pt>
                <c:pt idx="13">
                  <c:v>#N/A</c:v>
                </c:pt>
                <c:pt idx="14">
                  <c:v>#N/A</c:v>
                </c:pt>
                <c:pt idx="15">
                  <c:v>317</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327</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340</c:v>
                </c:pt>
                <c:pt idx="64">
                  <c:v>374</c:v>
                </c:pt>
                <c:pt idx="65">
                  <c:v>365</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354</c:v>
                </c:pt>
                <c:pt idx="81">
                  <c:v>#N/A</c:v>
                </c:pt>
                <c:pt idx="82">
                  <c:v>#N/A</c:v>
                </c:pt>
                <c:pt idx="83">
                  <c:v>#N/A</c:v>
                </c:pt>
                <c:pt idx="84">
                  <c:v>#N/A</c:v>
                </c:pt>
                <c:pt idx="85">
                  <c:v>#N/A</c:v>
                </c:pt>
                <c:pt idx="86">
                  <c:v>#N/A</c:v>
                </c:pt>
                <c:pt idx="87">
                  <c:v>#N/A</c:v>
                </c:pt>
                <c:pt idx="88">
                  <c:v>361</c:v>
                </c:pt>
                <c:pt idx="89">
                  <c:v>#N/A</c:v>
                </c:pt>
                <c:pt idx="90">
                  <c:v>#N/A</c:v>
                </c:pt>
                <c:pt idx="91">
                  <c:v>381</c:v>
                </c:pt>
                <c:pt idx="92">
                  <c:v>368</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351</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304</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343</c:v>
                </c:pt>
                <c:pt idx="147">
                  <c:v>#N/A</c:v>
                </c:pt>
                <c:pt idx="148">
                  <c:v>#N/A</c:v>
                </c:pt>
                <c:pt idx="149">
                  <c:v>322</c:v>
                </c:pt>
                <c:pt idx="150">
                  <c:v>#N/A</c:v>
                </c:pt>
                <c:pt idx="151">
                  <c:v>#N/A</c:v>
                </c:pt>
                <c:pt idx="152">
                  <c:v>#N/A</c:v>
                </c:pt>
                <c:pt idx="153">
                  <c:v>477</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401</c:v>
                </c:pt>
                <c:pt idx="177">
                  <c:v>#N/A</c:v>
                </c:pt>
                <c:pt idx="178">
                  <c:v>#N/A</c:v>
                </c:pt>
                <c:pt idx="179">
                  <c:v>#N/A</c:v>
                </c:pt>
                <c:pt idx="180">
                  <c:v>#N/A</c:v>
                </c:pt>
                <c:pt idx="181">
                  <c:v>#N/A</c:v>
                </c:pt>
                <c:pt idx="182">
                  <c:v>#N/A</c:v>
                </c:pt>
                <c:pt idx="183">
                  <c:v>#N/A</c:v>
                </c:pt>
                <c:pt idx="184">
                  <c:v>#N/A</c:v>
                </c:pt>
                <c:pt idx="185">
                  <c:v>#N/A</c:v>
                </c:pt>
                <c:pt idx="186">
                  <c:v>#N/A</c:v>
                </c:pt>
                <c:pt idx="187">
                  <c:v>#N/A</c:v>
                </c:pt>
                <c:pt idx="188">
                  <c:v>351</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349</c:v>
                </c:pt>
                <c:pt idx="212">
                  <c:v>#N/A</c:v>
                </c:pt>
                <c:pt idx="213">
                  <c:v>369</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460</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407</c:v>
                </c:pt>
                <c:pt idx="267">
                  <c:v>#N/A</c:v>
                </c:pt>
                <c:pt idx="268">
                  <c:v>#N/A</c:v>
                </c:pt>
                <c:pt idx="269">
                  <c:v>#N/A</c:v>
                </c:pt>
                <c:pt idx="270">
                  <c:v>#N/A</c:v>
                </c:pt>
                <c:pt idx="271">
                  <c:v>#N/A</c:v>
                </c:pt>
                <c:pt idx="272">
                  <c:v>352</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355</c:v>
                </c:pt>
                <c:pt idx="292">
                  <c:v>#N/A</c:v>
                </c:pt>
                <c:pt idx="293">
                  <c:v>#N/A</c:v>
                </c:pt>
                <c:pt idx="294">
                  <c:v>#N/A</c:v>
                </c:pt>
                <c:pt idx="295">
                  <c:v>#N/A</c:v>
                </c:pt>
                <c:pt idx="296">
                  <c:v>#N/A</c:v>
                </c:pt>
                <c:pt idx="297">
                  <c:v>#N/A</c:v>
                </c:pt>
                <c:pt idx="298">
                  <c:v>#N/A</c:v>
                </c:pt>
                <c:pt idx="299">
                  <c:v>#N/A</c:v>
                </c:pt>
                <c:pt idx="300">
                  <c:v>#N/A</c:v>
                </c:pt>
                <c:pt idx="301">
                  <c:v>353</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315</c:v>
                </c:pt>
                <c:pt idx="319">
                  <c:v>#N/A</c:v>
                </c:pt>
                <c:pt idx="320">
                  <c:v>#N/A</c:v>
                </c:pt>
                <c:pt idx="321">
                  <c:v>#N/A</c:v>
                </c:pt>
                <c:pt idx="322">
                  <c:v>#N/A</c:v>
                </c:pt>
                <c:pt idx="323">
                  <c:v>#N/A</c:v>
                </c:pt>
                <c:pt idx="324">
                  <c:v>#N/A</c:v>
                </c:pt>
                <c:pt idx="325">
                  <c:v>#N/A</c:v>
                </c:pt>
                <c:pt idx="326">
                  <c:v>#N/A</c:v>
                </c:pt>
                <c:pt idx="327">
                  <c:v>#N/A</c:v>
                </c:pt>
                <c:pt idx="328">
                  <c:v>#N/A</c:v>
                </c:pt>
                <c:pt idx="329">
                  <c:v>#N/A</c:v>
                </c:pt>
                <c:pt idx="330">
                  <c:v>325</c:v>
                </c:pt>
                <c:pt idx="331">
                  <c:v>#N/A</c:v>
                </c:pt>
                <c:pt idx="332">
                  <c:v>#N/A</c:v>
                </c:pt>
                <c:pt idx="333">
                  <c:v>#N/A</c:v>
                </c:pt>
                <c:pt idx="334">
                  <c:v>#N/A</c:v>
                </c:pt>
                <c:pt idx="335">
                  <c:v>#N/A</c:v>
                </c:pt>
                <c:pt idx="336">
                  <c:v>#N/A</c:v>
                </c:pt>
                <c:pt idx="337">
                  <c:v>#N/A</c:v>
                </c:pt>
                <c:pt idx="338">
                  <c:v>#N/A</c:v>
                </c:pt>
                <c:pt idx="339">
                  <c:v>261</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418</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386</c:v>
                </c:pt>
                <c:pt idx="406">
                  <c:v>#N/A</c:v>
                </c:pt>
                <c:pt idx="407">
                  <c:v>#N/A</c:v>
                </c:pt>
                <c:pt idx="408">
                  <c:v>#N/A</c:v>
                </c:pt>
                <c:pt idx="409">
                  <c:v>#N/A</c:v>
                </c:pt>
                <c:pt idx="410">
                  <c:v>#N/A</c:v>
                </c:pt>
                <c:pt idx="411">
                  <c:v>#N/A</c:v>
                </c:pt>
                <c:pt idx="412">
                  <c:v>#N/A</c:v>
                </c:pt>
                <c:pt idx="413">
                  <c:v>#N/A</c:v>
                </c:pt>
                <c:pt idx="414">
                  <c:v>#N/A</c:v>
                </c:pt>
                <c:pt idx="415">
                  <c:v>317</c:v>
                </c:pt>
                <c:pt idx="416">
                  <c:v>#N/A</c:v>
                </c:pt>
                <c:pt idx="417">
                  <c:v>#N/A</c:v>
                </c:pt>
                <c:pt idx="418">
                  <c:v>#N/A</c:v>
                </c:pt>
                <c:pt idx="419">
                  <c:v>#N/A</c:v>
                </c:pt>
                <c:pt idx="420">
                  <c:v>#N/A</c:v>
                </c:pt>
                <c:pt idx="421">
                  <c:v>#N/A</c:v>
                </c:pt>
                <c:pt idx="422">
                  <c:v>#N/A</c:v>
                </c:pt>
                <c:pt idx="423">
                  <c:v>318</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319</c:v>
                </c:pt>
                <c:pt idx="465">
                  <c:v>#N/A</c:v>
                </c:pt>
                <c:pt idx="466">
                  <c:v>331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348</c:v>
                </c:pt>
                <c:pt idx="508">
                  <c:v>#N/A</c:v>
                </c:pt>
                <c:pt idx="509">
                  <c:v>#N/A</c:v>
                </c:pt>
                <c:pt idx="510">
                  <c:v>#N/A</c:v>
                </c:pt>
                <c:pt idx="511">
                  <c:v>#N/A</c:v>
                </c:pt>
                <c:pt idx="512">
                  <c:v>#N/A</c:v>
                </c:pt>
                <c:pt idx="513">
                  <c:v>#N/A</c:v>
                </c:pt>
                <c:pt idx="514">
                  <c:v>#N/A</c:v>
                </c:pt>
                <c:pt idx="515">
                  <c:v>#N/A</c:v>
                </c:pt>
                <c:pt idx="516">
                  <c:v>#N/A</c:v>
                </c:pt>
                <c:pt idx="517">
                  <c:v>#N/A</c:v>
                </c:pt>
                <c:pt idx="518">
                  <c:v>#N/A</c:v>
                </c:pt>
                <c:pt idx="519">
                  <c:v>433</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346</c:v>
                </c:pt>
                <c:pt idx="541">
                  <c:v>#N/A</c:v>
                </c:pt>
                <c:pt idx="542">
                  <c:v>#N/A</c:v>
                </c:pt>
                <c:pt idx="543">
                  <c:v>#N/A</c:v>
                </c:pt>
                <c:pt idx="544">
                  <c:v>#N/A</c:v>
                </c:pt>
                <c:pt idx="545">
                  <c:v>#N/A</c:v>
                </c:pt>
                <c:pt idx="546">
                  <c:v>#N/A</c:v>
                </c:pt>
                <c:pt idx="547">
                  <c:v>#N/A</c:v>
                </c:pt>
                <c:pt idx="548">
                  <c:v>#N/A</c:v>
                </c:pt>
                <c:pt idx="549">
                  <c:v>#N/A</c:v>
                </c:pt>
                <c:pt idx="550">
                  <c:v>308</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376</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415</c:v>
                </c:pt>
                <c:pt idx="608">
                  <c:v>#N/A</c:v>
                </c:pt>
                <c:pt idx="609">
                  <c:v>#N/A</c:v>
                </c:pt>
                <c:pt idx="610">
                  <c:v>#N/A</c:v>
                </c:pt>
                <c:pt idx="611">
                  <c:v>#N/A</c:v>
                </c:pt>
                <c:pt idx="612">
                  <c:v>433</c:v>
                </c:pt>
                <c:pt idx="613">
                  <c:v>#N/A</c:v>
                </c:pt>
                <c:pt idx="614">
                  <c:v>#N/A</c:v>
                </c:pt>
                <c:pt idx="615">
                  <c:v>#N/A</c:v>
                </c:pt>
                <c:pt idx="616">
                  <c:v>#N/A</c:v>
                </c:pt>
                <c:pt idx="617">
                  <c:v>#N/A</c:v>
                </c:pt>
                <c:pt idx="618">
                  <c:v>#N/A</c:v>
                </c:pt>
                <c:pt idx="619">
                  <c:v>#N/A</c:v>
                </c:pt>
                <c:pt idx="620">
                  <c:v>#N/A</c:v>
                </c:pt>
                <c:pt idx="621">
                  <c:v>#N/A</c:v>
                </c:pt>
                <c:pt idx="622">
                  <c:v>#N/A</c:v>
                </c:pt>
                <c:pt idx="623">
                  <c:v>#N/A</c:v>
                </c:pt>
                <c:pt idx="624">
                  <c:v>379</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447</c:v>
                </c:pt>
                <c:pt idx="658">
                  <c:v>#N/A</c:v>
                </c:pt>
                <c:pt idx="659">
                  <c:v>#N/A</c:v>
                </c:pt>
                <c:pt idx="660">
                  <c:v>#N/A</c:v>
                </c:pt>
                <c:pt idx="661">
                  <c:v>#N/A</c:v>
                </c:pt>
                <c:pt idx="662">
                  <c:v>#N/A</c:v>
                </c:pt>
                <c:pt idx="663">
                  <c:v>#N/A</c:v>
                </c:pt>
                <c:pt idx="664">
                  <c:v>351</c:v>
                </c:pt>
                <c:pt idx="665">
                  <c:v>#N/A</c:v>
                </c:pt>
                <c:pt idx="666">
                  <c:v>#N/A</c:v>
                </c:pt>
                <c:pt idx="667">
                  <c:v>#N/A</c:v>
                </c:pt>
                <c:pt idx="668">
                  <c:v>#N/A</c:v>
                </c:pt>
                <c:pt idx="669">
                  <c:v>#N/A</c:v>
                </c:pt>
                <c:pt idx="670">
                  <c:v>#N/A</c:v>
                </c:pt>
                <c:pt idx="671">
                  <c:v>#N/A</c:v>
                </c:pt>
                <c:pt idx="672">
                  <c:v>#N/A</c:v>
                </c:pt>
                <c:pt idx="673">
                  <c:v>#N/A</c:v>
                </c:pt>
                <c:pt idx="674">
                  <c:v>#N/A</c:v>
                </c:pt>
                <c:pt idx="675">
                  <c:v>#N/A</c:v>
                </c:pt>
                <c:pt idx="676">
                  <c:v>384</c:v>
                </c:pt>
                <c:pt idx="677">
                  <c:v>#N/A</c:v>
                </c:pt>
                <c:pt idx="678">
                  <c:v>#N/A</c:v>
                </c:pt>
                <c:pt idx="679">
                  <c:v>#N/A</c:v>
                </c:pt>
                <c:pt idx="680">
                  <c:v>#N/A</c:v>
                </c:pt>
                <c:pt idx="681">
                  <c:v>#N/A</c:v>
                </c:pt>
                <c:pt idx="682">
                  <c:v>#N/A</c:v>
                </c:pt>
                <c:pt idx="683">
                  <c:v>#N/A</c:v>
                </c:pt>
                <c:pt idx="684">
                  <c:v>#N/A</c:v>
                </c:pt>
                <c:pt idx="685">
                  <c:v>#N/A</c:v>
                </c:pt>
                <c:pt idx="686">
                  <c:v>#N/A</c:v>
                </c:pt>
                <c:pt idx="687">
                  <c:v>356</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300</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304</c:v>
                </c:pt>
                <c:pt idx="717">
                  <c:v>#N/A</c:v>
                </c:pt>
                <c:pt idx="718">
                  <c:v>#N/A</c:v>
                </c:pt>
                <c:pt idx="719">
                  <c:v>#N/A</c:v>
                </c:pt>
                <c:pt idx="720">
                  <c:v>#N/A</c:v>
                </c:pt>
                <c:pt idx="721">
                  <c:v>450</c:v>
                </c:pt>
                <c:pt idx="722">
                  <c:v>#N/A</c:v>
                </c:pt>
                <c:pt idx="723">
                  <c:v>#N/A</c:v>
                </c:pt>
                <c:pt idx="724">
                  <c:v>355</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339</c:v>
                </c:pt>
                <c:pt idx="757">
                  <c:v>#N/A</c:v>
                </c:pt>
                <c:pt idx="758">
                  <c:v>#N/A</c:v>
                </c:pt>
                <c:pt idx="759">
                  <c:v>#N/A</c:v>
                </c:pt>
                <c:pt idx="760">
                  <c:v>#N/A</c:v>
                </c:pt>
                <c:pt idx="761">
                  <c:v>#N/A</c:v>
                </c:pt>
                <c:pt idx="762">
                  <c:v>386</c:v>
                </c:pt>
                <c:pt idx="763">
                  <c:v>#N/A</c:v>
                </c:pt>
                <c:pt idx="764">
                  <c:v>#N/A</c:v>
                </c:pt>
                <c:pt idx="765">
                  <c:v>#N/A</c:v>
                </c:pt>
                <c:pt idx="766">
                  <c:v>330</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268</c:v>
                </c:pt>
                <c:pt idx="788">
                  <c:v>#N/A</c:v>
                </c:pt>
                <c:pt idx="789">
                  <c:v>#N/A</c:v>
                </c:pt>
                <c:pt idx="790">
                  <c:v>#N/A</c:v>
                </c:pt>
                <c:pt idx="791">
                  <c:v>391</c:v>
                </c:pt>
                <c:pt idx="792">
                  <c:v>321</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335</c:v>
                </c:pt>
                <c:pt idx="811">
                  <c:v>#N/A</c:v>
                </c:pt>
                <c:pt idx="812">
                  <c:v>#N/A</c:v>
                </c:pt>
                <c:pt idx="813">
                  <c:v>#N/A</c:v>
                </c:pt>
                <c:pt idx="814">
                  <c:v>406</c:v>
                </c:pt>
                <c:pt idx="815">
                  <c:v>#N/A</c:v>
                </c:pt>
                <c:pt idx="816">
                  <c:v>#N/A</c:v>
                </c:pt>
                <c:pt idx="817">
                  <c:v>#N/A</c:v>
                </c:pt>
                <c:pt idx="818">
                  <c:v>#N/A</c:v>
                </c:pt>
                <c:pt idx="819">
                  <c:v>287</c:v>
                </c:pt>
                <c:pt idx="820">
                  <c:v>#N/A</c:v>
                </c:pt>
                <c:pt idx="821">
                  <c:v>#N/A</c:v>
                </c:pt>
                <c:pt idx="822">
                  <c:v>#N/A</c:v>
                </c:pt>
                <c:pt idx="823">
                  <c:v>#N/A</c:v>
                </c:pt>
                <c:pt idx="824">
                  <c:v>#N/A</c:v>
                </c:pt>
                <c:pt idx="825">
                  <c:v>#N/A</c:v>
                </c:pt>
                <c:pt idx="826">
                  <c:v>#N/A</c:v>
                </c:pt>
                <c:pt idx="827">
                  <c:v>#N/A</c:v>
                </c:pt>
                <c:pt idx="828">
                  <c:v>#N/A</c:v>
                </c:pt>
                <c:pt idx="829">
                  <c:v>#N/A</c:v>
                </c:pt>
                <c:pt idx="830">
                  <c:v>#N/A</c:v>
                </c:pt>
                <c:pt idx="831">
                  <c:v>374</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313</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350</c:v>
                </c:pt>
                <c:pt idx="865">
                  <c:v>#N/A</c:v>
                </c:pt>
                <c:pt idx="866">
                  <c:v>407</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314</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256</c:v>
                </c:pt>
                <c:pt idx="900">
                  <c:v>318</c:v>
                </c:pt>
                <c:pt idx="901">
                  <c:v>#N/A</c:v>
                </c:pt>
                <c:pt idx="902">
                  <c:v>#N/A</c:v>
                </c:pt>
                <c:pt idx="903">
                  <c:v>#N/A</c:v>
                </c:pt>
                <c:pt idx="904">
                  <c:v>#N/A</c:v>
                </c:pt>
                <c:pt idx="905">
                  <c:v>#N/A</c:v>
                </c:pt>
                <c:pt idx="906">
                  <c:v>#N/A</c:v>
                </c:pt>
                <c:pt idx="907">
                  <c:v>289</c:v>
                </c:pt>
                <c:pt idx="908">
                  <c:v>#N/A</c:v>
                </c:pt>
                <c:pt idx="909">
                  <c:v>#N/A</c:v>
                </c:pt>
                <c:pt idx="910">
                  <c:v>#N/A</c:v>
                </c:pt>
                <c:pt idx="911">
                  <c:v>286</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403</c:v>
                </c:pt>
                <c:pt idx="926">
                  <c:v>#N/A</c:v>
                </c:pt>
                <c:pt idx="927">
                  <c:v>#N/A</c:v>
                </c:pt>
                <c:pt idx="928">
                  <c:v>#N/A</c:v>
                </c:pt>
                <c:pt idx="929">
                  <c:v>#N/A</c:v>
                </c:pt>
                <c:pt idx="930">
                  <c:v>#N/A</c:v>
                </c:pt>
                <c:pt idx="931">
                  <c:v>#N/A</c:v>
                </c:pt>
                <c:pt idx="932">
                  <c:v>#N/A</c:v>
                </c:pt>
                <c:pt idx="933">
                  <c:v>#N/A</c:v>
                </c:pt>
                <c:pt idx="934">
                  <c:v>#N/A</c:v>
                </c:pt>
                <c:pt idx="935">
                  <c:v>#N/A</c:v>
                </c:pt>
                <c:pt idx="936">
                  <c:v>#N/A</c:v>
                </c:pt>
                <c:pt idx="937">
                  <c:v>330</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343</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417</c:v>
                </c:pt>
                <c:pt idx="975">
                  <c:v>#N/A</c:v>
                </c:pt>
                <c:pt idx="976">
                  <c:v>#N/A</c:v>
                </c:pt>
                <c:pt idx="977">
                  <c:v>#N/A</c:v>
                </c:pt>
                <c:pt idx="978">
                  <c:v>#N/A</c:v>
                </c:pt>
                <c:pt idx="979">
                  <c:v>#N/A</c:v>
                </c:pt>
                <c:pt idx="980">
                  <c:v>345</c:v>
                </c:pt>
                <c:pt idx="981">
                  <c:v>#N/A</c:v>
                </c:pt>
                <c:pt idx="982">
                  <c:v>#N/A</c:v>
                </c:pt>
                <c:pt idx="983">
                  <c:v>#N/A</c:v>
                </c:pt>
                <c:pt idx="984">
                  <c:v>387</c:v>
                </c:pt>
                <c:pt idx="985">
                  <c:v>#N/A</c:v>
                </c:pt>
                <c:pt idx="986">
                  <c:v>#N/A</c:v>
                </c:pt>
                <c:pt idx="987">
                  <c:v>#N/A</c:v>
                </c:pt>
                <c:pt idx="988">
                  <c:v>460</c:v>
                </c:pt>
                <c:pt idx="989">
                  <c:v>#N/A</c:v>
                </c:pt>
                <c:pt idx="990">
                  <c:v>#N/A</c:v>
                </c:pt>
                <c:pt idx="991">
                  <c:v>#N/A</c:v>
                </c:pt>
                <c:pt idx="992">
                  <c:v>#N/A</c:v>
                </c:pt>
                <c:pt idx="993">
                  <c:v>407</c:v>
                </c:pt>
                <c:pt idx="994">
                  <c:v>#N/A</c:v>
                </c:pt>
                <c:pt idx="995">
                  <c:v>#N/A</c:v>
                </c:pt>
                <c:pt idx="996">
                  <c:v>#N/A</c:v>
                </c:pt>
                <c:pt idx="997">
                  <c:v>#N/A</c:v>
                </c:pt>
                <c:pt idx="998">
                  <c:v>#N/A</c:v>
                </c:pt>
                <c:pt idx="999">
                  <c:v>#N/A</c:v>
                </c:pt>
                <c:pt idx="1000">
                  <c:v>#N/A</c:v>
                </c:pt>
                <c:pt idx="1001">
                  <c:v>409</c:v>
                </c:pt>
                <c:pt idx="1002">
                  <c:v>#N/A</c:v>
                </c:pt>
                <c:pt idx="1003">
                  <c:v>#N/A</c:v>
                </c:pt>
                <c:pt idx="1004">
                  <c:v>#N/A</c:v>
                </c:pt>
                <c:pt idx="1005">
                  <c:v>#N/A</c:v>
                </c:pt>
                <c:pt idx="1006">
                  <c:v>#N/A</c:v>
                </c:pt>
                <c:pt idx="1007">
                  <c:v>#N/A</c:v>
                </c:pt>
                <c:pt idx="1008">
                  <c:v>#N/A</c:v>
                </c:pt>
                <c:pt idx="1009">
                  <c:v>355</c:v>
                </c:pt>
                <c:pt idx="1010">
                  <c:v>#N/A</c:v>
                </c:pt>
                <c:pt idx="1011">
                  <c:v>#N/A</c:v>
                </c:pt>
                <c:pt idx="1012">
                  <c:v>#N/A</c:v>
                </c:pt>
                <c:pt idx="1013">
                  <c:v>#N/A</c:v>
                </c:pt>
                <c:pt idx="1014">
                  <c:v>#N/A</c:v>
                </c:pt>
                <c:pt idx="1015">
                  <c:v>#N/A</c:v>
                </c:pt>
                <c:pt idx="1016">
                  <c:v>#N/A</c:v>
                </c:pt>
                <c:pt idx="1017">
                  <c:v>324</c:v>
                </c:pt>
                <c:pt idx="1018">
                  <c:v>#N/A</c:v>
                </c:pt>
                <c:pt idx="1019">
                  <c:v>#N/A</c:v>
                </c:pt>
                <c:pt idx="1020">
                  <c:v>#N/A</c:v>
                </c:pt>
                <c:pt idx="1021">
                  <c:v>#N/A</c:v>
                </c:pt>
                <c:pt idx="1022">
                  <c:v>#N/A</c:v>
                </c:pt>
                <c:pt idx="1023">
                  <c:v>#N/A</c:v>
                </c:pt>
                <c:pt idx="1024">
                  <c:v>#N/A</c:v>
                </c:pt>
                <c:pt idx="1025">
                  <c:v>237</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314</c:v>
                </c:pt>
                <c:pt idx="1075">
                  <c:v>#N/A</c:v>
                </c:pt>
                <c:pt idx="1076">
                  <c:v>#N/A</c:v>
                </c:pt>
                <c:pt idx="1077">
                  <c:v>#N/A</c:v>
                </c:pt>
                <c:pt idx="1078">
                  <c:v>#N/A</c:v>
                </c:pt>
                <c:pt idx="1079">
                  <c:v>#N/A</c:v>
                </c:pt>
                <c:pt idx="1080">
                  <c:v>#N/A</c:v>
                </c:pt>
                <c:pt idx="1081">
                  <c:v>334</c:v>
                </c:pt>
                <c:pt idx="1082">
                  <c:v>#N/A</c:v>
                </c:pt>
                <c:pt idx="1083">
                  <c:v>392</c:v>
                </c:pt>
                <c:pt idx="1084">
                  <c:v>#N/A</c:v>
                </c:pt>
                <c:pt idx="1085">
                  <c:v>#N/A</c:v>
                </c:pt>
                <c:pt idx="1086">
                  <c:v>#N/A</c:v>
                </c:pt>
                <c:pt idx="1087">
                  <c:v>#N/A</c:v>
                </c:pt>
                <c:pt idx="1088">
                  <c:v>#N/A</c:v>
                </c:pt>
                <c:pt idx="1089">
                  <c:v>#N/A</c:v>
                </c:pt>
                <c:pt idx="1090">
                  <c:v>#N/A</c:v>
                </c:pt>
                <c:pt idx="1091">
                  <c:v>#N/A</c:v>
                </c:pt>
                <c:pt idx="1092">
                  <c:v>#N/A</c:v>
                </c:pt>
                <c:pt idx="1093">
                  <c:v>#N/A</c:v>
                </c:pt>
                <c:pt idx="1094">
                  <c:v>#N/A</c:v>
                </c:pt>
                <c:pt idx="1095">
                  <c:v>474</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174</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332</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strCache>
            </c:strRef>
          </c:xVal>
          <c:yVal>
            <c:numRef>
              <c:f>riyadh_realestate_dataset!$X:$X</c:f>
              <c:numCache>
                <c:formatCode>General</c:formatCode>
                <c:ptCount val="1048576"/>
                <c:pt idx="0">
                  <c:v>0</c:v>
                </c:pt>
                <c:pt idx="1">
                  <c:v>#N/A</c:v>
                </c:pt>
                <c:pt idx="2">
                  <c:v>#N/A</c:v>
                </c:pt>
                <c:pt idx="3">
                  <c:v>#N/A</c:v>
                </c:pt>
                <c:pt idx="4">
                  <c:v>#N/A</c:v>
                </c:pt>
                <c:pt idx="5">
                  <c:v>#N/A</c:v>
                </c:pt>
                <c:pt idx="6">
                  <c:v>#N/A</c:v>
                </c:pt>
                <c:pt idx="7">
                  <c:v>#N/A</c:v>
                </c:pt>
                <c:pt idx="8">
                  <c:v>#N/A</c:v>
                </c:pt>
                <c:pt idx="9">
                  <c:v>#N/A</c:v>
                </c:pt>
                <c:pt idx="10">
                  <c:v>#N/A</c:v>
                </c:pt>
                <c:pt idx="11">
                  <c:v>#N/A</c:v>
                </c:pt>
                <c:pt idx="12">
                  <c:v>939000</c:v>
                </c:pt>
                <c:pt idx="13">
                  <c:v>#N/A</c:v>
                </c:pt>
                <c:pt idx="14">
                  <c:v>#N/A</c:v>
                </c:pt>
                <c:pt idx="15">
                  <c:v>815000</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933000</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1018000</c:v>
                </c:pt>
                <c:pt idx="64">
                  <c:v>688000</c:v>
                </c:pt>
                <c:pt idx="65">
                  <c:v>818000</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751000</c:v>
                </c:pt>
                <c:pt idx="81">
                  <c:v>#N/A</c:v>
                </c:pt>
                <c:pt idx="82">
                  <c:v>#N/A</c:v>
                </c:pt>
                <c:pt idx="83">
                  <c:v>#N/A</c:v>
                </c:pt>
                <c:pt idx="84">
                  <c:v>#N/A</c:v>
                </c:pt>
                <c:pt idx="85">
                  <c:v>#N/A</c:v>
                </c:pt>
                <c:pt idx="86">
                  <c:v>#N/A</c:v>
                </c:pt>
                <c:pt idx="87">
                  <c:v>#N/A</c:v>
                </c:pt>
                <c:pt idx="88">
                  <c:v>1538000</c:v>
                </c:pt>
                <c:pt idx="89">
                  <c:v>#N/A</c:v>
                </c:pt>
                <c:pt idx="90">
                  <c:v>#N/A</c:v>
                </c:pt>
                <c:pt idx="91">
                  <c:v>1371000</c:v>
                </c:pt>
                <c:pt idx="92">
                  <c:v>932000</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908000</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766000</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975000</c:v>
                </c:pt>
                <c:pt idx="147">
                  <c:v>#N/A</c:v>
                </c:pt>
                <c:pt idx="148">
                  <c:v>#N/A</c:v>
                </c:pt>
                <c:pt idx="149">
                  <c:v>889000</c:v>
                </c:pt>
                <c:pt idx="150">
                  <c:v>#N/A</c:v>
                </c:pt>
                <c:pt idx="151">
                  <c:v>#N/A</c:v>
                </c:pt>
                <c:pt idx="152">
                  <c:v>#N/A</c:v>
                </c:pt>
                <c:pt idx="153">
                  <c:v>1280000</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1444000</c:v>
                </c:pt>
                <c:pt idx="177">
                  <c:v>#N/A</c:v>
                </c:pt>
                <c:pt idx="178">
                  <c:v>#N/A</c:v>
                </c:pt>
                <c:pt idx="179">
                  <c:v>#N/A</c:v>
                </c:pt>
                <c:pt idx="180">
                  <c:v>#N/A</c:v>
                </c:pt>
                <c:pt idx="181">
                  <c:v>#N/A</c:v>
                </c:pt>
                <c:pt idx="182">
                  <c:v>#N/A</c:v>
                </c:pt>
                <c:pt idx="183">
                  <c:v>#N/A</c:v>
                </c:pt>
                <c:pt idx="184">
                  <c:v>#N/A</c:v>
                </c:pt>
                <c:pt idx="185">
                  <c:v>#N/A</c:v>
                </c:pt>
                <c:pt idx="186">
                  <c:v>#N/A</c:v>
                </c:pt>
                <c:pt idx="187">
                  <c:v>#N/A</c:v>
                </c:pt>
                <c:pt idx="188">
                  <c:v>1217000</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786000</c:v>
                </c:pt>
                <c:pt idx="212">
                  <c:v>#N/A</c:v>
                </c:pt>
                <c:pt idx="213">
                  <c:v>930000</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1625000</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1246000</c:v>
                </c:pt>
                <c:pt idx="267">
                  <c:v>#N/A</c:v>
                </c:pt>
                <c:pt idx="268">
                  <c:v>#N/A</c:v>
                </c:pt>
                <c:pt idx="269">
                  <c:v>#N/A</c:v>
                </c:pt>
                <c:pt idx="270">
                  <c:v>#N/A</c:v>
                </c:pt>
                <c:pt idx="271">
                  <c:v>#N/A</c:v>
                </c:pt>
                <c:pt idx="272">
                  <c:v>1040000</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1196000</c:v>
                </c:pt>
                <c:pt idx="292">
                  <c:v>#N/A</c:v>
                </c:pt>
                <c:pt idx="293">
                  <c:v>#N/A</c:v>
                </c:pt>
                <c:pt idx="294">
                  <c:v>#N/A</c:v>
                </c:pt>
                <c:pt idx="295">
                  <c:v>#N/A</c:v>
                </c:pt>
                <c:pt idx="296">
                  <c:v>#N/A</c:v>
                </c:pt>
                <c:pt idx="297">
                  <c:v>#N/A</c:v>
                </c:pt>
                <c:pt idx="298">
                  <c:v>#N/A</c:v>
                </c:pt>
                <c:pt idx="299">
                  <c:v>#N/A</c:v>
                </c:pt>
                <c:pt idx="300">
                  <c:v>#N/A</c:v>
                </c:pt>
                <c:pt idx="301">
                  <c:v>892000</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1031000</c:v>
                </c:pt>
                <c:pt idx="319">
                  <c:v>#N/A</c:v>
                </c:pt>
                <c:pt idx="320">
                  <c:v>#N/A</c:v>
                </c:pt>
                <c:pt idx="321">
                  <c:v>#N/A</c:v>
                </c:pt>
                <c:pt idx="322">
                  <c:v>#N/A</c:v>
                </c:pt>
                <c:pt idx="323">
                  <c:v>#N/A</c:v>
                </c:pt>
                <c:pt idx="324">
                  <c:v>#N/A</c:v>
                </c:pt>
                <c:pt idx="325">
                  <c:v>#N/A</c:v>
                </c:pt>
                <c:pt idx="326">
                  <c:v>#N/A</c:v>
                </c:pt>
                <c:pt idx="327">
                  <c:v>#N/A</c:v>
                </c:pt>
                <c:pt idx="328">
                  <c:v>#N/A</c:v>
                </c:pt>
                <c:pt idx="329">
                  <c:v>#N/A</c:v>
                </c:pt>
                <c:pt idx="330">
                  <c:v>782000</c:v>
                </c:pt>
                <c:pt idx="331">
                  <c:v>#N/A</c:v>
                </c:pt>
                <c:pt idx="332">
                  <c:v>#N/A</c:v>
                </c:pt>
                <c:pt idx="333">
                  <c:v>#N/A</c:v>
                </c:pt>
                <c:pt idx="334">
                  <c:v>#N/A</c:v>
                </c:pt>
                <c:pt idx="335">
                  <c:v>#N/A</c:v>
                </c:pt>
                <c:pt idx="336">
                  <c:v>#N/A</c:v>
                </c:pt>
                <c:pt idx="337">
                  <c:v>#N/A</c:v>
                </c:pt>
                <c:pt idx="338">
                  <c:v>#N/A</c:v>
                </c:pt>
                <c:pt idx="339">
                  <c:v>500000</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1224000</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1045000</c:v>
                </c:pt>
                <c:pt idx="406">
                  <c:v>#N/A</c:v>
                </c:pt>
                <c:pt idx="407">
                  <c:v>#N/A</c:v>
                </c:pt>
                <c:pt idx="408">
                  <c:v>#N/A</c:v>
                </c:pt>
                <c:pt idx="409">
                  <c:v>#N/A</c:v>
                </c:pt>
                <c:pt idx="410">
                  <c:v>#N/A</c:v>
                </c:pt>
                <c:pt idx="411">
                  <c:v>#N/A</c:v>
                </c:pt>
                <c:pt idx="412">
                  <c:v>#N/A</c:v>
                </c:pt>
                <c:pt idx="413">
                  <c:v>#N/A</c:v>
                </c:pt>
                <c:pt idx="414">
                  <c:v>#N/A</c:v>
                </c:pt>
                <c:pt idx="415">
                  <c:v>805000</c:v>
                </c:pt>
                <c:pt idx="416">
                  <c:v>#N/A</c:v>
                </c:pt>
                <c:pt idx="417">
                  <c:v>#N/A</c:v>
                </c:pt>
                <c:pt idx="418">
                  <c:v>#N/A</c:v>
                </c:pt>
                <c:pt idx="419">
                  <c:v>#N/A</c:v>
                </c:pt>
                <c:pt idx="420">
                  <c:v>#N/A</c:v>
                </c:pt>
                <c:pt idx="421">
                  <c:v>#N/A</c:v>
                </c:pt>
                <c:pt idx="422">
                  <c:v>#N/A</c:v>
                </c:pt>
                <c:pt idx="423">
                  <c:v>1054000</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1298000</c:v>
                </c:pt>
                <c:pt idx="465">
                  <c:v>#N/A</c:v>
                </c:pt>
                <c:pt idx="466">
                  <c:v>593000</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1078000</c:v>
                </c:pt>
                <c:pt idx="508">
                  <c:v>#N/A</c:v>
                </c:pt>
                <c:pt idx="509">
                  <c:v>#N/A</c:v>
                </c:pt>
                <c:pt idx="510">
                  <c:v>#N/A</c:v>
                </c:pt>
                <c:pt idx="511">
                  <c:v>#N/A</c:v>
                </c:pt>
                <c:pt idx="512">
                  <c:v>#N/A</c:v>
                </c:pt>
                <c:pt idx="513">
                  <c:v>#N/A</c:v>
                </c:pt>
                <c:pt idx="514">
                  <c:v>#N/A</c:v>
                </c:pt>
                <c:pt idx="515">
                  <c:v>#N/A</c:v>
                </c:pt>
                <c:pt idx="516">
                  <c:v>#N/A</c:v>
                </c:pt>
                <c:pt idx="517">
                  <c:v>#N/A</c:v>
                </c:pt>
                <c:pt idx="518">
                  <c:v>#N/A</c:v>
                </c:pt>
                <c:pt idx="519">
                  <c:v>794000</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698000</c:v>
                </c:pt>
                <c:pt idx="541">
                  <c:v>#N/A</c:v>
                </c:pt>
                <c:pt idx="542">
                  <c:v>#N/A</c:v>
                </c:pt>
                <c:pt idx="543">
                  <c:v>#N/A</c:v>
                </c:pt>
                <c:pt idx="544">
                  <c:v>#N/A</c:v>
                </c:pt>
                <c:pt idx="545">
                  <c:v>#N/A</c:v>
                </c:pt>
                <c:pt idx="546">
                  <c:v>#N/A</c:v>
                </c:pt>
                <c:pt idx="547">
                  <c:v>#N/A</c:v>
                </c:pt>
                <c:pt idx="548">
                  <c:v>#N/A</c:v>
                </c:pt>
                <c:pt idx="549">
                  <c:v>#N/A</c:v>
                </c:pt>
                <c:pt idx="550">
                  <c:v>933000</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737000</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1358000</c:v>
                </c:pt>
                <c:pt idx="608">
                  <c:v>#N/A</c:v>
                </c:pt>
                <c:pt idx="609">
                  <c:v>#N/A</c:v>
                </c:pt>
                <c:pt idx="610">
                  <c:v>#N/A</c:v>
                </c:pt>
                <c:pt idx="611">
                  <c:v>#N/A</c:v>
                </c:pt>
                <c:pt idx="612">
                  <c:v>912000</c:v>
                </c:pt>
                <c:pt idx="613">
                  <c:v>#N/A</c:v>
                </c:pt>
                <c:pt idx="614">
                  <c:v>#N/A</c:v>
                </c:pt>
                <c:pt idx="615">
                  <c:v>#N/A</c:v>
                </c:pt>
                <c:pt idx="616">
                  <c:v>#N/A</c:v>
                </c:pt>
                <c:pt idx="617">
                  <c:v>#N/A</c:v>
                </c:pt>
                <c:pt idx="618">
                  <c:v>#N/A</c:v>
                </c:pt>
                <c:pt idx="619">
                  <c:v>#N/A</c:v>
                </c:pt>
                <c:pt idx="620">
                  <c:v>#N/A</c:v>
                </c:pt>
                <c:pt idx="621">
                  <c:v>#N/A</c:v>
                </c:pt>
                <c:pt idx="622">
                  <c:v>#N/A</c:v>
                </c:pt>
                <c:pt idx="623">
                  <c:v>#N/A</c:v>
                </c:pt>
                <c:pt idx="624">
                  <c:v>1003000</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1808000</c:v>
                </c:pt>
                <c:pt idx="658">
                  <c:v>#N/A</c:v>
                </c:pt>
                <c:pt idx="659">
                  <c:v>#N/A</c:v>
                </c:pt>
                <c:pt idx="660">
                  <c:v>#N/A</c:v>
                </c:pt>
                <c:pt idx="661">
                  <c:v>#N/A</c:v>
                </c:pt>
                <c:pt idx="662">
                  <c:v>#N/A</c:v>
                </c:pt>
                <c:pt idx="663">
                  <c:v>#N/A</c:v>
                </c:pt>
                <c:pt idx="664">
                  <c:v>854000</c:v>
                </c:pt>
                <c:pt idx="665">
                  <c:v>#N/A</c:v>
                </c:pt>
                <c:pt idx="666">
                  <c:v>#N/A</c:v>
                </c:pt>
                <c:pt idx="667">
                  <c:v>#N/A</c:v>
                </c:pt>
                <c:pt idx="668">
                  <c:v>#N/A</c:v>
                </c:pt>
                <c:pt idx="669">
                  <c:v>#N/A</c:v>
                </c:pt>
                <c:pt idx="670">
                  <c:v>#N/A</c:v>
                </c:pt>
                <c:pt idx="671">
                  <c:v>#N/A</c:v>
                </c:pt>
                <c:pt idx="672">
                  <c:v>#N/A</c:v>
                </c:pt>
                <c:pt idx="673">
                  <c:v>#N/A</c:v>
                </c:pt>
                <c:pt idx="674">
                  <c:v>#N/A</c:v>
                </c:pt>
                <c:pt idx="675">
                  <c:v>#N/A</c:v>
                </c:pt>
                <c:pt idx="676">
                  <c:v>984000</c:v>
                </c:pt>
                <c:pt idx="677">
                  <c:v>#N/A</c:v>
                </c:pt>
                <c:pt idx="678">
                  <c:v>#N/A</c:v>
                </c:pt>
                <c:pt idx="679">
                  <c:v>#N/A</c:v>
                </c:pt>
                <c:pt idx="680">
                  <c:v>#N/A</c:v>
                </c:pt>
                <c:pt idx="681">
                  <c:v>#N/A</c:v>
                </c:pt>
                <c:pt idx="682">
                  <c:v>#N/A</c:v>
                </c:pt>
                <c:pt idx="683">
                  <c:v>#N/A</c:v>
                </c:pt>
                <c:pt idx="684">
                  <c:v>#N/A</c:v>
                </c:pt>
                <c:pt idx="685">
                  <c:v>#N/A</c:v>
                </c:pt>
                <c:pt idx="686">
                  <c:v>#N/A</c:v>
                </c:pt>
                <c:pt idx="687">
                  <c:v>697000</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857000</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1127000</c:v>
                </c:pt>
                <c:pt idx="717">
                  <c:v>#N/A</c:v>
                </c:pt>
                <c:pt idx="718">
                  <c:v>#N/A</c:v>
                </c:pt>
                <c:pt idx="719">
                  <c:v>#N/A</c:v>
                </c:pt>
                <c:pt idx="720">
                  <c:v>#N/A</c:v>
                </c:pt>
                <c:pt idx="721">
                  <c:v>1283000</c:v>
                </c:pt>
                <c:pt idx="722">
                  <c:v>#N/A</c:v>
                </c:pt>
                <c:pt idx="723">
                  <c:v>#N/A</c:v>
                </c:pt>
                <c:pt idx="724">
                  <c:v>880000</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937000</c:v>
                </c:pt>
                <c:pt idx="757">
                  <c:v>#N/A</c:v>
                </c:pt>
                <c:pt idx="758">
                  <c:v>#N/A</c:v>
                </c:pt>
                <c:pt idx="759">
                  <c:v>#N/A</c:v>
                </c:pt>
                <c:pt idx="760">
                  <c:v>#N/A</c:v>
                </c:pt>
                <c:pt idx="761">
                  <c:v>#N/A</c:v>
                </c:pt>
                <c:pt idx="762">
                  <c:v>863000</c:v>
                </c:pt>
                <c:pt idx="763">
                  <c:v>#N/A</c:v>
                </c:pt>
                <c:pt idx="764">
                  <c:v>#N/A</c:v>
                </c:pt>
                <c:pt idx="765">
                  <c:v>#N/A</c:v>
                </c:pt>
                <c:pt idx="766">
                  <c:v>1119000</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809000</c:v>
                </c:pt>
                <c:pt idx="788">
                  <c:v>#N/A</c:v>
                </c:pt>
                <c:pt idx="789">
                  <c:v>#N/A</c:v>
                </c:pt>
                <c:pt idx="790">
                  <c:v>#N/A</c:v>
                </c:pt>
                <c:pt idx="791">
                  <c:v>1086000</c:v>
                </c:pt>
                <c:pt idx="792">
                  <c:v>736000</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1401000</c:v>
                </c:pt>
                <c:pt idx="811">
                  <c:v>#N/A</c:v>
                </c:pt>
                <c:pt idx="812">
                  <c:v>#N/A</c:v>
                </c:pt>
                <c:pt idx="813">
                  <c:v>#N/A</c:v>
                </c:pt>
                <c:pt idx="814">
                  <c:v>966000</c:v>
                </c:pt>
                <c:pt idx="815">
                  <c:v>#N/A</c:v>
                </c:pt>
                <c:pt idx="816">
                  <c:v>#N/A</c:v>
                </c:pt>
                <c:pt idx="817">
                  <c:v>#N/A</c:v>
                </c:pt>
                <c:pt idx="818">
                  <c:v>#N/A</c:v>
                </c:pt>
                <c:pt idx="819">
                  <c:v>963000</c:v>
                </c:pt>
                <c:pt idx="820">
                  <c:v>#N/A</c:v>
                </c:pt>
                <c:pt idx="821">
                  <c:v>#N/A</c:v>
                </c:pt>
                <c:pt idx="822">
                  <c:v>#N/A</c:v>
                </c:pt>
                <c:pt idx="823">
                  <c:v>#N/A</c:v>
                </c:pt>
                <c:pt idx="824">
                  <c:v>#N/A</c:v>
                </c:pt>
                <c:pt idx="825">
                  <c:v>#N/A</c:v>
                </c:pt>
                <c:pt idx="826">
                  <c:v>#N/A</c:v>
                </c:pt>
                <c:pt idx="827">
                  <c:v>#N/A</c:v>
                </c:pt>
                <c:pt idx="828">
                  <c:v>#N/A</c:v>
                </c:pt>
                <c:pt idx="829">
                  <c:v>#N/A</c:v>
                </c:pt>
                <c:pt idx="830">
                  <c:v>#N/A</c:v>
                </c:pt>
                <c:pt idx="831">
                  <c:v>871000</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812000</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683000</c:v>
                </c:pt>
                <c:pt idx="865">
                  <c:v>#N/A</c:v>
                </c:pt>
                <c:pt idx="866">
                  <c:v>1171000</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555000</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644000</c:v>
                </c:pt>
                <c:pt idx="900">
                  <c:v>994000</c:v>
                </c:pt>
                <c:pt idx="901">
                  <c:v>#N/A</c:v>
                </c:pt>
                <c:pt idx="902">
                  <c:v>#N/A</c:v>
                </c:pt>
                <c:pt idx="903">
                  <c:v>#N/A</c:v>
                </c:pt>
                <c:pt idx="904">
                  <c:v>#N/A</c:v>
                </c:pt>
                <c:pt idx="905">
                  <c:v>#N/A</c:v>
                </c:pt>
                <c:pt idx="906">
                  <c:v>#N/A</c:v>
                </c:pt>
                <c:pt idx="907">
                  <c:v>676000</c:v>
                </c:pt>
                <c:pt idx="908">
                  <c:v>#N/A</c:v>
                </c:pt>
                <c:pt idx="909">
                  <c:v>#N/A</c:v>
                </c:pt>
                <c:pt idx="910">
                  <c:v>#N/A</c:v>
                </c:pt>
                <c:pt idx="911">
                  <c:v>875000</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813000</c:v>
                </c:pt>
                <c:pt idx="926">
                  <c:v>#N/A</c:v>
                </c:pt>
                <c:pt idx="927">
                  <c:v>#N/A</c:v>
                </c:pt>
                <c:pt idx="928">
                  <c:v>#N/A</c:v>
                </c:pt>
                <c:pt idx="929">
                  <c:v>#N/A</c:v>
                </c:pt>
                <c:pt idx="930">
                  <c:v>#N/A</c:v>
                </c:pt>
                <c:pt idx="931">
                  <c:v>#N/A</c:v>
                </c:pt>
                <c:pt idx="932">
                  <c:v>#N/A</c:v>
                </c:pt>
                <c:pt idx="933">
                  <c:v>#N/A</c:v>
                </c:pt>
                <c:pt idx="934">
                  <c:v>#N/A</c:v>
                </c:pt>
                <c:pt idx="935">
                  <c:v>#N/A</c:v>
                </c:pt>
                <c:pt idx="936">
                  <c:v>#N/A</c:v>
                </c:pt>
                <c:pt idx="937">
                  <c:v>693000</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1031000</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1350000</c:v>
                </c:pt>
                <c:pt idx="975">
                  <c:v>#N/A</c:v>
                </c:pt>
                <c:pt idx="976">
                  <c:v>#N/A</c:v>
                </c:pt>
                <c:pt idx="977">
                  <c:v>#N/A</c:v>
                </c:pt>
                <c:pt idx="978">
                  <c:v>#N/A</c:v>
                </c:pt>
                <c:pt idx="979">
                  <c:v>#N/A</c:v>
                </c:pt>
                <c:pt idx="980">
                  <c:v>886000</c:v>
                </c:pt>
                <c:pt idx="981">
                  <c:v>#N/A</c:v>
                </c:pt>
                <c:pt idx="982">
                  <c:v>#N/A</c:v>
                </c:pt>
                <c:pt idx="983">
                  <c:v>#N/A</c:v>
                </c:pt>
                <c:pt idx="984">
                  <c:v>1181000</c:v>
                </c:pt>
                <c:pt idx="985">
                  <c:v>#N/A</c:v>
                </c:pt>
                <c:pt idx="986">
                  <c:v>#N/A</c:v>
                </c:pt>
                <c:pt idx="987">
                  <c:v>#N/A</c:v>
                </c:pt>
                <c:pt idx="988">
                  <c:v>1560000</c:v>
                </c:pt>
                <c:pt idx="989">
                  <c:v>#N/A</c:v>
                </c:pt>
                <c:pt idx="990">
                  <c:v>#N/A</c:v>
                </c:pt>
                <c:pt idx="991">
                  <c:v>#N/A</c:v>
                </c:pt>
                <c:pt idx="992">
                  <c:v>#N/A</c:v>
                </c:pt>
                <c:pt idx="993">
                  <c:v>1041000</c:v>
                </c:pt>
                <c:pt idx="994">
                  <c:v>#N/A</c:v>
                </c:pt>
                <c:pt idx="995">
                  <c:v>#N/A</c:v>
                </c:pt>
                <c:pt idx="996">
                  <c:v>#N/A</c:v>
                </c:pt>
                <c:pt idx="997">
                  <c:v>#N/A</c:v>
                </c:pt>
                <c:pt idx="998">
                  <c:v>#N/A</c:v>
                </c:pt>
                <c:pt idx="999">
                  <c:v>#N/A</c:v>
                </c:pt>
                <c:pt idx="1000">
                  <c:v>#N/A</c:v>
                </c:pt>
                <c:pt idx="1001">
                  <c:v>947000</c:v>
                </c:pt>
                <c:pt idx="1002">
                  <c:v>#N/A</c:v>
                </c:pt>
                <c:pt idx="1003">
                  <c:v>#N/A</c:v>
                </c:pt>
                <c:pt idx="1004">
                  <c:v>#N/A</c:v>
                </c:pt>
                <c:pt idx="1005">
                  <c:v>#N/A</c:v>
                </c:pt>
                <c:pt idx="1006">
                  <c:v>#N/A</c:v>
                </c:pt>
                <c:pt idx="1007">
                  <c:v>#N/A</c:v>
                </c:pt>
                <c:pt idx="1008">
                  <c:v>#N/A</c:v>
                </c:pt>
                <c:pt idx="1009">
                  <c:v>997000</c:v>
                </c:pt>
                <c:pt idx="1010">
                  <c:v>#N/A</c:v>
                </c:pt>
                <c:pt idx="1011">
                  <c:v>#N/A</c:v>
                </c:pt>
                <c:pt idx="1012">
                  <c:v>#N/A</c:v>
                </c:pt>
                <c:pt idx="1013">
                  <c:v>#N/A</c:v>
                </c:pt>
                <c:pt idx="1014">
                  <c:v>#N/A</c:v>
                </c:pt>
                <c:pt idx="1015">
                  <c:v>#N/A</c:v>
                </c:pt>
                <c:pt idx="1016">
                  <c:v>#N/A</c:v>
                </c:pt>
                <c:pt idx="1017">
                  <c:v>770000</c:v>
                </c:pt>
                <c:pt idx="1018">
                  <c:v>#N/A</c:v>
                </c:pt>
                <c:pt idx="1019">
                  <c:v>#N/A</c:v>
                </c:pt>
                <c:pt idx="1020">
                  <c:v>#N/A</c:v>
                </c:pt>
                <c:pt idx="1021">
                  <c:v>#N/A</c:v>
                </c:pt>
                <c:pt idx="1022">
                  <c:v>#N/A</c:v>
                </c:pt>
                <c:pt idx="1023">
                  <c:v>#N/A</c:v>
                </c:pt>
                <c:pt idx="1024">
                  <c:v>#N/A</c:v>
                </c:pt>
                <c:pt idx="1025">
                  <c:v>531000</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590000</c:v>
                </c:pt>
                <c:pt idx="1075">
                  <c:v>#N/A</c:v>
                </c:pt>
                <c:pt idx="1076">
                  <c:v>#N/A</c:v>
                </c:pt>
                <c:pt idx="1077">
                  <c:v>#N/A</c:v>
                </c:pt>
                <c:pt idx="1078">
                  <c:v>#N/A</c:v>
                </c:pt>
                <c:pt idx="1079">
                  <c:v>#N/A</c:v>
                </c:pt>
                <c:pt idx="1080">
                  <c:v>#N/A</c:v>
                </c:pt>
                <c:pt idx="1081">
                  <c:v>849000</c:v>
                </c:pt>
                <c:pt idx="1082">
                  <c:v>#N/A</c:v>
                </c:pt>
                <c:pt idx="1083">
                  <c:v>977000</c:v>
                </c:pt>
                <c:pt idx="1084">
                  <c:v>#N/A</c:v>
                </c:pt>
                <c:pt idx="1085">
                  <c:v>#N/A</c:v>
                </c:pt>
                <c:pt idx="1086">
                  <c:v>#N/A</c:v>
                </c:pt>
                <c:pt idx="1087">
                  <c:v>#N/A</c:v>
                </c:pt>
                <c:pt idx="1088">
                  <c:v>#N/A</c:v>
                </c:pt>
                <c:pt idx="1089">
                  <c:v>#N/A</c:v>
                </c:pt>
                <c:pt idx="1090">
                  <c:v>#N/A</c:v>
                </c:pt>
                <c:pt idx="1091">
                  <c:v>#N/A</c:v>
                </c:pt>
                <c:pt idx="1092">
                  <c:v>#N/A</c:v>
                </c:pt>
                <c:pt idx="1093">
                  <c:v>#N/A</c:v>
                </c:pt>
                <c:pt idx="1094">
                  <c:v>#N/A</c:v>
                </c:pt>
                <c:pt idx="1095">
                  <c:v>1213000</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358000</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1187000</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numCache>
            </c:numRef>
          </c:yVal>
          <c:smooth val="0"/>
          <c:extLst>
            <c:ext xmlns:c16="http://schemas.microsoft.com/office/drawing/2014/chart" uri="{C3380CC4-5D6E-409C-BE32-E72D297353CC}">
              <c16:uniqueId val="{00000005-E629-E440-B215-18940960DC09}"/>
            </c:ext>
          </c:extLst>
        </c:ser>
        <c:dLbls>
          <c:showLegendKey val="0"/>
          <c:showVal val="0"/>
          <c:showCatName val="0"/>
          <c:showSerName val="0"/>
          <c:showPercent val="0"/>
          <c:showBubbleSize val="0"/>
        </c:dLbls>
        <c:axId val="1214719983"/>
        <c:axId val="1387196703"/>
      </c:scatterChart>
      <c:valAx>
        <c:axId val="1214719983"/>
        <c:scaling>
          <c:orientation val="minMax"/>
          <c:max val="7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t>Property Area (sqm)</a:t>
                </a:r>
                <a:endParaRPr lang="en-US" sz="12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387196703"/>
        <c:crosses val="autoZero"/>
        <c:crossBetween val="midCat"/>
      </c:valAx>
      <c:valAx>
        <c:axId val="1387196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t>Sale Price (SAR)</a:t>
                </a:r>
                <a:endParaRPr lang="en-US" sz="12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SAR&quot;\ #,##0,,&quot;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214719983"/>
        <c:crosses val="autoZero"/>
        <c:crossBetween val="midCat"/>
      </c:valAx>
      <c:spPr>
        <a:noFill/>
        <a:ln>
          <a:noFill/>
        </a:ln>
        <a:effectLst/>
      </c:spPr>
    </c:plotArea>
    <c:legend>
      <c:legendPos val="r"/>
      <c:layout>
        <c:manualLayout>
          <c:xMode val="edge"/>
          <c:yMode val="edge"/>
          <c:x val="0.83613125687448719"/>
          <c:y val="5.3365435404817745E-2"/>
          <c:w val="0.13468028626262263"/>
          <c:h val="0.3394994103997869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342900</xdr:colOff>
      <xdr:row>2</xdr:row>
      <xdr:rowOff>107950</xdr:rowOff>
    </xdr:from>
    <xdr:to>
      <xdr:col>10</xdr:col>
      <xdr:colOff>165100</xdr:colOff>
      <xdr:row>17</xdr:row>
      <xdr:rowOff>152400</xdr:rowOff>
    </xdr:to>
    <xdr:graphicFrame macro="">
      <xdr:nvGraphicFramePr>
        <xdr:cNvPr id="2" name="Chart 1">
          <a:extLst>
            <a:ext uri="{FF2B5EF4-FFF2-40B4-BE49-F238E27FC236}">
              <a16:creationId xmlns:a16="http://schemas.microsoft.com/office/drawing/2014/main" id="{403F422F-5748-FC6A-4F28-271566B2F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546100</xdr:colOff>
      <xdr:row>5</xdr:row>
      <xdr:rowOff>6350</xdr:rowOff>
    </xdr:from>
    <xdr:to>
      <xdr:col>10</xdr:col>
      <xdr:colOff>165100</xdr:colOff>
      <xdr:row>18</xdr:row>
      <xdr:rowOff>107950</xdr:rowOff>
    </xdr:to>
    <xdr:graphicFrame macro="">
      <xdr:nvGraphicFramePr>
        <xdr:cNvPr id="2" name="Chart 1">
          <a:extLst>
            <a:ext uri="{FF2B5EF4-FFF2-40B4-BE49-F238E27FC236}">
              <a16:creationId xmlns:a16="http://schemas.microsoft.com/office/drawing/2014/main" id="{64EB4A58-730B-704D-57DF-8997A6A2E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774700</xdr:colOff>
      <xdr:row>4</xdr:row>
      <xdr:rowOff>190500</xdr:rowOff>
    </xdr:from>
    <xdr:to>
      <xdr:col>11</xdr:col>
      <xdr:colOff>596900</xdr:colOff>
      <xdr:row>27</xdr:row>
      <xdr:rowOff>177800</xdr:rowOff>
    </xdr:to>
    <xdr:graphicFrame macro="">
      <xdr:nvGraphicFramePr>
        <xdr:cNvPr id="2" name="Chart 1">
          <a:extLst>
            <a:ext uri="{FF2B5EF4-FFF2-40B4-BE49-F238E27FC236}">
              <a16:creationId xmlns:a16="http://schemas.microsoft.com/office/drawing/2014/main" id="{0F4370CD-3FF9-8915-2A69-0034E0032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0.5786</cdr:x>
      <cdr:y>0.90065</cdr:y>
    </cdr:from>
    <cdr:to>
      <cdr:x>0.98617</cdr:x>
      <cdr:y>0.99203</cdr:y>
    </cdr:to>
    <cdr:sp macro="" textlink="">
      <cdr:nvSpPr>
        <cdr:cNvPr id="2" name="Rectangle 1">
          <a:extLst xmlns:a="http://schemas.openxmlformats.org/drawingml/2006/main">
            <a:ext uri="{FF2B5EF4-FFF2-40B4-BE49-F238E27FC236}">
              <a16:creationId xmlns:a16="http://schemas.microsoft.com/office/drawing/2014/main" id="{9AE8F9CA-A906-1DD0-E84B-070060D5A5F8}"/>
            </a:ext>
          </a:extLst>
        </cdr:cNvPr>
        <cdr:cNvSpPr/>
      </cdr:nvSpPr>
      <cdr:spPr>
        <a:xfrm xmlns:a="http://schemas.openxmlformats.org/drawingml/2006/main">
          <a:off x="3718218" y="4197820"/>
          <a:ext cx="2619082" cy="425952"/>
        </a:xfrm>
        <a:prstGeom xmlns:a="http://schemas.openxmlformats.org/drawingml/2006/main" prst="rect">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a:t>      Central.             North                   East/West</a:t>
          </a:r>
          <a:endParaRPr lang="en-US" kern="1200"/>
        </a:p>
      </cdr:txBody>
    </cdr:sp>
  </cdr:relSizeAnchor>
  <cdr:relSizeAnchor xmlns:cdr="http://schemas.openxmlformats.org/drawingml/2006/chartDrawing">
    <cdr:from>
      <cdr:x>0.5415</cdr:x>
      <cdr:y>0.90065</cdr:y>
    </cdr:from>
    <cdr:to>
      <cdr:x>0.99605</cdr:x>
      <cdr:y>0.99203</cdr:y>
    </cdr:to>
    <cdr:sp macro="" textlink="">
      <cdr:nvSpPr>
        <cdr:cNvPr id="3" name="Rectangle 1">
          <a:extLst xmlns:a="http://schemas.openxmlformats.org/drawingml/2006/main">
            <a:ext uri="{FF2B5EF4-FFF2-40B4-BE49-F238E27FC236}">
              <a16:creationId xmlns:a16="http://schemas.microsoft.com/office/drawing/2014/main" id="{9AE8F9CA-A906-1DD0-E84B-070060D5A5F8}"/>
            </a:ext>
          </a:extLst>
        </cdr:cNvPr>
        <cdr:cNvSpPr/>
      </cdr:nvSpPr>
      <cdr:spPr>
        <a:xfrm xmlns:a="http://schemas.openxmlformats.org/drawingml/2006/main">
          <a:off x="3479800" y="4197840"/>
          <a:ext cx="2921017" cy="425913"/>
        </a:xfrm>
        <a:prstGeom xmlns:a="http://schemas.openxmlformats.org/drawingml/2006/main" prst="rect">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sz="1200"/>
            <a:t>        Central.             North                   East/West</a:t>
          </a:r>
          <a:endParaRPr lang="en-US" sz="1200" kern="1200"/>
        </a:p>
      </cdr:txBody>
    </cdr:sp>
  </cdr:relSizeAnchor>
  <cdr:relSizeAnchor xmlns:cdr="http://schemas.openxmlformats.org/drawingml/2006/chartDrawing">
    <cdr:from>
      <cdr:x>0.55731</cdr:x>
      <cdr:y>0.91826</cdr:y>
    </cdr:from>
    <cdr:to>
      <cdr:x>0.58103</cdr:x>
      <cdr:y>0.9455</cdr:y>
    </cdr:to>
    <cdr:sp macro="" textlink="">
      <cdr:nvSpPr>
        <cdr:cNvPr id="4" name="Rectangle 3">
          <a:extLst xmlns:a="http://schemas.openxmlformats.org/drawingml/2006/main">
            <a:ext uri="{FF2B5EF4-FFF2-40B4-BE49-F238E27FC236}">
              <a16:creationId xmlns:a16="http://schemas.microsoft.com/office/drawing/2014/main" id="{B98F5B41-39BD-6934-D00F-2081F56CABCB}"/>
            </a:ext>
          </a:extLst>
        </cdr:cNvPr>
        <cdr:cNvSpPr/>
      </cdr:nvSpPr>
      <cdr:spPr>
        <a:xfrm xmlns:a="http://schemas.openxmlformats.org/drawingml/2006/main">
          <a:off x="3581400" y="4279900"/>
          <a:ext cx="152400" cy="127000"/>
        </a:xfrm>
        <a:prstGeom xmlns:a="http://schemas.openxmlformats.org/drawingml/2006/main" prst="rect">
          <a:avLst/>
        </a:prstGeom>
        <a:solidFill xmlns:a="http://schemas.openxmlformats.org/drawingml/2006/main">
          <a:schemeClr val="accent1">
            <a:lumMod val="60000"/>
            <a:lumOff val="4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0.6917</cdr:x>
      <cdr:y>0.91826</cdr:y>
    </cdr:from>
    <cdr:to>
      <cdr:x>0.71542</cdr:x>
      <cdr:y>0.9455</cdr:y>
    </cdr:to>
    <cdr:sp macro="" textlink="">
      <cdr:nvSpPr>
        <cdr:cNvPr id="5" name="Rectangle 4">
          <a:extLst xmlns:a="http://schemas.openxmlformats.org/drawingml/2006/main">
            <a:ext uri="{FF2B5EF4-FFF2-40B4-BE49-F238E27FC236}">
              <a16:creationId xmlns:a16="http://schemas.microsoft.com/office/drawing/2014/main" id="{7F64D64B-46C4-5555-06FB-88BCA260D571}"/>
            </a:ext>
          </a:extLst>
        </cdr:cNvPr>
        <cdr:cNvSpPr/>
      </cdr:nvSpPr>
      <cdr:spPr>
        <a:xfrm xmlns:a="http://schemas.openxmlformats.org/drawingml/2006/main">
          <a:off x="4445000" y="4279900"/>
          <a:ext cx="152400" cy="127000"/>
        </a:xfrm>
        <a:prstGeom xmlns:a="http://schemas.openxmlformats.org/drawingml/2006/main" prst="rect">
          <a:avLst/>
        </a:prstGeom>
        <a:solidFill xmlns:a="http://schemas.openxmlformats.org/drawingml/2006/main">
          <a:srgbClr val="EC7533"/>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0.83004</cdr:x>
      <cdr:y>0.91553</cdr:y>
    </cdr:from>
    <cdr:to>
      <cdr:x>0.85375</cdr:x>
      <cdr:y>0.94278</cdr:y>
    </cdr:to>
    <cdr:sp macro="" textlink="">
      <cdr:nvSpPr>
        <cdr:cNvPr id="6" name="Rectangle 5">
          <a:extLst xmlns:a="http://schemas.openxmlformats.org/drawingml/2006/main">
            <a:ext uri="{FF2B5EF4-FFF2-40B4-BE49-F238E27FC236}">
              <a16:creationId xmlns:a16="http://schemas.microsoft.com/office/drawing/2014/main" id="{D6CDE99D-7AC9-D36C-82E3-B17277755121}"/>
            </a:ext>
          </a:extLst>
        </cdr:cNvPr>
        <cdr:cNvSpPr/>
      </cdr:nvSpPr>
      <cdr:spPr>
        <a:xfrm xmlns:a="http://schemas.openxmlformats.org/drawingml/2006/main">
          <a:off x="5334000" y="4267200"/>
          <a:ext cx="152400" cy="127000"/>
        </a:xfrm>
        <a:prstGeom xmlns:a="http://schemas.openxmlformats.org/drawingml/2006/main" prst="rect">
          <a:avLst/>
        </a:prstGeom>
        <a:solidFill xmlns:a="http://schemas.openxmlformats.org/drawingml/2006/main">
          <a:srgbClr val="FFC000"/>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userShapes>
</file>

<file path=xl/drawings/drawing5.xml><?xml version="1.0" encoding="utf-8"?>
<xdr:wsDr xmlns:xdr="http://schemas.openxmlformats.org/drawingml/2006/spreadsheetDrawing" xmlns:a="http://schemas.openxmlformats.org/drawingml/2006/main">
  <xdr:twoCellAnchor>
    <xdr:from>
      <xdr:col>4</xdr:col>
      <xdr:colOff>698500</xdr:colOff>
      <xdr:row>2</xdr:row>
      <xdr:rowOff>31750</xdr:rowOff>
    </xdr:from>
    <xdr:to>
      <xdr:col>11</xdr:col>
      <xdr:colOff>0</xdr:colOff>
      <xdr:row>16</xdr:row>
      <xdr:rowOff>76200</xdr:rowOff>
    </xdr:to>
    <xdr:graphicFrame macro="">
      <xdr:nvGraphicFramePr>
        <xdr:cNvPr id="2" name="Chart 1">
          <a:extLst>
            <a:ext uri="{FF2B5EF4-FFF2-40B4-BE49-F238E27FC236}">
              <a16:creationId xmlns:a16="http://schemas.microsoft.com/office/drawing/2014/main" id="{F69F20FC-F3A5-52A2-BF06-2FE508A80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533400</xdr:colOff>
      <xdr:row>11</xdr:row>
      <xdr:rowOff>171450</xdr:rowOff>
    </xdr:from>
    <xdr:to>
      <xdr:col>10</xdr:col>
      <xdr:colOff>152400</xdr:colOff>
      <xdr:row>25</xdr:row>
      <xdr:rowOff>69850</xdr:rowOff>
    </xdr:to>
    <xdr:graphicFrame macro="">
      <xdr:nvGraphicFramePr>
        <xdr:cNvPr id="2" name="Chart 1">
          <a:extLst>
            <a:ext uri="{FF2B5EF4-FFF2-40B4-BE49-F238E27FC236}">
              <a16:creationId xmlns:a16="http://schemas.microsoft.com/office/drawing/2014/main" id="{93875E8B-9A60-03B3-6A83-9174696F4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12700</xdr:colOff>
      <xdr:row>6</xdr:row>
      <xdr:rowOff>165100</xdr:rowOff>
    </xdr:from>
    <xdr:to>
      <xdr:col>7</xdr:col>
      <xdr:colOff>190500</xdr:colOff>
      <xdr:row>19</xdr:row>
      <xdr:rowOff>142872</xdr:rowOff>
    </xdr:to>
    <mc:AlternateContent xmlns:mc="http://schemas.openxmlformats.org/markup-compatibility/2006" xmlns:a14="http://schemas.microsoft.com/office/drawing/2010/main">
      <mc:Choice Requires="a14">
        <xdr:graphicFrame macro="">
          <xdr:nvGraphicFramePr>
            <xdr:cNvPr id="3" name="district">
              <a:extLst>
                <a:ext uri="{FF2B5EF4-FFF2-40B4-BE49-F238E27FC236}">
                  <a16:creationId xmlns:a16="http://schemas.microsoft.com/office/drawing/2014/main" id="{AB068BEA-A39D-012E-EBEE-BD8140681692}"/>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4635500" y="1384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495300</xdr:colOff>
      <xdr:row>9</xdr:row>
      <xdr:rowOff>38100</xdr:rowOff>
    </xdr:from>
    <xdr:to>
      <xdr:col>7</xdr:col>
      <xdr:colOff>673100</xdr:colOff>
      <xdr:row>22</xdr:row>
      <xdr:rowOff>15872</xdr:rowOff>
    </xdr:to>
    <mc:AlternateContent xmlns:mc="http://schemas.openxmlformats.org/markup-compatibility/2006" xmlns:a14="http://schemas.microsoft.com/office/drawing/2010/main">
      <mc:Choice Requires="a14">
        <xdr:graphicFrame macro="">
          <xdr:nvGraphicFramePr>
            <xdr:cNvPr id="4" name="property_type">
              <a:extLst>
                <a:ext uri="{FF2B5EF4-FFF2-40B4-BE49-F238E27FC236}">
                  <a16:creationId xmlns:a16="http://schemas.microsoft.com/office/drawing/2014/main" id="{04970552-B948-1D9B-26B8-68504E9D10CE}"/>
                </a:ext>
              </a:extLst>
            </xdr:cNvPr>
            <xdr:cNvGraphicFramePr/>
          </xdr:nvGraphicFramePr>
          <xdr:xfrm>
            <a:off x="0" y="0"/>
            <a:ext cx="0" cy="0"/>
          </xdr:xfrm>
          <a:graphic>
            <a:graphicData uri="http://schemas.microsoft.com/office/drawing/2010/slicer">
              <sle:slicer xmlns:sle="http://schemas.microsoft.com/office/drawing/2010/slicer" name="property_type"/>
            </a:graphicData>
          </a:graphic>
        </xdr:graphicFrame>
      </mc:Choice>
      <mc:Fallback xmlns="">
        <xdr:sp macro="" textlink="">
          <xdr:nvSpPr>
            <xdr:cNvPr id="0" name=""/>
            <xdr:cNvSpPr>
              <a:spLocks noTextEdit="1"/>
            </xdr:cNvSpPr>
          </xdr:nvSpPr>
          <xdr:spPr>
            <a:xfrm>
              <a:off x="5118100" y="1866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152400</xdr:colOff>
      <xdr:row>11</xdr:row>
      <xdr:rowOff>114300</xdr:rowOff>
    </xdr:from>
    <xdr:to>
      <xdr:col>8</xdr:col>
      <xdr:colOff>330200</xdr:colOff>
      <xdr:row>24</xdr:row>
      <xdr:rowOff>92072</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FC7ACBD7-6E6A-B331-1BAB-2D3F17D8D9D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00700" y="2349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635000</xdr:colOff>
      <xdr:row>13</xdr:row>
      <xdr:rowOff>190500</xdr:rowOff>
    </xdr:from>
    <xdr:to>
      <xdr:col>8</xdr:col>
      <xdr:colOff>812800</xdr:colOff>
      <xdr:row>26</xdr:row>
      <xdr:rowOff>168272</xdr:rowOff>
    </xdr:to>
    <mc:AlternateContent xmlns:mc="http://schemas.openxmlformats.org/markup-compatibility/2006" xmlns:a14="http://schemas.microsoft.com/office/drawing/2010/main">
      <mc:Choice Requires="a14">
        <xdr:graphicFrame macro="">
          <xdr:nvGraphicFramePr>
            <xdr:cNvPr id="6" name="area_sqm">
              <a:extLst>
                <a:ext uri="{FF2B5EF4-FFF2-40B4-BE49-F238E27FC236}">
                  <a16:creationId xmlns:a16="http://schemas.microsoft.com/office/drawing/2014/main" id="{24F8DF5D-9614-C8BD-2FE4-35144E8B4C09}"/>
                </a:ext>
              </a:extLst>
            </xdr:cNvPr>
            <xdr:cNvGraphicFramePr/>
          </xdr:nvGraphicFramePr>
          <xdr:xfrm>
            <a:off x="0" y="0"/>
            <a:ext cx="0" cy="0"/>
          </xdr:xfrm>
          <a:graphic>
            <a:graphicData uri="http://schemas.microsoft.com/office/drawing/2010/slicer">
              <sle:slicer xmlns:sle="http://schemas.microsoft.com/office/drawing/2010/slicer" name="area_sqm"/>
            </a:graphicData>
          </a:graphic>
        </xdr:graphicFrame>
      </mc:Choice>
      <mc:Fallback xmlns="">
        <xdr:sp macro="" textlink="">
          <xdr:nvSpPr>
            <xdr:cNvPr id="0" name=""/>
            <xdr:cNvSpPr>
              <a:spLocks noTextEdit="1"/>
            </xdr:cNvSpPr>
          </xdr:nvSpPr>
          <xdr:spPr>
            <a:xfrm>
              <a:off x="6083300" y="2832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292100</xdr:colOff>
      <xdr:row>16</xdr:row>
      <xdr:rowOff>63500</xdr:rowOff>
    </xdr:from>
    <xdr:to>
      <xdr:col>9</xdr:col>
      <xdr:colOff>469900</xdr:colOff>
      <xdr:row>29</xdr:row>
      <xdr:rowOff>41272</xdr:rowOff>
    </xdr:to>
    <mc:AlternateContent xmlns:mc="http://schemas.openxmlformats.org/markup-compatibility/2006" xmlns:a14="http://schemas.microsoft.com/office/drawing/2010/main">
      <mc:Choice Requires="a14">
        <xdr:graphicFrame macro="">
          <xdr:nvGraphicFramePr>
            <xdr:cNvPr id="7" name="furnished">
              <a:extLst>
                <a:ext uri="{FF2B5EF4-FFF2-40B4-BE49-F238E27FC236}">
                  <a16:creationId xmlns:a16="http://schemas.microsoft.com/office/drawing/2014/main" id="{58412643-C0E0-11B3-2ACD-696D513BB65B}"/>
                </a:ext>
              </a:extLst>
            </xdr:cNvPr>
            <xdr:cNvGraphicFramePr/>
          </xdr:nvGraphicFramePr>
          <xdr:xfrm>
            <a:off x="0" y="0"/>
            <a:ext cx="0" cy="0"/>
          </xdr:xfrm>
          <a:graphic>
            <a:graphicData uri="http://schemas.microsoft.com/office/drawing/2010/slicer">
              <sle:slicer xmlns:sle="http://schemas.microsoft.com/office/drawing/2010/slicer" name="furnished"/>
            </a:graphicData>
          </a:graphic>
        </xdr:graphicFrame>
      </mc:Choice>
      <mc:Fallback xmlns="">
        <xdr:sp macro="" textlink="">
          <xdr:nvSpPr>
            <xdr:cNvPr id="0" name=""/>
            <xdr:cNvSpPr>
              <a:spLocks noTextEdit="1"/>
            </xdr:cNvSpPr>
          </xdr:nvSpPr>
          <xdr:spPr>
            <a:xfrm>
              <a:off x="6565900" y="3314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774700</xdr:colOff>
      <xdr:row>18</xdr:row>
      <xdr:rowOff>139700</xdr:rowOff>
    </xdr:from>
    <xdr:to>
      <xdr:col>10</xdr:col>
      <xdr:colOff>127000</xdr:colOff>
      <xdr:row>31</xdr:row>
      <xdr:rowOff>117472</xdr:rowOff>
    </xdr:to>
    <mc:AlternateContent xmlns:mc="http://schemas.openxmlformats.org/markup-compatibility/2006" xmlns:a14="http://schemas.microsoft.com/office/drawing/2010/main">
      <mc:Choice Requires="a14">
        <xdr:graphicFrame macro="">
          <xdr:nvGraphicFramePr>
            <xdr:cNvPr id="8" name="district_zone">
              <a:extLst>
                <a:ext uri="{FF2B5EF4-FFF2-40B4-BE49-F238E27FC236}">
                  <a16:creationId xmlns:a16="http://schemas.microsoft.com/office/drawing/2014/main" id="{006BA8F7-2905-95C2-76A6-0E2B11FBDF2C}"/>
                </a:ext>
              </a:extLst>
            </xdr:cNvPr>
            <xdr:cNvGraphicFramePr/>
          </xdr:nvGraphicFramePr>
          <xdr:xfrm>
            <a:off x="0" y="0"/>
            <a:ext cx="0" cy="0"/>
          </xdr:xfrm>
          <a:graphic>
            <a:graphicData uri="http://schemas.microsoft.com/office/drawing/2010/slicer">
              <sle:slicer xmlns:sle="http://schemas.microsoft.com/office/drawing/2010/slicer" name="district_zone"/>
            </a:graphicData>
          </a:graphic>
        </xdr:graphicFrame>
      </mc:Choice>
      <mc:Fallback xmlns="">
        <xdr:sp macro="" textlink="">
          <xdr:nvSpPr>
            <xdr:cNvPr id="0" name=""/>
            <xdr:cNvSpPr>
              <a:spLocks noTextEdit="1"/>
            </xdr:cNvSpPr>
          </xdr:nvSpPr>
          <xdr:spPr>
            <a:xfrm>
              <a:off x="7048500" y="3797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25</xdr:col>
      <xdr:colOff>368300</xdr:colOff>
      <xdr:row>6</xdr:row>
      <xdr:rowOff>6350</xdr:rowOff>
    </xdr:from>
    <xdr:to>
      <xdr:col>32</xdr:col>
      <xdr:colOff>317500</xdr:colOff>
      <xdr:row>26</xdr:row>
      <xdr:rowOff>12700</xdr:rowOff>
    </xdr:to>
    <xdr:graphicFrame macro="">
      <xdr:nvGraphicFramePr>
        <xdr:cNvPr id="4" name="Chart 3">
          <a:extLst>
            <a:ext uri="{FF2B5EF4-FFF2-40B4-BE49-F238E27FC236}">
              <a16:creationId xmlns:a16="http://schemas.microsoft.com/office/drawing/2014/main" id="{CBD44EE5-4FE7-6F23-9D7D-5C0AE81D9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190500</xdr:colOff>
      <xdr:row>1</xdr:row>
      <xdr:rowOff>25400</xdr:rowOff>
    </xdr:from>
    <xdr:to>
      <xdr:col>16</xdr:col>
      <xdr:colOff>393700</xdr:colOff>
      <xdr:row>70</xdr:row>
      <xdr:rowOff>101600</xdr:rowOff>
    </xdr:to>
    <xdr:sp macro="" textlink="">
      <xdr:nvSpPr>
        <xdr:cNvPr id="2" name="Rounded Rectangle 1">
          <a:extLst>
            <a:ext uri="{FF2B5EF4-FFF2-40B4-BE49-F238E27FC236}">
              <a16:creationId xmlns:a16="http://schemas.microsoft.com/office/drawing/2014/main" id="{752DDC9E-7A4C-2D31-F46D-FC40E6E77B9E}"/>
            </a:ext>
          </a:extLst>
        </xdr:cNvPr>
        <xdr:cNvSpPr/>
      </xdr:nvSpPr>
      <xdr:spPr>
        <a:xfrm>
          <a:off x="190500" y="222956"/>
          <a:ext cx="13524089" cy="13707533"/>
        </a:xfrm>
        <a:prstGeom prst="roundRect">
          <a:avLst>
            <a:gd name="adj" fmla="val 2744"/>
          </a:avLst>
        </a:prstGeom>
        <a:gradFill flip="none" rotWithShape="1">
          <a:gsLst>
            <a:gs pos="52000">
              <a:schemeClr val="accent6">
                <a:lumMod val="40000"/>
                <a:lumOff val="60000"/>
              </a:schemeClr>
            </a:gs>
            <a:gs pos="100000">
              <a:schemeClr val="accent6">
                <a:lumMod val="20000"/>
                <a:lumOff val="8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31520" tIns="274320" rtlCol="0" anchor="t"/>
        <a:lstStyle/>
        <a:p>
          <a:endParaRPr lang="en-US"/>
        </a:p>
      </xdr:txBody>
    </xdr:sp>
    <xdr:clientData/>
  </xdr:twoCellAnchor>
  <xdr:twoCellAnchor>
    <xdr:from>
      <xdr:col>0</xdr:col>
      <xdr:colOff>342900</xdr:colOff>
      <xdr:row>1</xdr:row>
      <xdr:rowOff>0</xdr:rowOff>
    </xdr:from>
    <xdr:to>
      <xdr:col>16</xdr:col>
      <xdr:colOff>152400</xdr:colOff>
      <xdr:row>5</xdr:row>
      <xdr:rowOff>114300</xdr:rowOff>
    </xdr:to>
    <xdr:sp macro="" textlink="">
      <xdr:nvSpPr>
        <xdr:cNvPr id="3" name="Rounded Rectangle 2">
          <a:extLst>
            <a:ext uri="{FF2B5EF4-FFF2-40B4-BE49-F238E27FC236}">
              <a16:creationId xmlns:a16="http://schemas.microsoft.com/office/drawing/2014/main" id="{1F8A2445-BBE6-D035-1FE5-8683257C87FB}"/>
            </a:ext>
          </a:extLst>
        </xdr:cNvPr>
        <xdr:cNvSpPr/>
      </xdr:nvSpPr>
      <xdr:spPr>
        <a:xfrm>
          <a:off x="342900" y="197556"/>
          <a:ext cx="13130389" cy="904522"/>
        </a:xfrm>
        <a:prstGeom prst="roundRect">
          <a:avLst/>
        </a:prstGeom>
        <a:solidFill>
          <a:schemeClr val="accent3">
            <a:lumMod val="75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3200" b="1">
              <a:solidFill>
                <a:schemeClr val="bg1"/>
              </a:solidFill>
              <a:latin typeface="Adelle Sans Devanagari" panose="02000503000000020004" pitchFamily="2" charset="-78"/>
              <a:cs typeface="Adelle Sans Devanagari" panose="02000503000000020004" pitchFamily="2" charset="-78"/>
            </a:rPr>
            <a:t>RIYADH REAL</a:t>
          </a:r>
          <a:r>
            <a:rPr lang="en-US" sz="3200" b="1" baseline="0">
              <a:solidFill>
                <a:schemeClr val="bg1"/>
              </a:solidFill>
              <a:latin typeface="Adelle Sans Devanagari" panose="02000503000000020004" pitchFamily="2" charset="-78"/>
              <a:cs typeface="Adelle Sans Devanagari" panose="02000503000000020004" pitchFamily="2" charset="-78"/>
            </a:rPr>
            <a:t> ESTATE PROPERTY ANALYSIS DASHBOARD</a:t>
          </a:r>
          <a:endParaRPr lang="en-US" sz="3200" b="1">
            <a:solidFill>
              <a:schemeClr val="bg1"/>
            </a:solidFill>
            <a:latin typeface="Adelle Sans Devanagari" panose="02000503000000020004" pitchFamily="2" charset="-78"/>
            <a:cs typeface="Adelle Sans Devanagari" panose="02000503000000020004" pitchFamily="2" charset="-78"/>
          </a:endParaRPr>
        </a:p>
      </xdr:txBody>
    </xdr:sp>
    <xdr:clientData/>
  </xdr:twoCellAnchor>
  <xdr:twoCellAnchor>
    <xdr:from>
      <xdr:col>0</xdr:col>
      <xdr:colOff>368300</xdr:colOff>
      <xdr:row>6</xdr:row>
      <xdr:rowOff>38100</xdr:rowOff>
    </xdr:from>
    <xdr:to>
      <xdr:col>3</xdr:col>
      <xdr:colOff>38100</xdr:colOff>
      <xdr:row>11</xdr:row>
      <xdr:rowOff>76200</xdr:rowOff>
    </xdr:to>
    <xdr:grpSp>
      <xdr:nvGrpSpPr>
        <xdr:cNvPr id="7" name="Group 6">
          <a:extLst>
            <a:ext uri="{FF2B5EF4-FFF2-40B4-BE49-F238E27FC236}">
              <a16:creationId xmlns:a16="http://schemas.microsoft.com/office/drawing/2014/main" id="{3E74657C-8DD4-77A0-C715-CC04A6401734}"/>
            </a:ext>
          </a:extLst>
        </xdr:cNvPr>
        <xdr:cNvGrpSpPr/>
      </xdr:nvGrpSpPr>
      <xdr:grpSpPr>
        <a:xfrm>
          <a:off x="368300" y="1257300"/>
          <a:ext cx="2159000" cy="1054100"/>
          <a:chOff x="368300" y="1257300"/>
          <a:chExt cx="2146300" cy="1054100"/>
        </a:xfrm>
      </xdr:grpSpPr>
      <xdr:sp macro="" textlink="">
        <xdr:nvSpPr>
          <xdr:cNvPr id="4" name="Rounded Rectangle 3">
            <a:extLst>
              <a:ext uri="{FF2B5EF4-FFF2-40B4-BE49-F238E27FC236}">
                <a16:creationId xmlns:a16="http://schemas.microsoft.com/office/drawing/2014/main" id="{64288CC4-C834-78FC-7CA1-E3FB1D8C7900}"/>
              </a:ext>
            </a:extLst>
          </xdr:cNvPr>
          <xdr:cNvSpPr/>
        </xdr:nvSpPr>
        <xdr:spPr>
          <a:xfrm>
            <a:off x="368300" y="1257300"/>
            <a:ext cx="2146300" cy="1054100"/>
          </a:xfrm>
          <a:prstGeom prst="roundRect">
            <a:avLst>
              <a:gd name="adj" fmla="val 977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5" name="Rounded Rectangle 4">
            <a:extLst>
              <a:ext uri="{FF2B5EF4-FFF2-40B4-BE49-F238E27FC236}">
                <a16:creationId xmlns:a16="http://schemas.microsoft.com/office/drawing/2014/main" id="{34694B6D-20C1-C6C4-1A98-CA28ED9BEA52}"/>
              </a:ext>
            </a:extLst>
          </xdr:cNvPr>
          <xdr:cNvSpPr/>
        </xdr:nvSpPr>
        <xdr:spPr>
          <a:xfrm>
            <a:off x="419100" y="1346200"/>
            <a:ext cx="2044700" cy="2921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Total Listings</a:t>
            </a:r>
          </a:p>
        </xdr:txBody>
      </xdr:sp>
      <xdr:sp macro="" textlink="">
        <xdr:nvSpPr>
          <xdr:cNvPr id="6" name="Rounded Rectangle 5">
            <a:extLst>
              <a:ext uri="{FF2B5EF4-FFF2-40B4-BE49-F238E27FC236}">
                <a16:creationId xmlns:a16="http://schemas.microsoft.com/office/drawing/2014/main" id="{1BAEFF51-7E7C-1DE8-A49C-B5E30EC81141}"/>
              </a:ext>
            </a:extLst>
          </xdr:cNvPr>
          <xdr:cNvSpPr/>
        </xdr:nvSpPr>
        <xdr:spPr>
          <a:xfrm>
            <a:off x="419100" y="1727200"/>
            <a:ext cx="2044700" cy="5080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uNone/>
            </a:pPr>
            <a:r>
              <a:rPr lang="en-SA" sz="1600" b="0" i="0" u="none" strike="noStrike">
                <a:solidFill>
                  <a:schemeClr val="bg1"/>
                </a:solidFill>
                <a:effectLst/>
                <a:latin typeface="Aptos Narrow" panose="020B0004020202020204" pitchFamily="34" charset="0"/>
              </a:rPr>
              <a:t>▲1200</a:t>
            </a:r>
          </a:p>
          <a:p>
            <a:pPr algn="ctr">
              <a:buNone/>
            </a:pPr>
            <a:r>
              <a:rPr lang="en-SA" sz="1600">
                <a:solidFill>
                  <a:schemeClr val="bg1"/>
                </a:solidFill>
                <a:effectLst/>
              </a:rPr>
              <a:t> </a:t>
            </a:r>
          </a:p>
          <a:p>
            <a:pPr algn="l"/>
            <a:endParaRPr lang="en-US" sz="1100"/>
          </a:p>
        </xdr:txBody>
      </xdr:sp>
    </xdr:grpSp>
    <xdr:clientData/>
  </xdr:twoCellAnchor>
  <xdr:twoCellAnchor>
    <xdr:from>
      <xdr:col>3</xdr:col>
      <xdr:colOff>546100</xdr:colOff>
      <xdr:row>6</xdr:row>
      <xdr:rowOff>76200</xdr:rowOff>
    </xdr:from>
    <xdr:to>
      <xdr:col>6</xdr:col>
      <xdr:colOff>215900</xdr:colOff>
      <xdr:row>11</xdr:row>
      <xdr:rowOff>114300</xdr:rowOff>
    </xdr:to>
    <xdr:grpSp>
      <xdr:nvGrpSpPr>
        <xdr:cNvPr id="8" name="Group 7">
          <a:extLst>
            <a:ext uri="{FF2B5EF4-FFF2-40B4-BE49-F238E27FC236}">
              <a16:creationId xmlns:a16="http://schemas.microsoft.com/office/drawing/2014/main" id="{74325127-BB6F-B6C1-0E3C-E0F0E9A9D648}"/>
            </a:ext>
          </a:extLst>
        </xdr:cNvPr>
        <xdr:cNvGrpSpPr/>
      </xdr:nvGrpSpPr>
      <xdr:grpSpPr>
        <a:xfrm>
          <a:off x="3035300" y="1295400"/>
          <a:ext cx="2159000" cy="1054100"/>
          <a:chOff x="368300" y="1257300"/>
          <a:chExt cx="2146300" cy="1054100"/>
        </a:xfrm>
      </xdr:grpSpPr>
      <xdr:sp macro="" textlink="">
        <xdr:nvSpPr>
          <xdr:cNvPr id="9" name="Rounded Rectangle 8">
            <a:extLst>
              <a:ext uri="{FF2B5EF4-FFF2-40B4-BE49-F238E27FC236}">
                <a16:creationId xmlns:a16="http://schemas.microsoft.com/office/drawing/2014/main" id="{067E3AA7-A9EA-115A-0F08-3AFDF50502E1}"/>
              </a:ext>
            </a:extLst>
          </xdr:cNvPr>
          <xdr:cNvSpPr/>
        </xdr:nvSpPr>
        <xdr:spPr>
          <a:xfrm>
            <a:off x="368300" y="1257300"/>
            <a:ext cx="2146300" cy="1054100"/>
          </a:xfrm>
          <a:prstGeom prst="roundRect">
            <a:avLst>
              <a:gd name="adj" fmla="val 977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10" name="Rounded Rectangle 9">
            <a:extLst>
              <a:ext uri="{FF2B5EF4-FFF2-40B4-BE49-F238E27FC236}">
                <a16:creationId xmlns:a16="http://schemas.microsoft.com/office/drawing/2014/main" id="{32F68024-20C7-3B93-CFA4-F06E50A2C279}"/>
              </a:ext>
            </a:extLst>
          </xdr:cNvPr>
          <xdr:cNvSpPr/>
        </xdr:nvSpPr>
        <xdr:spPr>
          <a:xfrm>
            <a:off x="419100" y="1320800"/>
            <a:ext cx="2044700" cy="2921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AVG Price (SAR)</a:t>
            </a:r>
          </a:p>
        </xdr:txBody>
      </xdr:sp>
      <xdr:sp macro="" textlink="">
        <xdr:nvSpPr>
          <xdr:cNvPr id="11" name="Rounded Rectangle 10">
            <a:extLst>
              <a:ext uri="{FF2B5EF4-FFF2-40B4-BE49-F238E27FC236}">
                <a16:creationId xmlns:a16="http://schemas.microsoft.com/office/drawing/2014/main" id="{879789C0-175D-2477-66E1-A9A05D39EDFE}"/>
              </a:ext>
            </a:extLst>
          </xdr:cNvPr>
          <xdr:cNvSpPr/>
        </xdr:nvSpPr>
        <xdr:spPr>
          <a:xfrm>
            <a:off x="419100" y="1727200"/>
            <a:ext cx="2044700" cy="5080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uNone/>
            </a:pPr>
            <a:r>
              <a:rPr lang="en-SA" sz="1600" b="0" i="0" u="none" strike="noStrike">
                <a:solidFill>
                  <a:schemeClr val="bg1"/>
                </a:solidFill>
                <a:effectLst/>
                <a:latin typeface="Aptos Narrow" panose="020B0004020202020204" pitchFamily="34" charset="0"/>
              </a:rPr>
              <a:t>▲1075396.7</a:t>
            </a:r>
            <a:r>
              <a:rPr lang="en-SA" sz="1600">
                <a:solidFill>
                  <a:schemeClr val="bg1"/>
                </a:solidFill>
                <a:effectLst/>
              </a:rPr>
              <a:t> </a:t>
            </a:r>
          </a:p>
          <a:p>
            <a:pPr algn="ctr">
              <a:buNone/>
            </a:pPr>
            <a:r>
              <a:rPr lang="en-SA" sz="1600">
                <a:solidFill>
                  <a:schemeClr val="bg1"/>
                </a:solidFill>
                <a:effectLst/>
              </a:rPr>
              <a:t> </a:t>
            </a:r>
          </a:p>
          <a:p>
            <a:pPr algn="l"/>
            <a:endParaRPr lang="en-US" sz="1100"/>
          </a:p>
        </xdr:txBody>
      </xdr:sp>
    </xdr:grpSp>
    <xdr:clientData/>
  </xdr:twoCellAnchor>
  <xdr:twoCellAnchor>
    <xdr:from>
      <xdr:col>6</xdr:col>
      <xdr:colOff>609600</xdr:colOff>
      <xdr:row>6</xdr:row>
      <xdr:rowOff>76200</xdr:rowOff>
    </xdr:from>
    <xdr:to>
      <xdr:col>9</xdr:col>
      <xdr:colOff>279400</xdr:colOff>
      <xdr:row>11</xdr:row>
      <xdr:rowOff>114300</xdr:rowOff>
    </xdr:to>
    <xdr:grpSp>
      <xdr:nvGrpSpPr>
        <xdr:cNvPr id="12" name="Group 11">
          <a:extLst>
            <a:ext uri="{FF2B5EF4-FFF2-40B4-BE49-F238E27FC236}">
              <a16:creationId xmlns:a16="http://schemas.microsoft.com/office/drawing/2014/main" id="{BCE890AF-AA60-AF8D-7131-6C29CB214647}"/>
            </a:ext>
          </a:extLst>
        </xdr:cNvPr>
        <xdr:cNvGrpSpPr/>
      </xdr:nvGrpSpPr>
      <xdr:grpSpPr>
        <a:xfrm>
          <a:off x="5588000" y="1295400"/>
          <a:ext cx="2159000" cy="1054100"/>
          <a:chOff x="368300" y="1257300"/>
          <a:chExt cx="2146300" cy="1054100"/>
        </a:xfrm>
      </xdr:grpSpPr>
      <xdr:sp macro="" textlink="">
        <xdr:nvSpPr>
          <xdr:cNvPr id="13" name="Rounded Rectangle 12">
            <a:extLst>
              <a:ext uri="{FF2B5EF4-FFF2-40B4-BE49-F238E27FC236}">
                <a16:creationId xmlns:a16="http://schemas.microsoft.com/office/drawing/2014/main" id="{4A6CD3F9-4EFD-2704-4BCE-6743F6EE7372}"/>
              </a:ext>
            </a:extLst>
          </xdr:cNvPr>
          <xdr:cNvSpPr/>
        </xdr:nvSpPr>
        <xdr:spPr>
          <a:xfrm>
            <a:off x="368300" y="1257300"/>
            <a:ext cx="2146300" cy="1054100"/>
          </a:xfrm>
          <a:prstGeom prst="roundRect">
            <a:avLst>
              <a:gd name="adj" fmla="val 977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14" name="Rounded Rectangle 13">
            <a:extLst>
              <a:ext uri="{FF2B5EF4-FFF2-40B4-BE49-F238E27FC236}">
                <a16:creationId xmlns:a16="http://schemas.microsoft.com/office/drawing/2014/main" id="{AF27AE76-9DAC-CD51-91E7-5635E086679B}"/>
              </a:ext>
            </a:extLst>
          </xdr:cNvPr>
          <xdr:cNvSpPr/>
        </xdr:nvSpPr>
        <xdr:spPr>
          <a:xfrm>
            <a:off x="419100" y="1346200"/>
            <a:ext cx="2044700" cy="2921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Median SAR/sqm</a:t>
            </a:r>
          </a:p>
        </xdr:txBody>
      </xdr:sp>
      <xdr:sp macro="" textlink="">
        <xdr:nvSpPr>
          <xdr:cNvPr id="15" name="Rounded Rectangle 14">
            <a:extLst>
              <a:ext uri="{FF2B5EF4-FFF2-40B4-BE49-F238E27FC236}">
                <a16:creationId xmlns:a16="http://schemas.microsoft.com/office/drawing/2014/main" id="{0A2B2EFB-CE6A-F7A7-1300-1AFAADBCA63B}"/>
              </a:ext>
            </a:extLst>
          </xdr:cNvPr>
          <xdr:cNvSpPr/>
        </xdr:nvSpPr>
        <xdr:spPr>
          <a:xfrm>
            <a:off x="419100" y="1727200"/>
            <a:ext cx="2044700" cy="5080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uNone/>
            </a:pPr>
            <a:r>
              <a:rPr lang="en-SA" sz="1600" b="0" i="0" u="none" strike="noStrike">
                <a:solidFill>
                  <a:schemeClr val="bg1"/>
                </a:solidFill>
                <a:effectLst/>
                <a:latin typeface="Aptos Narrow" panose="020B0004020202020204" pitchFamily="34" charset="0"/>
              </a:rPr>
              <a:t>▲3920.1</a:t>
            </a:r>
            <a:r>
              <a:rPr lang="en-SA" sz="1600">
                <a:solidFill>
                  <a:schemeClr val="bg1"/>
                </a:solidFill>
                <a:effectLst/>
              </a:rPr>
              <a:t> </a:t>
            </a:r>
          </a:p>
          <a:p>
            <a:pPr algn="ctr">
              <a:buNone/>
            </a:pPr>
            <a:r>
              <a:rPr lang="en-SA" sz="1600">
                <a:solidFill>
                  <a:schemeClr val="bg1"/>
                </a:solidFill>
                <a:effectLst/>
              </a:rPr>
              <a:t> </a:t>
            </a:r>
          </a:p>
          <a:p>
            <a:pPr algn="l"/>
            <a:endParaRPr lang="en-US" sz="1100"/>
          </a:p>
        </xdr:txBody>
      </xdr:sp>
    </xdr:grpSp>
    <xdr:clientData/>
  </xdr:twoCellAnchor>
  <xdr:twoCellAnchor>
    <xdr:from>
      <xdr:col>10</xdr:col>
      <xdr:colOff>127000</xdr:colOff>
      <xdr:row>6</xdr:row>
      <xdr:rowOff>12700</xdr:rowOff>
    </xdr:from>
    <xdr:to>
      <xdr:col>12</xdr:col>
      <xdr:colOff>622300</xdr:colOff>
      <xdr:row>11</xdr:row>
      <xdr:rowOff>50800</xdr:rowOff>
    </xdr:to>
    <xdr:grpSp>
      <xdr:nvGrpSpPr>
        <xdr:cNvPr id="16" name="Group 15">
          <a:extLst>
            <a:ext uri="{FF2B5EF4-FFF2-40B4-BE49-F238E27FC236}">
              <a16:creationId xmlns:a16="http://schemas.microsoft.com/office/drawing/2014/main" id="{54D7D794-3C73-9840-3D43-5247E18A83F4}"/>
            </a:ext>
          </a:extLst>
        </xdr:cNvPr>
        <xdr:cNvGrpSpPr/>
      </xdr:nvGrpSpPr>
      <xdr:grpSpPr>
        <a:xfrm>
          <a:off x="8424333" y="1231900"/>
          <a:ext cx="2154767" cy="1054100"/>
          <a:chOff x="368300" y="1257300"/>
          <a:chExt cx="2146300" cy="1054100"/>
        </a:xfrm>
      </xdr:grpSpPr>
      <xdr:sp macro="" textlink="">
        <xdr:nvSpPr>
          <xdr:cNvPr id="17" name="Rounded Rectangle 16">
            <a:extLst>
              <a:ext uri="{FF2B5EF4-FFF2-40B4-BE49-F238E27FC236}">
                <a16:creationId xmlns:a16="http://schemas.microsoft.com/office/drawing/2014/main" id="{41E8D94B-30CC-FB47-6F75-A00877018AE5}"/>
              </a:ext>
            </a:extLst>
          </xdr:cNvPr>
          <xdr:cNvSpPr/>
        </xdr:nvSpPr>
        <xdr:spPr>
          <a:xfrm>
            <a:off x="368300" y="1257300"/>
            <a:ext cx="2146300" cy="1054100"/>
          </a:xfrm>
          <a:prstGeom prst="roundRect">
            <a:avLst>
              <a:gd name="adj" fmla="val 977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18" name="Rounded Rectangle 17">
            <a:extLst>
              <a:ext uri="{FF2B5EF4-FFF2-40B4-BE49-F238E27FC236}">
                <a16:creationId xmlns:a16="http://schemas.microsoft.com/office/drawing/2014/main" id="{A99DFDB3-E013-DAE4-E70D-5986FBD7024B}"/>
              </a:ext>
            </a:extLst>
          </xdr:cNvPr>
          <xdr:cNvSpPr/>
        </xdr:nvSpPr>
        <xdr:spPr>
          <a:xfrm>
            <a:off x="419100" y="1346200"/>
            <a:ext cx="2044700" cy="2921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Price Growth</a:t>
            </a:r>
          </a:p>
        </xdr:txBody>
      </xdr:sp>
      <xdr:sp macro="" textlink="">
        <xdr:nvSpPr>
          <xdr:cNvPr id="19" name="Rounded Rectangle 18">
            <a:extLst>
              <a:ext uri="{FF2B5EF4-FFF2-40B4-BE49-F238E27FC236}">
                <a16:creationId xmlns:a16="http://schemas.microsoft.com/office/drawing/2014/main" id="{8AA61CA1-80F9-B644-46E2-C9E1288A9C4B}"/>
              </a:ext>
            </a:extLst>
          </xdr:cNvPr>
          <xdr:cNvSpPr/>
        </xdr:nvSpPr>
        <xdr:spPr>
          <a:xfrm>
            <a:off x="419100" y="1727200"/>
            <a:ext cx="2044700" cy="5080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uNone/>
            </a:pPr>
            <a:r>
              <a:rPr lang="en-SA" sz="1600" b="0" i="0" u="none" strike="noStrike">
                <a:solidFill>
                  <a:schemeClr val="bg1"/>
                </a:solidFill>
                <a:effectLst/>
                <a:latin typeface="Aptos Narrow" panose="020B0004020202020204" pitchFamily="34" charset="0"/>
              </a:rPr>
              <a:t>▲20.47%</a:t>
            </a:r>
            <a:r>
              <a:rPr lang="en-SA" sz="1600">
                <a:solidFill>
                  <a:schemeClr val="bg1"/>
                </a:solidFill>
                <a:effectLst/>
              </a:rPr>
              <a:t> </a:t>
            </a:r>
          </a:p>
          <a:p>
            <a:pPr algn="ctr">
              <a:buNone/>
            </a:pPr>
            <a:r>
              <a:rPr lang="en-SA" sz="1600">
                <a:solidFill>
                  <a:schemeClr val="bg1"/>
                </a:solidFill>
                <a:effectLst/>
              </a:rPr>
              <a:t> </a:t>
            </a:r>
          </a:p>
          <a:p>
            <a:pPr algn="l"/>
            <a:endParaRPr lang="en-US" sz="1100"/>
          </a:p>
        </xdr:txBody>
      </xdr:sp>
    </xdr:grpSp>
    <xdr:clientData/>
  </xdr:twoCellAnchor>
  <xdr:twoCellAnchor>
    <xdr:from>
      <xdr:col>13</xdr:col>
      <xdr:colOff>304800</xdr:colOff>
      <xdr:row>6</xdr:row>
      <xdr:rowOff>38100</xdr:rowOff>
    </xdr:from>
    <xdr:to>
      <xdr:col>15</xdr:col>
      <xdr:colOff>800100</xdr:colOff>
      <xdr:row>11</xdr:row>
      <xdr:rowOff>76200</xdr:rowOff>
    </xdr:to>
    <xdr:grpSp>
      <xdr:nvGrpSpPr>
        <xdr:cNvPr id="20" name="Group 19">
          <a:extLst>
            <a:ext uri="{FF2B5EF4-FFF2-40B4-BE49-F238E27FC236}">
              <a16:creationId xmlns:a16="http://schemas.microsoft.com/office/drawing/2014/main" id="{E361C9A2-CF4E-4A13-EF46-032489942875}"/>
            </a:ext>
          </a:extLst>
        </xdr:cNvPr>
        <xdr:cNvGrpSpPr/>
      </xdr:nvGrpSpPr>
      <xdr:grpSpPr>
        <a:xfrm>
          <a:off x="11091333" y="1257300"/>
          <a:ext cx="2154767" cy="1054100"/>
          <a:chOff x="368300" y="1257300"/>
          <a:chExt cx="2146300" cy="1054100"/>
        </a:xfrm>
      </xdr:grpSpPr>
      <xdr:sp macro="" textlink="">
        <xdr:nvSpPr>
          <xdr:cNvPr id="21" name="Rounded Rectangle 20">
            <a:extLst>
              <a:ext uri="{FF2B5EF4-FFF2-40B4-BE49-F238E27FC236}">
                <a16:creationId xmlns:a16="http://schemas.microsoft.com/office/drawing/2014/main" id="{5737FEB8-96C0-2AA5-0FAD-FD11A55A7222}"/>
              </a:ext>
            </a:extLst>
          </xdr:cNvPr>
          <xdr:cNvSpPr/>
        </xdr:nvSpPr>
        <xdr:spPr>
          <a:xfrm>
            <a:off x="368300" y="1257300"/>
            <a:ext cx="2146300" cy="1054100"/>
          </a:xfrm>
          <a:prstGeom prst="roundRect">
            <a:avLst>
              <a:gd name="adj" fmla="val 977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22" name="Rounded Rectangle 21">
            <a:extLst>
              <a:ext uri="{FF2B5EF4-FFF2-40B4-BE49-F238E27FC236}">
                <a16:creationId xmlns:a16="http://schemas.microsoft.com/office/drawing/2014/main" id="{0A59DFAB-FDEC-B294-674A-94AD2551F0DE}"/>
              </a:ext>
            </a:extLst>
          </xdr:cNvPr>
          <xdr:cNvSpPr/>
        </xdr:nvSpPr>
        <xdr:spPr>
          <a:xfrm>
            <a:off x="419100" y="1346200"/>
            <a:ext cx="2044700" cy="2921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AVG Days listed</a:t>
            </a:r>
          </a:p>
        </xdr:txBody>
      </xdr:sp>
      <xdr:sp macro="" textlink="">
        <xdr:nvSpPr>
          <xdr:cNvPr id="23" name="Rounded Rectangle 22">
            <a:extLst>
              <a:ext uri="{FF2B5EF4-FFF2-40B4-BE49-F238E27FC236}">
                <a16:creationId xmlns:a16="http://schemas.microsoft.com/office/drawing/2014/main" id="{5F2DE75A-1192-712F-4CD1-DDC85BDA9F5A}"/>
              </a:ext>
            </a:extLst>
          </xdr:cNvPr>
          <xdr:cNvSpPr/>
        </xdr:nvSpPr>
        <xdr:spPr>
          <a:xfrm>
            <a:off x="419100" y="1727200"/>
            <a:ext cx="2044700" cy="5080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buNone/>
            </a:pPr>
            <a:r>
              <a:rPr lang="en-SA" sz="1600" b="0" i="0" u="none" strike="noStrike">
                <a:solidFill>
                  <a:schemeClr val="bg1"/>
                </a:solidFill>
                <a:effectLst/>
                <a:latin typeface="Aptos Narrow" panose="020B0004020202020204" pitchFamily="34" charset="0"/>
              </a:rPr>
              <a:t>▲90.6</a:t>
            </a:r>
            <a:r>
              <a:rPr lang="en-SA" sz="1600">
                <a:solidFill>
                  <a:schemeClr val="bg1"/>
                </a:solidFill>
                <a:effectLst/>
              </a:rPr>
              <a:t> </a:t>
            </a:r>
          </a:p>
          <a:p>
            <a:pPr algn="ctr">
              <a:buNone/>
            </a:pPr>
            <a:r>
              <a:rPr lang="en-SA" sz="1600">
                <a:solidFill>
                  <a:schemeClr val="bg1"/>
                </a:solidFill>
                <a:effectLst/>
              </a:rPr>
              <a:t> </a:t>
            </a:r>
          </a:p>
          <a:p>
            <a:pPr algn="l"/>
            <a:endParaRPr lang="en-US" sz="1100"/>
          </a:p>
        </xdr:txBody>
      </xdr:sp>
    </xdr:grpSp>
    <xdr:clientData/>
  </xdr:twoCellAnchor>
  <xdr:twoCellAnchor>
    <xdr:from>
      <xdr:col>0</xdr:col>
      <xdr:colOff>177800</xdr:colOff>
      <xdr:row>12</xdr:row>
      <xdr:rowOff>63500</xdr:rowOff>
    </xdr:from>
    <xdr:to>
      <xdr:col>5</xdr:col>
      <xdr:colOff>406400</xdr:colOff>
      <xdr:row>30</xdr:row>
      <xdr:rowOff>88900</xdr:rowOff>
    </xdr:to>
    <xdr:grpSp>
      <xdr:nvGrpSpPr>
        <xdr:cNvPr id="27" name="Group 26">
          <a:extLst>
            <a:ext uri="{FF2B5EF4-FFF2-40B4-BE49-F238E27FC236}">
              <a16:creationId xmlns:a16="http://schemas.microsoft.com/office/drawing/2014/main" id="{EC4539DD-F134-2B45-D96F-63C0B1DF5AB6}"/>
            </a:ext>
          </a:extLst>
        </xdr:cNvPr>
        <xdr:cNvGrpSpPr/>
      </xdr:nvGrpSpPr>
      <xdr:grpSpPr>
        <a:xfrm>
          <a:off x="177800" y="2501900"/>
          <a:ext cx="4377267" cy="3683000"/>
          <a:chOff x="292100" y="2527300"/>
          <a:chExt cx="4432300" cy="3683000"/>
        </a:xfrm>
      </xdr:grpSpPr>
      <xdr:sp macro="" textlink="">
        <xdr:nvSpPr>
          <xdr:cNvPr id="24" name="Rounded Rectangle 23">
            <a:extLst>
              <a:ext uri="{FF2B5EF4-FFF2-40B4-BE49-F238E27FC236}">
                <a16:creationId xmlns:a16="http://schemas.microsoft.com/office/drawing/2014/main" id="{5973A670-DFA6-F74C-B0CC-1564CAB53BCB}"/>
              </a:ext>
            </a:extLst>
          </xdr:cNvPr>
          <xdr:cNvSpPr/>
        </xdr:nvSpPr>
        <xdr:spPr>
          <a:xfrm>
            <a:off x="292100" y="2527300"/>
            <a:ext cx="4432300" cy="3683000"/>
          </a:xfrm>
          <a:prstGeom prst="roundRect">
            <a:avLst>
              <a:gd name="adj" fmla="val 7667"/>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sp macro="" textlink="">
        <xdr:nvSpPr>
          <xdr:cNvPr id="25" name="Rounded Rectangle 24">
            <a:extLst>
              <a:ext uri="{FF2B5EF4-FFF2-40B4-BE49-F238E27FC236}">
                <a16:creationId xmlns:a16="http://schemas.microsoft.com/office/drawing/2014/main" id="{C39B697B-372E-9B42-A4EB-20E48EE42BC7}"/>
              </a:ext>
            </a:extLst>
          </xdr:cNvPr>
          <xdr:cNvSpPr/>
        </xdr:nvSpPr>
        <xdr:spPr>
          <a:xfrm>
            <a:off x="520700" y="2743200"/>
            <a:ext cx="3949700" cy="4572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Price Trend By</a:t>
            </a:r>
            <a:r>
              <a:rPr lang="en-US" sz="1800" baseline="0"/>
              <a:t> Year (2021 - 2024)</a:t>
            </a:r>
            <a:endParaRPr lang="en-US" sz="1800"/>
          </a:p>
        </xdr:txBody>
      </xdr:sp>
      <xdr:graphicFrame macro="">
        <xdr:nvGraphicFramePr>
          <xdr:cNvPr id="26" name="Chart 25">
            <a:extLst>
              <a:ext uri="{FF2B5EF4-FFF2-40B4-BE49-F238E27FC236}">
                <a16:creationId xmlns:a16="http://schemas.microsoft.com/office/drawing/2014/main" id="{57D8627F-D792-3247-8040-5143D522D6E6}"/>
              </a:ext>
            </a:extLst>
          </xdr:cNvPr>
          <xdr:cNvGraphicFramePr>
            <a:graphicFrameLocks/>
          </xdr:cNvGraphicFramePr>
        </xdr:nvGraphicFramePr>
        <xdr:xfrm>
          <a:off x="444500" y="3352800"/>
          <a:ext cx="4076700" cy="27305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11</xdr:col>
      <xdr:colOff>50800</xdr:colOff>
      <xdr:row>12</xdr:row>
      <xdr:rowOff>152400</xdr:rowOff>
    </xdr:from>
    <xdr:to>
      <xdr:col>16</xdr:col>
      <xdr:colOff>152400</xdr:colOff>
      <xdr:row>30</xdr:row>
      <xdr:rowOff>152400</xdr:rowOff>
    </xdr:to>
    <xdr:grpSp>
      <xdr:nvGrpSpPr>
        <xdr:cNvPr id="28" name="Group 27">
          <a:extLst>
            <a:ext uri="{FF2B5EF4-FFF2-40B4-BE49-F238E27FC236}">
              <a16:creationId xmlns:a16="http://schemas.microsoft.com/office/drawing/2014/main" id="{E2E30DF9-003A-D603-F1F6-D79DD52E8552}"/>
            </a:ext>
          </a:extLst>
        </xdr:cNvPr>
        <xdr:cNvGrpSpPr/>
      </xdr:nvGrpSpPr>
      <xdr:grpSpPr>
        <a:xfrm>
          <a:off x="9177867" y="2590800"/>
          <a:ext cx="4250266" cy="3657600"/>
          <a:chOff x="292100" y="2527300"/>
          <a:chExt cx="4432300" cy="3657600"/>
        </a:xfrm>
      </xdr:grpSpPr>
      <xdr:sp macro="" textlink="">
        <xdr:nvSpPr>
          <xdr:cNvPr id="29" name="Rounded Rectangle 28">
            <a:extLst>
              <a:ext uri="{FF2B5EF4-FFF2-40B4-BE49-F238E27FC236}">
                <a16:creationId xmlns:a16="http://schemas.microsoft.com/office/drawing/2014/main" id="{763C001F-4DAA-0DD4-4050-8D4DC89E0DB3}"/>
              </a:ext>
            </a:extLst>
          </xdr:cNvPr>
          <xdr:cNvSpPr/>
        </xdr:nvSpPr>
        <xdr:spPr>
          <a:xfrm>
            <a:off x="292100" y="2527300"/>
            <a:ext cx="4432300" cy="3657600"/>
          </a:xfrm>
          <a:prstGeom prst="roundRect">
            <a:avLst>
              <a:gd name="adj" fmla="val 7667"/>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sp macro="" textlink="">
        <xdr:nvSpPr>
          <xdr:cNvPr id="30" name="Rounded Rectangle 29">
            <a:extLst>
              <a:ext uri="{FF2B5EF4-FFF2-40B4-BE49-F238E27FC236}">
                <a16:creationId xmlns:a16="http://schemas.microsoft.com/office/drawing/2014/main" id="{F3370D0C-8F92-549E-705C-4A6699BE73AF}"/>
              </a:ext>
            </a:extLst>
          </xdr:cNvPr>
          <xdr:cNvSpPr/>
        </xdr:nvSpPr>
        <xdr:spPr>
          <a:xfrm>
            <a:off x="520700" y="2743200"/>
            <a:ext cx="3949700" cy="4572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Property Type Distribution</a:t>
            </a:r>
          </a:p>
        </xdr:txBody>
      </xdr:sp>
    </xdr:grpSp>
    <xdr:clientData/>
  </xdr:twoCellAnchor>
  <xdr:twoCellAnchor>
    <xdr:from>
      <xdr:col>5</xdr:col>
      <xdr:colOff>457200</xdr:colOff>
      <xdr:row>12</xdr:row>
      <xdr:rowOff>101600</xdr:rowOff>
    </xdr:from>
    <xdr:to>
      <xdr:col>10</xdr:col>
      <xdr:colOff>774700</xdr:colOff>
      <xdr:row>30</xdr:row>
      <xdr:rowOff>127000</xdr:rowOff>
    </xdr:to>
    <xdr:grpSp>
      <xdr:nvGrpSpPr>
        <xdr:cNvPr id="32" name="Group 31">
          <a:extLst>
            <a:ext uri="{FF2B5EF4-FFF2-40B4-BE49-F238E27FC236}">
              <a16:creationId xmlns:a16="http://schemas.microsoft.com/office/drawing/2014/main" id="{DE43E17A-625A-C042-7D22-1658B59785F1}"/>
            </a:ext>
          </a:extLst>
        </xdr:cNvPr>
        <xdr:cNvGrpSpPr/>
      </xdr:nvGrpSpPr>
      <xdr:grpSpPr>
        <a:xfrm>
          <a:off x="4605867" y="2540000"/>
          <a:ext cx="4466166" cy="3683000"/>
          <a:chOff x="292100" y="2527300"/>
          <a:chExt cx="4432300" cy="3683000"/>
        </a:xfrm>
      </xdr:grpSpPr>
      <xdr:sp macro="" textlink="">
        <xdr:nvSpPr>
          <xdr:cNvPr id="33" name="Rounded Rectangle 32">
            <a:extLst>
              <a:ext uri="{FF2B5EF4-FFF2-40B4-BE49-F238E27FC236}">
                <a16:creationId xmlns:a16="http://schemas.microsoft.com/office/drawing/2014/main" id="{CCA4F809-F2E7-E130-9258-91B1A606BB3E}"/>
              </a:ext>
            </a:extLst>
          </xdr:cNvPr>
          <xdr:cNvSpPr/>
        </xdr:nvSpPr>
        <xdr:spPr>
          <a:xfrm>
            <a:off x="292100" y="2527300"/>
            <a:ext cx="4432300" cy="3683000"/>
          </a:xfrm>
          <a:prstGeom prst="roundRect">
            <a:avLst>
              <a:gd name="adj" fmla="val 7667"/>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sp macro="" textlink="">
        <xdr:nvSpPr>
          <xdr:cNvPr id="34" name="Rounded Rectangle 33">
            <a:extLst>
              <a:ext uri="{FF2B5EF4-FFF2-40B4-BE49-F238E27FC236}">
                <a16:creationId xmlns:a16="http://schemas.microsoft.com/office/drawing/2014/main" id="{CCF8A18F-3BEF-5578-67E4-F99CB4B2475C}"/>
              </a:ext>
            </a:extLst>
          </xdr:cNvPr>
          <xdr:cNvSpPr/>
        </xdr:nvSpPr>
        <xdr:spPr>
          <a:xfrm>
            <a:off x="520700" y="2743200"/>
            <a:ext cx="3949700" cy="4572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Price B</a:t>
            </a:r>
            <a:r>
              <a:rPr lang="en-US" sz="1800" baseline="0"/>
              <a:t>y Property Type</a:t>
            </a:r>
            <a:endParaRPr lang="en-US" sz="1800"/>
          </a:p>
        </xdr:txBody>
      </xdr:sp>
    </xdr:grpSp>
    <xdr:clientData/>
  </xdr:twoCellAnchor>
  <xdr:twoCellAnchor>
    <xdr:from>
      <xdr:col>5</xdr:col>
      <xdr:colOff>787400</xdr:colOff>
      <xdr:row>16</xdr:row>
      <xdr:rowOff>114300</xdr:rowOff>
    </xdr:from>
    <xdr:to>
      <xdr:col>10</xdr:col>
      <xdr:colOff>469900</xdr:colOff>
      <xdr:row>29</xdr:row>
      <xdr:rowOff>190500</xdr:rowOff>
    </xdr:to>
    <xdr:graphicFrame macro="">
      <xdr:nvGraphicFramePr>
        <xdr:cNvPr id="40" name="Chart 39">
          <a:extLst>
            <a:ext uri="{FF2B5EF4-FFF2-40B4-BE49-F238E27FC236}">
              <a16:creationId xmlns:a16="http://schemas.microsoft.com/office/drawing/2014/main" id="{E19F6769-0826-7E4A-9CF8-2739FDC4A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190500</xdr:colOff>
      <xdr:row>16</xdr:row>
      <xdr:rowOff>190500</xdr:rowOff>
    </xdr:from>
    <xdr:to>
      <xdr:col>15</xdr:col>
      <xdr:colOff>787400</xdr:colOff>
      <xdr:row>29</xdr:row>
      <xdr:rowOff>190500</xdr:rowOff>
    </xdr:to>
    <xdr:graphicFrame macro="">
      <xdr:nvGraphicFramePr>
        <xdr:cNvPr id="41" name="Chart 40">
          <a:extLst>
            <a:ext uri="{FF2B5EF4-FFF2-40B4-BE49-F238E27FC236}">
              <a16:creationId xmlns:a16="http://schemas.microsoft.com/office/drawing/2014/main" id="{C973D7A2-1E1B-5344-9CA4-676AE2C3C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139700</xdr:colOff>
      <xdr:row>32</xdr:row>
      <xdr:rowOff>0</xdr:rowOff>
    </xdr:from>
    <xdr:to>
      <xdr:col>8</xdr:col>
      <xdr:colOff>177800</xdr:colOff>
      <xdr:row>56</xdr:row>
      <xdr:rowOff>101600</xdr:rowOff>
    </xdr:to>
    <xdr:grpSp>
      <xdr:nvGrpSpPr>
        <xdr:cNvPr id="42" name="Group 41">
          <a:extLst>
            <a:ext uri="{FF2B5EF4-FFF2-40B4-BE49-F238E27FC236}">
              <a16:creationId xmlns:a16="http://schemas.microsoft.com/office/drawing/2014/main" id="{F506EF06-3ADF-91E2-EE43-C7A64871059D}"/>
            </a:ext>
          </a:extLst>
        </xdr:cNvPr>
        <xdr:cNvGrpSpPr/>
      </xdr:nvGrpSpPr>
      <xdr:grpSpPr>
        <a:xfrm>
          <a:off x="139700" y="6502400"/>
          <a:ext cx="6675967" cy="4978400"/>
          <a:chOff x="233115" y="2527300"/>
          <a:chExt cx="4491285" cy="3683000"/>
        </a:xfrm>
      </xdr:grpSpPr>
      <xdr:sp macro="" textlink="">
        <xdr:nvSpPr>
          <xdr:cNvPr id="43" name="Rounded Rectangle 42">
            <a:extLst>
              <a:ext uri="{FF2B5EF4-FFF2-40B4-BE49-F238E27FC236}">
                <a16:creationId xmlns:a16="http://schemas.microsoft.com/office/drawing/2014/main" id="{08E4318B-3FE7-45D9-AC29-5B6626B70E10}"/>
              </a:ext>
            </a:extLst>
          </xdr:cNvPr>
          <xdr:cNvSpPr/>
        </xdr:nvSpPr>
        <xdr:spPr>
          <a:xfrm>
            <a:off x="233115" y="2527300"/>
            <a:ext cx="4491285" cy="3683000"/>
          </a:xfrm>
          <a:prstGeom prst="roundRect">
            <a:avLst>
              <a:gd name="adj" fmla="val 7667"/>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sp macro="" textlink="">
        <xdr:nvSpPr>
          <xdr:cNvPr id="44" name="Rounded Rectangle 43">
            <a:extLst>
              <a:ext uri="{FF2B5EF4-FFF2-40B4-BE49-F238E27FC236}">
                <a16:creationId xmlns:a16="http://schemas.microsoft.com/office/drawing/2014/main" id="{4BAE727C-EB70-53B2-8A65-326B0EAF0FED}"/>
              </a:ext>
            </a:extLst>
          </xdr:cNvPr>
          <xdr:cNvSpPr/>
        </xdr:nvSpPr>
        <xdr:spPr>
          <a:xfrm>
            <a:off x="520700" y="2623194"/>
            <a:ext cx="4031949" cy="4572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Top 10 Districts By</a:t>
            </a:r>
            <a:r>
              <a:rPr lang="en-US" sz="1800" baseline="0"/>
              <a:t> AVG Price</a:t>
            </a:r>
            <a:endParaRPr lang="en-US" sz="1800"/>
          </a:p>
        </xdr:txBody>
      </xdr:sp>
    </xdr:grpSp>
    <xdr:clientData/>
  </xdr:twoCellAnchor>
  <xdr:twoCellAnchor>
    <xdr:from>
      <xdr:col>0</xdr:col>
      <xdr:colOff>292100</xdr:colOff>
      <xdr:row>36</xdr:row>
      <xdr:rowOff>25400</xdr:rowOff>
    </xdr:from>
    <xdr:to>
      <xdr:col>7</xdr:col>
      <xdr:colOff>812800</xdr:colOff>
      <xdr:row>54</xdr:row>
      <xdr:rowOff>190500</xdr:rowOff>
    </xdr:to>
    <xdr:graphicFrame macro="">
      <xdr:nvGraphicFramePr>
        <xdr:cNvPr id="46" name="Chart 45">
          <a:extLst>
            <a:ext uri="{FF2B5EF4-FFF2-40B4-BE49-F238E27FC236}">
              <a16:creationId xmlns:a16="http://schemas.microsoft.com/office/drawing/2014/main" id="{DCE6362C-29C2-5340-9472-CA66F309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215900</xdr:colOff>
      <xdr:row>31</xdr:row>
      <xdr:rowOff>190500</xdr:rowOff>
    </xdr:from>
    <xdr:to>
      <xdr:col>16</xdr:col>
      <xdr:colOff>228600</xdr:colOff>
      <xdr:row>56</xdr:row>
      <xdr:rowOff>88900</xdr:rowOff>
    </xdr:to>
    <xdr:grpSp>
      <xdr:nvGrpSpPr>
        <xdr:cNvPr id="48" name="Group 47">
          <a:extLst>
            <a:ext uri="{FF2B5EF4-FFF2-40B4-BE49-F238E27FC236}">
              <a16:creationId xmlns:a16="http://schemas.microsoft.com/office/drawing/2014/main" id="{47ACB30A-D60B-B8D8-EB9D-D618DD57973F}"/>
            </a:ext>
          </a:extLst>
        </xdr:cNvPr>
        <xdr:cNvGrpSpPr/>
      </xdr:nvGrpSpPr>
      <xdr:grpSpPr>
        <a:xfrm>
          <a:off x="6853767" y="6489700"/>
          <a:ext cx="6650566" cy="4978400"/>
          <a:chOff x="233115" y="2527300"/>
          <a:chExt cx="4491285" cy="3683000"/>
        </a:xfrm>
      </xdr:grpSpPr>
      <xdr:sp macro="" textlink="">
        <xdr:nvSpPr>
          <xdr:cNvPr id="49" name="Rounded Rectangle 48">
            <a:extLst>
              <a:ext uri="{FF2B5EF4-FFF2-40B4-BE49-F238E27FC236}">
                <a16:creationId xmlns:a16="http://schemas.microsoft.com/office/drawing/2014/main" id="{499B6ED2-89C8-220E-3902-24738E66A96D}"/>
              </a:ext>
            </a:extLst>
          </xdr:cNvPr>
          <xdr:cNvSpPr/>
        </xdr:nvSpPr>
        <xdr:spPr>
          <a:xfrm>
            <a:off x="233115" y="2527300"/>
            <a:ext cx="4491285" cy="3683000"/>
          </a:xfrm>
          <a:prstGeom prst="roundRect">
            <a:avLst>
              <a:gd name="adj" fmla="val 7667"/>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sp macro="" textlink="">
        <xdr:nvSpPr>
          <xdr:cNvPr id="50" name="Rounded Rectangle 49">
            <a:extLst>
              <a:ext uri="{FF2B5EF4-FFF2-40B4-BE49-F238E27FC236}">
                <a16:creationId xmlns:a16="http://schemas.microsoft.com/office/drawing/2014/main" id="{28C80947-DF2A-3F2B-ADD5-FD8239EBF0CC}"/>
              </a:ext>
            </a:extLst>
          </xdr:cNvPr>
          <xdr:cNvSpPr/>
        </xdr:nvSpPr>
        <xdr:spPr>
          <a:xfrm>
            <a:off x="520700" y="2613798"/>
            <a:ext cx="3949700" cy="4572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aseline="0"/>
              <a:t>Price Scatter Plot  By Property Type</a:t>
            </a:r>
            <a:endParaRPr lang="en-US" sz="1800"/>
          </a:p>
        </xdr:txBody>
      </xdr:sp>
    </xdr:grpSp>
    <xdr:clientData/>
  </xdr:twoCellAnchor>
  <xdr:twoCellAnchor>
    <xdr:from>
      <xdr:col>8</xdr:col>
      <xdr:colOff>673100</xdr:colOff>
      <xdr:row>35</xdr:row>
      <xdr:rowOff>190500</xdr:rowOff>
    </xdr:from>
    <xdr:to>
      <xdr:col>15</xdr:col>
      <xdr:colOff>812800</xdr:colOff>
      <xdr:row>55</xdr:row>
      <xdr:rowOff>158750</xdr:rowOff>
    </xdr:to>
    <xdr:graphicFrame macro="">
      <xdr:nvGraphicFramePr>
        <xdr:cNvPr id="51" name="Chart 50">
          <a:extLst>
            <a:ext uri="{FF2B5EF4-FFF2-40B4-BE49-F238E27FC236}">
              <a16:creationId xmlns:a16="http://schemas.microsoft.com/office/drawing/2014/main" id="{0BD8BB11-E940-1F43-9372-36DC2AEE4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495300</xdr:colOff>
      <xdr:row>57</xdr:row>
      <xdr:rowOff>63500</xdr:rowOff>
    </xdr:from>
    <xdr:to>
      <xdr:col>6</xdr:col>
      <xdr:colOff>673100</xdr:colOff>
      <xdr:row>66</xdr:row>
      <xdr:rowOff>25400</xdr:rowOff>
    </xdr:to>
    <mc:AlternateContent xmlns:mc="http://schemas.openxmlformats.org/markup-compatibility/2006" xmlns:a14="http://schemas.microsoft.com/office/drawing/2010/main">
      <mc:Choice Requires="a14">
        <xdr:graphicFrame macro="">
          <xdr:nvGraphicFramePr>
            <xdr:cNvPr id="52" name="district 1">
              <a:extLst>
                <a:ext uri="{FF2B5EF4-FFF2-40B4-BE49-F238E27FC236}">
                  <a16:creationId xmlns:a16="http://schemas.microsoft.com/office/drawing/2014/main" id="{EADEA723-B4C7-3745-A287-7F7E0F7260B0}"/>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mlns="">
        <xdr:sp macro="" textlink="">
          <xdr:nvSpPr>
            <xdr:cNvPr id="0" name=""/>
            <xdr:cNvSpPr>
              <a:spLocks noTextEdit="1"/>
            </xdr:cNvSpPr>
          </xdr:nvSpPr>
          <xdr:spPr>
            <a:xfrm>
              <a:off x="3814233" y="11645900"/>
              <a:ext cx="1837267"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749300</xdr:colOff>
      <xdr:row>57</xdr:row>
      <xdr:rowOff>63500</xdr:rowOff>
    </xdr:from>
    <xdr:to>
      <xdr:col>9</xdr:col>
      <xdr:colOff>101600</xdr:colOff>
      <xdr:row>66</xdr:row>
      <xdr:rowOff>12700</xdr:rowOff>
    </xdr:to>
    <mc:AlternateContent xmlns:mc="http://schemas.openxmlformats.org/markup-compatibility/2006" xmlns:a14="http://schemas.microsoft.com/office/drawing/2010/main">
      <mc:Choice Requires="a14">
        <xdr:graphicFrame macro="">
          <xdr:nvGraphicFramePr>
            <xdr:cNvPr id="53" name="property_type 1">
              <a:extLst>
                <a:ext uri="{FF2B5EF4-FFF2-40B4-BE49-F238E27FC236}">
                  <a16:creationId xmlns:a16="http://schemas.microsoft.com/office/drawing/2014/main" id="{CA7B0C2E-B449-3B46-888E-60F6E5EA31BE}"/>
                </a:ext>
              </a:extLst>
            </xdr:cNvPr>
            <xdr:cNvGraphicFramePr/>
          </xdr:nvGraphicFramePr>
          <xdr:xfrm>
            <a:off x="0" y="0"/>
            <a:ext cx="0" cy="0"/>
          </xdr:xfrm>
          <a:graphic>
            <a:graphicData uri="http://schemas.microsoft.com/office/drawing/2010/slicer">
              <sle:slicer xmlns:sle="http://schemas.microsoft.com/office/drawing/2010/slicer" name="property_type 1"/>
            </a:graphicData>
          </a:graphic>
        </xdr:graphicFrame>
      </mc:Choice>
      <mc:Fallback xmlns="">
        <xdr:sp macro="" textlink="">
          <xdr:nvSpPr>
            <xdr:cNvPr id="0" name=""/>
            <xdr:cNvSpPr>
              <a:spLocks noTextEdit="1"/>
            </xdr:cNvSpPr>
          </xdr:nvSpPr>
          <xdr:spPr>
            <a:xfrm>
              <a:off x="5727700" y="11645900"/>
              <a:ext cx="1841500" cy="177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57</xdr:row>
      <xdr:rowOff>50800</xdr:rowOff>
    </xdr:from>
    <xdr:to>
      <xdr:col>11</xdr:col>
      <xdr:colOff>330200</xdr:colOff>
      <xdr:row>65</xdr:row>
      <xdr:rowOff>165100</xdr:rowOff>
    </xdr:to>
    <mc:AlternateContent xmlns:mc="http://schemas.openxmlformats.org/markup-compatibility/2006" xmlns:a14="http://schemas.microsoft.com/office/drawing/2010/main">
      <mc:Choice Requires="a14">
        <xdr:graphicFrame macro="">
          <xdr:nvGraphicFramePr>
            <xdr:cNvPr id="54" name="year 1">
              <a:extLst>
                <a:ext uri="{FF2B5EF4-FFF2-40B4-BE49-F238E27FC236}">
                  <a16:creationId xmlns:a16="http://schemas.microsoft.com/office/drawing/2014/main" id="{C60D6B1B-45AB-744C-AF52-22666D469C7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620000" y="11633200"/>
              <a:ext cx="1837267" cy="173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368300</xdr:colOff>
      <xdr:row>57</xdr:row>
      <xdr:rowOff>63500</xdr:rowOff>
    </xdr:from>
    <xdr:to>
      <xdr:col>13</xdr:col>
      <xdr:colOff>546100</xdr:colOff>
      <xdr:row>65</xdr:row>
      <xdr:rowOff>139700</xdr:rowOff>
    </xdr:to>
    <mc:AlternateContent xmlns:mc="http://schemas.openxmlformats.org/markup-compatibility/2006" xmlns:a14="http://schemas.microsoft.com/office/drawing/2010/main">
      <mc:Choice Requires="a14">
        <xdr:graphicFrame macro="">
          <xdr:nvGraphicFramePr>
            <xdr:cNvPr id="56" name="furnished 1">
              <a:extLst>
                <a:ext uri="{FF2B5EF4-FFF2-40B4-BE49-F238E27FC236}">
                  <a16:creationId xmlns:a16="http://schemas.microsoft.com/office/drawing/2014/main" id="{B5D6BD08-2013-8947-B70B-20001A49CD38}"/>
                </a:ext>
              </a:extLst>
            </xdr:cNvPr>
            <xdr:cNvGraphicFramePr/>
          </xdr:nvGraphicFramePr>
          <xdr:xfrm>
            <a:off x="0" y="0"/>
            <a:ext cx="0" cy="0"/>
          </xdr:xfrm>
          <a:graphic>
            <a:graphicData uri="http://schemas.microsoft.com/office/drawing/2010/slicer">
              <sle:slicer xmlns:sle="http://schemas.microsoft.com/office/drawing/2010/slicer" name="furnished 1"/>
            </a:graphicData>
          </a:graphic>
        </xdr:graphicFrame>
      </mc:Choice>
      <mc:Fallback xmlns="">
        <xdr:sp macro="" textlink="">
          <xdr:nvSpPr>
            <xdr:cNvPr id="0" name=""/>
            <xdr:cNvSpPr>
              <a:spLocks noTextEdit="1"/>
            </xdr:cNvSpPr>
          </xdr:nvSpPr>
          <xdr:spPr>
            <a:xfrm>
              <a:off x="9495367" y="11645900"/>
              <a:ext cx="1837266" cy="170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622300</xdr:colOff>
      <xdr:row>57</xdr:row>
      <xdr:rowOff>76200</xdr:rowOff>
    </xdr:from>
    <xdr:to>
      <xdr:col>15</xdr:col>
      <xdr:colOff>800100</xdr:colOff>
      <xdr:row>65</xdr:row>
      <xdr:rowOff>101600</xdr:rowOff>
    </xdr:to>
    <mc:AlternateContent xmlns:mc="http://schemas.openxmlformats.org/markup-compatibility/2006" xmlns:a14="http://schemas.microsoft.com/office/drawing/2010/main">
      <mc:Choice Requires="a14">
        <xdr:graphicFrame macro="">
          <xdr:nvGraphicFramePr>
            <xdr:cNvPr id="57" name="district_zone 1">
              <a:extLst>
                <a:ext uri="{FF2B5EF4-FFF2-40B4-BE49-F238E27FC236}">
                  <a16:creationId xmlns:a16="http://schemas.microsoft.com/office/drawing/2014/main" id="{D1D98FA3-0E0E-D948-A5B6-7589038D34D0}"/>
                </a:ext>
              </a:extLst>
            </xdr:cNvPr>
            <xdr:cNvGraphicFramePr/>
          </xdr:nvGraphicFramePr>
          <xdr:xfrm>
            <a:off x="0" y="0"/>
            <a:ext cx="0" cy="0"/>
          </xdr:xfrm>
          <a:graphic>
            <a:graphicData uri="http://schemas.microsoft.com/office/drawing/2010/slicer">
              <sle:slicer xmlns:sle="http://schemas.microsoft.com/office/drawing/2010/slicer" name="district_zone 1"/>
            </a:graphicData>
          </a:graphic>
        </xdr:graphicFrame>
      </mc:Choice>
      <mc:Fallback xmlns="">
        <xdr:sp macro="" textlink="">
          <xdr:nvSpPr>
            <xdr:cNvPr id="0" name=""/>
            <xdr:cNvSpPr>
              <a:spLocks noTextEdit="1"/>
            </xdr:cNvSpPr>
          </xdr:nvSpPr>
          <xdr:spPr>
            <a:xfrm>
              <a:off x="11408833" y="11658600"/>
              <a:ext cx="1837267"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609600</xdr:colOff>
      <xdr:row>7</xdr:row>
      <xdr:rowOff>50799</xdr:rowOff>
    </xdr:from>
    <xdr:to>
      <xdr:col>29</xdr:col>
      <xdr:colOff>491066</xdr:colOff>
      <xdr:row>61</xdr:row>
      <xdr:rowOff>0</xdr:rowOff>
    </xdr:to>
    <xdr:sp macro="" textlink="">
      <xdr:nvSpPr>
        <xdr:cNvPr id="31" name="TextBox 30">
          <a:extLst>
            <a:ext uri="{FF2B5EF4-FFF2-40B4-BE49-F238E27FC236}">
              <a16:creationId xmlns:a16="http://schemas.microsoft.com/office/drawing/2014/main" id="{D62552F9-2030-05BA-FE34-630D5D2C6B86}"/>
            </a:ext>
          </a:extLst>
        </xdr:cNvPr>
        <xdr:cNvSpPr txBox="1"/>
      </xdr:nvSpPr>
      <xdr:spPr>
        <a:xfrm>
          <a:off x="14715067" y="1473199"/>
          <a:ext cx="9838266" cy="10922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SA" sz="2000" b="1" i="0">
              <a:solidFill>
                <a:schemeClr val="dk1"/>
              </a:solidFill>
              <a:effectLst/>
              <a:latin typeface="+mn-lt"/>
              <a:ea typeface="+mn-ea"/>
              <a:cs typeface="+mn-cs"/>
            </a:rPr>
            <a:t>📈</a:t>
          </a:r>
          <a:r>
            <a:rPr lang="en-SA" sz="2000" b="0" i="0">
              <a:solidFill>
                <a:schemeClr val="dk1"/>
              </a:solidFill>
              <a:effectLst/>
              <a:latin typeface="+mn-lt"/>
              <a:ea typeface="+mn-ea"/>
              <a:cs typeface="+mn-cs"/>
            </a:rPr>
            <a:t>  </a:t>
          </a:r>
          <a:r>
            <a:rPr lang="en-US" sz="2000" b="1" i="0" u="sng">
              <a:solidFill>
                <a:schemeClr val="dk1"/>
              </a:solidFill>
              <a:effectLst/>
              <a:latin typeface="+mn-lt"/>
              <a:ea typeface="+mn-ea"/>
              <a:cs typeface="+mn-cs"/>
            </a:rPr>
            <a:t>Finding 1 — Strong overall market growth</a:t>
          </a:r>
        </a:p>
        <a:p>
          <a:r>
            <a:rPr lang="en-US" sz="2000" b="0" i="0">
              <a:solidFill>
                <a:schemeClr val="dk1"/>
              </a:solidFill>
              <a:effectLst/>
              <a:latin typeface="+mn-lt"/>
              <a:ea typeface="+mn-ea"/>
              <a:cs typeface="+mn-cs"/>
            </a:rPr>
            <a:t>Source: Price Growth KPI + Price Trend by Year chart</a:t>
          </a:r>
        </a:p>
        <a:p>
          <a:r>
            <a:rPr lang="en-US" sz="2000" b="0" i="0">
              <a:solidFill>
                <a:schemeClr val="dk1"/>
              </a:solidFill>
              <a:effectLst/>
              <a:latin typeface="+mn-lt"/>
              <a:ea typeface="+mn-ea"/>
              <a:cs typeface="+mn-cs"/>
            </a:rPr>
            <a:t>Riyadh property prices grew by +20.47% from 2021 to 2024, with the sharpest jump happening between 2022 and 2023. Notably, prices actually dipped slightly in 2022 before recovering strongly — suggesting a brief post-pandemic correction before Vision 2030 investment accelerated demand.</a:t>
          </a:r>
        </a:p>
        <a:p>
          <a:endParaRPr lang="en-US" sz="2000" b="0" i="0">
            <a:solidFill>
              <a:schemeClr val="dk1"/>
            </a:solidFill>
            <a:effectLst/>
            <a:latin typeface="+mn-lt"/>
            <a:ea typeface="+mn-ea"/>
            <a:cs typeface="+mn-cs"/>
          </a:endParaRPr>
        </a:p>
        <a:p>
          <a:r>
            <a:rPr lang="en-SA" sz="2000" b="1" i="0">
              <a:solidFill>
                <a:schemeClr val="dk1"/>
              </a:solidFill>
              <a:effectLst/>
              <a:latin typeface="+mn-lt"/>
              <a:ea typeface="+mn-ea"/>
              <a:cs typeface="+mn-cs"/>
            </a:rPr>
            <a:t>🏘️</a:t>
          </a:r>
          <a:r>
            <a:rPr lang="en-SA" sz="2000" b="1" i="0" u="sng" baseline="0">
              <a:solidFill>
                <a:schemeClr val="dk1"/>
              </a:solidFill>
              <a:effectLst/>
              <a:latin typeface="+mn-lt"/>
              <a:ea typeface="+mn-ea"/>
              <a:cs typeface="+mn-cs"/>
            </a:rPr>
            <a:t> </a:t>
          </a:r>
          <a:r>
            <a:rPr lang="en-US" sz="2000" b="1" i="0" u="sng">
              <a:solidFill>
                <a:schemeClr val="dk1"/>
              </a:solidFill>
              <a:effectLst/>
              <a:latin typeface="+mn-lt"/>
              <a:ea typeface="+mn-ea"/>
              <a:cs typeface="+mn-cs"/>
            </a:rPr>
            <a:t>Finding 2 — Al Olaya commands a massive price premium</a:t>
          </a:r>
        </a:p>
        <a:p>
          <a:r>
            <a:rPr lang="en-US" sz="2000" b="0" i="0">
              <a:solidFill>
                <a:schemeClr val="dk1"/>
              </a:solidFill>
              <a:effectLst/>
              <a:latin typeface="+mn-lt"/>
              <a:ea typeface="+mn-ea"/>
              <a:cs typeface="+mn-cs"/>
            </a:rPr>
            <a:t>Source: Top 10 Districts by AVG Price chart</a:t>
          </a:r>
        </a:p>
        <a:p>
          <a:r>
            <a:rPr lang="en-US" sz="2000" b="0" i="0">
              <a:solidFill>
                <a:schemeClr val="dk1"/>
              </a:solidFill>
              <a:effectLst/>
              <a:latin typeface="+mn-lt"/>
              <a:ea typeface="+mn-ea"/>
              <a:cs typeface="+mn-cs"/>
            </a:rPr>
            <a:t>Al Olaya is the most expensive district at SAR 1.59M average, more than 2× the price of bottom-ranked districts like Al Maather and Al Rajhi. Central zone districts (blue bars) dominate the top 3, while North zone districts (orange) cluster in the mid-range.</a:t>
          </a:r>
        </a:p>
        <a:p>
          <a:endParaRPr lang="en-US" sz="2000" b="0" i="0">
            <a:solidFill>
              <a:schemeClr val="dk1"/>
            </a:solidFill>
            <a:effectLst/>
            <a:latin typeface="+mn-lt"/>
            <a:ea typeface="+mn-ea"/>
            <a:cs typeface="+mn-cs"/>
          </a:endParaRPr>
        </a:p>
        <a:p>
          <a:r>
            <a:rPr lang="en-SA" sz="2000" b="1" i="0" u="sng">
              <a:solidFill>
                <a:schemeClr val="dk1"/>
              </a:solidFill>
              <a:effectLst/>
              <a:latin typeface="+mn-lt"/>
              <a:ea typeface="+mn-ea"/>
              <a:cs typeface="+mn-cs"/>
            </a:rPr>
            <a:t>🏠</a:t>
          </a:r>
          <a:r>
            <a:rPr lang="en-SA" sz="2000" b="1" i="0" u="sng" baseline="0">
              <a:solidFill>
                <a:schemeClr val="dk1"/>
              </a:solidFill>
              <a:effectLst/>
              <a:latin typeface="+mn-lt"/>
              <a:ea typeface="+mn-ea"/>
              <a:cs typeface="+mn-cs"/>
            </a:rPr>
            <a:t> </a:t>
          </a:r>
          <a:r>
            <a:rPr lang="en-US" sz="2000" b="1" i="0" u="sng">
              <a:solidFill>
                <a:schemeClr val="dk1"/>
              </a:solidFill>
              <a:effectLst/>
              <a:latin typeface="+mn-lt"/>
              <a:ea typeface="+mn-ea"/>
              <a:cs typeface="+mn-cs"/>
            </a:rPr>
            <a:t>Finding 3 — Apartments dominate supply, Villas dominate value</a:t>
          </a:r>
        </a:p>
        <a:p>
          <a:r>
            <a:rPr lang="en-US" sz="2000" b="0" i="0">
              <a:solidFill>
                <a:schemeClr val="dk1"/>
              </a:solidFill>
              <a:effectLst/>
              <a:latin typeface="+mn-lt"/>
              <a:ea typeface="+mn-ea"/>
              <a:cs typeface="+mn-cs"/>
            </a:rPr>
            <a:t>Source: Property Type Distribution donut + Price by Property Type bar</a:t>
          </a:r>
        </a:p>
        <a:p>
          <a:r>
            <a:rPr lang="en-US" sz="2000" b="0" i="0">
              <a:solidFill>
                <a:schemeClr val="dk1"/>
              </a:solidFill>
              <a:effectLst/>
              <a:latin typeface="+mn-lt"/>
              <a:ea typeface="+mn-ea"/>
              <a:cs typeface="+mn-cs"/>
            </a:rPr>
            <a:t>Apartments make up 38.9% of all listings — the largest share of any type. But Villas command the highest average price at SAR 2.2M — nearly 9× the price of a Studio (SAR 251K). The market is volume-driven by affordable units but value-driven by luxury properties.</a:t>
          </a:r>
        </a:p>
        <a:p>
          <a:endParaRPr lang="en-US" sz="4000" b="0" i="0">
            <a:solidFill>
              <a:schemeClr val="dk1"/>
            </a:solidFill>
            <a:effectLst/>
            <a:latin typeface="+mn-lt"/>
            <a:ea typeface="+mn-ea"/>
            <a:cs typeface="+mn-cs"/>
          </a:endParaRPr>
        </a:p>
        <a:p>
          <a:r>
            <a:rPr lang="en-SA" sz="2000" b="1" i="0" u="sng">
              <a:solidFill>
                <a:schemeClr val="dk1"/>
              </a:solidFill>
              <a:effectLst/>
              <a:latin typeface="+mn-lt"/>
              <a:ea typeface="+mn-ea"/>
              <a:cs typeface="+mn-cs"/>
            </a:rPr>
            <a:t>📐 </a:t>
          </a:r>
          <a:r>
            <a:rPr lang="en-US" sz="2000" b="1" i="0" u="sng">
              <a:solidFill>
                <a:schemeClr val="dk1"/>
              </a:solidFill>
              <a:effectLst/>
              <a:latin typeface="+mn-lt"/>
              <a:ea typeface="+mn-ea"/>
              <a:cs typeface="+mn-cs"/>
            </a:rPr>
            <a:t>Finding 4 — Area is the strongest price driver</a:t>
          </a:r>
        </a:p>
        <a:p>
          <a:r>
            <a:rPr lang="en-US" sz="2000" b="0" i="0">
              <a:solidFill>
                <a:schemeClr val="dk1"/>
              </a:solidFill>
              <a:effectLst/>
              <a:latin typeface="+mn-lt"/>
              <a:ea typeface="+mn-ea"/>
              <a:cs typeface="+mn-cs"/>
            </a:rPr>
            <a:t>Source: Price Scatter Plot by Property Type</a:t>
          </a:r>
        </a:p>
        <a:p>
          <a:r>
            <a:rPr lang="en-US" sz="2000" b="0" i="0">
              <a:solidFill>
                <a:schemeClr val="dk1"/>
              </a:solidFill>
              <a:effectLst/>
              <a:latin typeface="+mn-lt"/>
              <a:ea typeface="+mn-ea"/>
              <a:cs typeface="+mn-cs"/>
            </a:rPr>
            <a:t>The scatter plot shows a clear diagonal trend — as property area increases, price increases proportionally across all types. Studios and Apartments cluster bottom-left (small, affordable), Villas spread top-right (large, expensive). The separation between coloured clusters confirms that property type and size together explain most of the price variation.</a:t>
          </a:r>
        </a:p>
        <a:p>
          <a:endParaRPr lang="en-US" sz="2000" b="0" i="0">
            <a:solidFill>
              <a:schemeClr val="dk1"/>
            </a:solidFill>
            <a:effectLst/>
            <a:latin typeface="+mn-lt"/>
            <a:ea typeface="+mn-ea"/>
            <a:cs typeface="+mn-cs"/>
          </a:endParaRPr>
        </a:p>
        <a:p>
          <a:r>
            <a:rPr lang="en-US" sz="2000" b="1" i="0" u="sng">
              <a:solidFill>
                <a:schemeClr val="dk1"/>
              </a:solidFill>
              <a:effectLst/>
              <a:latin typeface="+mn-lt"/>
              <a:ea typeface="+mn-ea"/>
              <a:cs typeface="+mn-cs"/>
            </a:rPr>
            <a:t>⏱️ Finding 5 — Properties take ~90 days on average to sell</a:t>
          </a:r>
        </a:p>
        <a:p>
          <a:r>
            <a:rPr lang="en-US" sz="2000" b="0" i="0">
              <a:solidFill>
                <a:schemeClr val="dk1"/>
              </a:solidFill>
              <a:effectLst/>
              <a:latin typeface="+mn-lt"/>
              <a:ea typeface="+mn-ea"/>
              <a:cs typeface="+mn-cs"/>
            </a:rPr>
            <a:t>Source: AVG Days Listed KPI</a:t>
          </a:r>
        </a:p>
        <a:p>
          <a:r>
            <a:rPr lang="en-US" sz="2000" b="0" i="0">
              <a:solidFill>
                <a:schemeClr val="dk1"/>
              </a:solidFill>
              <a:effectLst/>
              <a:latin typeface="+mn-lt"/>
              <a:ea typeface="+mn-ea"/>
              <a:cs typeface="+mn-cs"/>
            </a:rPr>
            <a:t>The average listing stays on market for 90.6 days — roughly 3 months. This is a useful baseline: districts or property types with significantly fewer days indicate high demand / hot markets, while those above 90 days signal oversupply or pricing issues.</a:t>
          </a:r>
        </a:p>
        <a:p>
          <a:endParaRPr lang="en-US" sz="2000" b="0" i="0">
            <a:solidFill>
              <a:schemeClr val="dk1"/>
            </a:solidFill>
            <a:effectLst/>
            <a:latin typeface="+mn-lt"/>
            <a:ea typeface="+mn-ea"/>
            <a:cs typeface="+mn-cs"/>
          </a:endParaRPr>
        </a:p>
        <a:p>
          <a:endParaRPr lang="en-US" sz="2000" b="0" i="0">
            <a:solidFill>
              <a:schemeClr val="dk1"/>
            </a:solidFill>
            <a:effectLst/>
            <a:latin typeface="+mn-lt"/>
            <a:ea typeface="+mn-ea"/>
            <a:cs typeface="+mn-cs"/>
          </a:endParaRPr>
        </a:p>
        <a:p>
          <a:endParaRPr lang="en-US" sz="2000" b="0" i="0">
            <a:solidFill>
              <a:schemeClr val="dk1"/>
            </a:solidFill>
            <a:effectLst/>
            <a:latin typeface="+mn-lt"/>
            <a:ea typeface="+mn-ea"/>
            <a:cs typeface="+mn-cs"/>
          </a:endParaRPr>
        </a:p>
        <a:p>
          <a:endParaRPr lang="en-US" sz="2000" b="0" i="0">
            <a:solidFill>
              <a:schemeClr val="dk1"/>
            </a:solidFill>
            <a:effectLst/>
            <a:latin typeface="+mn-lt"/>
            <a:ea typeface="+mn-ea"/>
            <a:cs typeface="+mn-cs"/>
          </a:endParaRPr>
        </a:p>
        <a:p>
          <a:endParaRPr lang="en-US" sz="2000" b="0" i="0">
            <a:solidFill>
              <a:schemeClr val="dk1"/>
            </a:solidFill>
            <a:effectLst/>
            <a:latin typeface="+mn-lt"/>
            <a:ea typeface="+mn-ea"/>
            <a:cs typeface="+mn-cs"/>
          </a:endParaRPr>
        </a:p>
        <a:p>
          <a:endParaRPr lang="en-US" sz="1100"/>
        </a:p>
      </xdr:txBody>
    </xdr:sp>
    <xdr:clientData/>
  </xdr:twoCellAnchor>
</xdr:wsDr>
</file>

<file path=xl/drawings/drawing9.xml><?xml version="1.0" encoding="utf-8"?>
<c:userShapes xmlns:c="http://schemas.openxmlformats.org/drawingml/2006/chart">
  <cdr:relSizeAnchor xmlns:cdr="http://schemas.openxmlformats.org/drawingml/2006/chartDrawing">
    <cdr:from>
      <cdr:x>0.5786</cdr:x>
      <cdr:y>0.90065</cdr:y>
    </cdr:from>
    <cdr:to>
      <cdr:x>0.98617</cdr:x>
      <cdr:y>0.99203</cdr:y>
    </cdr:to>
    <cdr:sp macro="" textlink="">
      <cdr:nvSpPr>
        <cdr:cNvPr id="2" name="Rectangle 1">
          <a:extLst xmlns:a="http://schemas.openxmlformats.org/drawingml/2006/main">
            <a:ext uri="{FF2B5EF4-FFF2-40B4-BE49-F238E27FC236}">
              <a16:creationId xmlns:a16="http://schemas.microsoft.com/office/drawing/2014/main" id="{9AE8F9CA-A906-1DD0-E84B-070060D5A5F8}"/>
            </a:ext>
          </a:extLst>
        </cdr:cNvPr>
        <cdr:cNvSpPr/>
      </cdr:nvSpPr>
      <cdr:spPr>
        <a:xfrm xmlns:a="http://schemas.openxmlformats.org/drawingml/2006/main">
          <a:off x="3718218" y="4197820"/>
          <a:ext cx="2619082" cy="425952"/>
        </a:xfrm>
        <a:prstGeom xmlns:a="http://schemas.openxmlformats.org/drawingml/2006/main" prst="rect">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a:t>      Central.             North                   East/West</a:t>
          </a:r>
          <a:endParaRPr lang="en-US" kern="1200"/>
        </a:p>
      </cdr:txBody>
    </cdr:sp>
  </cdr:relSizeAnchor>
  <cdr:relSizeAnchor xmlns:cdr="http://schemas.openxmlformats.org/drawingml/2006/chartDrawing">
    <cdr:from>
      <cdr:x>0.5415</cdr:x>
      <cdr:y>0.90065</cdr:y>
    </cdr:from>
    <cdr:to>
      <cdr:x>0.99605</cdr:x>
      <cdr:y>0.99203</cdr:y>
    </cdr:to>
    <cdr:sp macro="" textlink="">
      <cdr:nvSpPr>
        <cdr:cNvPr id="3" name="Rectangle 1">
          <a:extLst xmlns:a="http://schemas.openxmlformats.org/drawingml/2006/main">
            <a:ext uri="{FF2B5EF4-FFF2-40B4-BE49-F238E27FC236}">
              <a16:creationId xmlns:a16="http://schemas.microsoft.com/office/drawing/2014/main" id="{9AE8F9CA-A906-1DD0-E84B-070060D5A5F8}"/>
            </a:ext>
          </a:extLst>
        </cdr:cNvPr>
        <cdr:cNvSpPr/>
      </cdr:nvSpPr>
      <cdr:spPr>
        <a:xfrm xmlns:a="http://schemas.openxmlformats.org/drawingml/2006/main">
          <a:off x="3479800" y="4197840"/>
          <a:ext cx="2921017" cy="425913"/>
        </a:xfrm>
        <a:prstGeom xmlns:a="http://schemas.openxmlformats.org/drawingml/2006/main" prst="rect">
          <a:avLst/>
        </a:prstGeom>
        <a:solidFill xmlns:a="http://schemas.openxmlformats.org/drawingml/2006/main">
          <a:schemeClr val="accent6">
            <a:lumMod val="20000"/>
            <a:lumOff val="80000"/>
          </a:schemeClr>
        </a:solidFill>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sz="1200"/>
            <a:t>        Central.             North                   East/West</a:t>
          </a:r>
          <a:endParaRPr lang="en-US" sz="1200" kern="1200"/>
        </a:p>
      </cdr:txBody>
    </cdr:sp>
  </cdr:relSizeAnchor>
  <cdr:relSizeAnchor xmlns:cdr="http://schemas.openxmlformats.org/drawingml/2006/chartDrawing">
    <cdr:from>
      <cdr:x>0.55731</cdr:x>
      <cdr:y>0.91826</cdr:y>
    </cdr:from>
    <cdr:to>
      <cdr:x>0.58103</cdr:x>
      <cdr:y>0.9455</cdr:y>
    </cdr:to>
    <cdr:sp macro="" textlink="">
      <cdr:nvSpPr>
        <cdr:cNvPr id="4" name="Rectangle 3">
          <a:extLst xmlns:a="http://schemas.openxmlformats.org/drawingml/2006/main">
            <a:ext uri="{FF2B5EF4-FFF2-40B4-BE49-F238E27FC236}">
              <a16:creationId xmlns:a16="http://schemas.microsoft.com/office/drawing/2014/main" id="{B98F5B41-39BD-6934-D00F-2081F56CABCB}"/>
            </a:ext>
          </a:extLst>
        </cdr:cNvPr>
        <cdr:cNvSpPr/>
      </cdr:nvSpPr>
      <cdr:spPr>
        <a:xfrm xmlns:a="http://schemas.openxmlformats.org/drawingml/2006/main">
          <a:off x="3581400" y="4279900"/>
          <a:ext cx="152400" cy="127000"/>
        </a:xfrm>
        <a:prstGeom xmlns:a="http://schemas.openxmlformats.org/drawingml/2006/main" prst="rect">
          <a:avLst/>
        </a:prstGeom>
        <a:solidFill xmlns:a="http://schemas.openxmlformats.org/drawingml/2006/main">
          <a:schemeClr val="accent1">
            <a:lumMod val="60000"/>
            <a:lumOff val="4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0.6917</cdr:x>
      <cdr:y>0.91826</cdr:y>
    </cdr:from>
    <cdr:to>
      <cdr:x>0.71542</cdr:x>
      <cdr:y>0.9455</cdr:y>
    </cdr:to>
    <cdr:sp macro="" textlink="">
      <cdr:nvSpPr>
        <cdr:cNvPr id="5" name="Rectangle 4">
          <a:extLst xmlns:a="http://schemas.openxmlformats.org/drawingml/2006/main">
            <a:ext uri="{FF2B5EF4-FFF2-40B4-BE49-F238E27FC236}">
              <a16:creationId xmlns:a16="http://schemas.microsoft.com/office/drawing/2014/main" id="{7F64D64B-46C4-5555-06FB-88BCA260D571}"/>
            </a:ext>
          </a:extLst>
        </cdr:cNvPr>
        <cdr:cNvSpPr/>
      </cdr:nvSpPr>
      <cdr:spPr>
        <a:xfrm xmlns:a="http://schemas.openxmlformats.org/drawingml/2006/main">
          <a:off x="4445000" y="4279900"/>
          <a:ext cx="152400" cy="127000"/>
        </a:xfrm>
        <a:prstGeom xmlns:a="http://schemas.openxmlformats.org/drawingml/2006/main" prst="rect">
          <a:avLst/>
        </a:prstGeom>
        <a:solidFill xmlns:a="http://schemas.openxmlformats.org/drawingml/2006/main">
          <a:srgbClr val="EC7533"/>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0.83004</cdr:x>
      <cdr:y>0.91553</cdr:y>
    </cdr:from>
    <cdr:to>
      <cdr:x>0.85375</cdr:x>
      <cdr:y>0.94278</cdr:y>
    </cdr:to>
    <cdr:sp macro="" textlink="">
      <cdr:nvSpPr>
        <cdr:cNvPr id="6" name="Rectangle 5">
          <a:extLst xmlns:a="http://schemas.openxmlformats.org/drawingml/2006/main">
            <a:ext uri="{FF2B5EF4-FFF2-40B4-BE49-F238E27FC236}">
              <a16:creationId xmlns:a16="http://schemas.microsoft.com/office/drawing/2014/main" id="{D6CDE99D-7AC9-D36C-82E3-B17277755121}"/>
            </a:ext>
          </a:extLst>
        </cdr:cNvPr>
        <cdr:cNvSpPr/>
      </cdr:nvSpPr>
      <cdr:spPr>
        <a:xfrm xmlns:a="http://schemas.openxmlformats.org/drawingml/2006/main">
          <a:off x="5334000" y="4267200"/>
          <a:ext cx="152400" cy="127000"/>
        </a:xfrm>
        <a:prstGeom xmlns:a="http://schemas.openxmlformats.org/drawingml/2006/main" prst="rect">
          <a:avLst/>
        </a:prstGeom>
        <a:solidFill xmlns:a="http://schemas.openxmlformats.org/drawingml/2006/main">
          <a:srgbClr val="FFC000"/>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98.5283375" createdVersion="8" refreshedVersion="8" minRefreshableVersion="3" recordCount="1201" xr:uid="{A17B1D21-4B35-4348-8857-996BFE800290}">
  <cacheSource type="worksheet">
    <worksheetSource ref="A1:N1048576" sheet="riyadh_realestate_dataset"/>
  </cacheSource>
  <cacheFields count="14">
    <cacheField name="listing_id" numFmtId="0">
      <sharedItems containsString="0" containsBlank="1" containsNumber="1" containsInteger="1" minValue="1000" maxValue="2199"/>
    </cacheField>
    <cacheField name="district" numFmtId="0">
      <sharedItems containsBlank="1" count="21">
        <s v="Al Nakheel"/>
        <s v="Al Malaz"/>
        <s v="Al Yasmin"/>
        <s v="Al Dirah"/>
        <s v="Al Munsiyah"/>
        <s v="Al Maather"/>
        <s v="Al Rajhi"/>
        <s v="Al Batha"/>
        <s v="Al Narjis"/>
        <s v="Al Aqiq"/>
        <s v="Al Rawdah"/>
        <s v="Al Sahafah"/>
        <s v="Al Olaya"/>
        <s v="Al Sulimaniyah"/>
        <s v="Al Rabwah"/>
        <s v="Al Arid"/>
        <s v="Al Wurud"/>
        <s v="Al Qirawan"/>
        <s v="Al Hamra"/>
        <s v="Al Zahra"/>
        <m/>
      </sharedItems>
    </cacheField>
    <cacheField name="property_type" numFmtId="0">
      <sharedItems containsBlank="1" count="6">
        <s v="Apartment"/>
        <s v="Duplex"/>
        <s v="Villa"/>
        <s v="Floor"/>
        <s v="Studio"/>
        <m/>
      </sharedItems>
    </cacheField>
    <cacheField name="year" numFmtId="0">
      <sharedItems containsString="0" containsBlank="1" containsNumber="1" containsInteger="1" minValue="2021" maxValue="2024" count="5">
        <n v="2023"/>
        <n v="2022"/>
        <n v="2021"/>
        <n v="2024"/>
        <m/>
      </sharedItems>
    </cacheField>
    <cacheField name="quarter" numFmtId="0">
      <sharedItems containsBlank="1"/>
    </cacheField>
    <cacheField name="area_sqm" numFmtId="0">
      <sharedItems containsString="0" containsBlank="1" containsNumber="1" containsInteger="1" minValue="39" maxValue="628" count="442">
        <n v="160"/>
        <n v="141"/>
        <n v="268"/>
        <n v="138"/>
        <n v="546"/>
        <n v="168"/>
        <n v="131"/>
        <n v="161"/>
        <n v="439"/>
        <n v="184"/>
        <n v="229"/>
        <n v="369"/>
        <n v="70"/>
        <n v="317"/>
        <n v="429"/>
        <n v="127"/>
        <n v="136"/>
        <n v="145"/>
        <n v="113"/>
        <n v="170"/>
        <n v="108"/>
        <n v="105"/>
        <n v="151"/>
        <n v="479"/>
        <n v="57"/>
        <n v="142"/>
        <n v="383"/>
        <n v="177"/>
        <n v="58"/>
        <n v="327"/>
        <n v="125"/>
        <n v="163"/>
        <n v="176"/>
        <n v="495"/>
        <n v="120"/>
        <n v="395"/>
        <n v="256"/>
        <n v="271"/>
        <n v="485"/>
        <n v="348"/>
        <n v="449"/>
        <n v="368"/>
        <n v="144"/>
        <n v="192"/>
        <n v="427"/>
        <n v="265"/>
        <n v="121"/>
        <n v="255"/>
        <n v="172"/>
        <n v="155"/>
        <n v="285"/>
        <n v="174"/>
        <n v="124"/>
        <n v="394"/>
        <n v="444"/>
        <n v="153"/>
        <n v="41"/>
        <n v="386"/>
        <n v="340"/>
        <n v="374"/>
        <n v="365"/>
        <n v="143"/>
        <n v="425"/>
        <n v="617"/>
        <n v="405"/>
        <n v="295"/>
        <n v="66"/>
        <n v="187"/>
        <n v="308"/>
        <n v="230"/>
        <n v="375"/>
        <n v="39"/>
        <n v="354"/>
        <n v="117"/>
        <n v="357"/>
        <n v="63"/>
        <n v="218"/>
        <n v="97"/>
        <n v="361"/>
        <n v="441"/>
        <n v="381"/>
        <n v="366"/>
        <n v="154"/>
        <n v="48"/>
        <n v="569"/>
        <n v="458"/>
        <n v="116"/>
        <n v="319"/>
        <n v="497"/>
        <n v="157"/>
        <n v="360"/>
        <n v="351"/>
        <n v="189"/>
        <n v="164"/>
        <n v="119"/>
        <n v="159"/>
        <n v="477"/>
        <n v="54"/>
        <n v="238"/>
        <n v="100"/>
        <n v="291"/>
        <n v="349"/>
        <n v="150"/>
        <n v="147"/>
        <n v="111"/>
        <n v="334"/>
        <n v="306"/>
        <n v="94"/>
        <n v="65"/>
        <n v="165"/>
        <n v="304"/>
        <n v="53"/>
        <n v="605"/>
        <n v="89"/>
        <n v="382"/>
        <n v="507"/>
        <n v="62"/>
        <n v="282"/>
        <n v="258"/>
        <n v="343"/>
        <n v="171"/>
        <n v="322"/>
        <n v="173"/>
        <n v="503"/>
        <n v="68"/>
        <n v="363"/>
        <n v="302"/>
        <n v="118"/>
        <n v="114"/>
        <n v="551"/>
        <n v="352"/>
        <n v="305"/>
        <n v="60"/>
        <n v="426"/>
        <n v="389"/>
        <n v="71"/>
        <n v="321"/>
        <n v="309"/>
        <n v="442"/>
        <n v="249"/>
        <n v="251"/>
        <n v="401"/>
        <n v="325"/>
        <n v="47"/>
        <n v="252"/>
        <n v="418"/>
        <n v="149"/>
        <n v="307"/>
        <n v="270"/>
        <n v="587"/>
        <n v="180"/>
        <n v="169"/>
        <n v="419"/>
        <n v="498"/>
        <n v="273"/>
        <n v="49"/>
        <n v="440"/>
        <n v="102"/>
        <n v="210"/>
        <n v="269"/>
        <n v="489"/>
        <n v="140"/>
        <n v="397"/>
        <n v="239"/>
        <n v="452"/>
        <n v="152"/>
        <n v="422"/>
        <n v="460"/>
        <n v="388"/>
        <n v="122"/>
        <n v="211"/>
        <n v="355"/>
        <n v="250"/>
        <n v="254"/>
        <n v="447"/>
        <n v="201"/>
        <n v="214"/>
        <n v="67"/>
        <n v="283"/>
        <n v="186"/>
        <n v="274"/>
        <n v="519"/>
        <n v="55"/>
        <n v="384"/>
        <n v="61"/>
        <n v="430"/>
        <n v="461"/>
        <n v="99"/>
        <n v="344"/>
        <n v="148"/>
        <n v="198"/>
        <n v="472"/>
        <n v="505"/>
        <n v="279"/>
        <n v="398"/>
        <n v="550"/>
        <n v="310"/>
        <n v="195"/>
        <n v="83"/>
        <n v="156"/>
        <n v="415"/>
        <n v="407"/>
        <n v="253"/>
        <n v="275"/>
        <n v="577"/>
        <n v="50"/>
        <n v="466"/>
        <n v="242"/>
        <n v="126"/>
        <n v="226"/>
        <n v="72"/>
        <n v="202"/>
        <n v="353"/>
        <n v="428"/>
        <n v="199"/>
        <n v="424"/>
        <n v="471"/>
        <n v="197"/>
        <n v="501"/>
        <n v="315"/>
        <n v="188"/>
        <n v="404"/>
        <n v="372"/>
        <n v="284"/>
        <n v="272"/>
        <n v="133"/>
        <n v="300"/>
        <n v="490"/>
        <n v="135"/>
        <n v="178"/>
        <n v="115"/>
        <n v="281"/>
        <n v="243"/>
        <n v="261"/>
        <n v="512"/>
        <n v="602"/>
        <n v="267"/>
        <n v="45"/>
        <n v="453"/>
        <n v="74"/>
        <n v="92"/>
        <n v="540"/>
        <n v="330"/>
        <n v="478"/>
        <n v="193"/>
        <n v="130"/>
        <n v="95"/>
        <n v="216"/>
        <n v="106"/>
        <n v="52"/>
        <n v="64"/>
        <n v="416"/>
        <n v="200"/>
        <n v="112"/>
        <n v="222"/>
        <n v="436"/>
        <n v="417"/>
        <n v="377"/>
        <n v="190"/>
        <n v="520"/>
        <n v="378"/>
        <n v="134"/>
        <n v="320"/>
        <n v="504"/>
        <n v="556"/>
        <n v="288"/>
        <n v="289"/>
        <n v="139"/>
        <n v="318"/>
        <n v="342"/>
        <n v="329"/>
        <n v="90"/>
        <n v="362"/>
        <n v="56"/>
        <n v="179"/>
        <n v="562"/>
        <n v="166"/>
        <n v="276"/>
        <n v="470"/>
        <n v="158"/>
        <n v="290"/>
        <n v="278"/>
        <n v="475"/>
        <n v="331"/>
        <n v="183"/>
        <n v="293"/>
        <n v="379"/>
        <n v="69"/>
        <n v="259"/>
        <n v="137"/>
        <n v="175"/>
        <n v="403"/>
        <n v="451"/>
        <n v="129"/>
        <n v="181"/>
        <n v="128"/>
        <n v="376"/>
        <n v="191"/>
        <n v="564"/>
        <n v="51"/>
        <n v="406"/>
        <n v="509"/>
        <n v="433"/>
        <n v="287"/>
        <n v="59"/>
        <n v="435"/>
        <n v="593"/>
        <n v="132"/>
        <n v="364"/>
        <n v="346"/>
        <n v="244"/>
        <n v="107"/>
        <n v="204"/>
        <n v="217"/>
        <n v="536"/>
        <n v="185"/>
        <n v="483"/>
        <n v="110"/>
        <n v="402"/>
        <n v="246"/>
        <n v="350"/>
        <n v="326"/>
        <n v="492"/>
        <n v="462"/>
        <n v="399"/>
        <n v="359"/>
        <n v="438"/>
        <n v="98"/>
        <n v="262"/>
        <n v="224"/>
        <n v="42"/>
        <n v="263"/>
        <n v="392"/>
        <n v="586"/>
        <n v="167"/>
        <n v="76"/>
        <n v="409"/>
        <n v="337"/>
        <n v="573"/>
        <n v="79"/>
        <n v="508"/>
        <n v="194"/>
        <n v="328"/>
        <n v="296"/>
        <n v="339"/>
        <n v="219"/>
        <n v="248"/>
        <n v="314"/>
        <n v="96"/>
        <n v="266"/>
        <n v="231"/>
        <n v="332"/>
        <n v="356"/>
        <n v="286"/>
        <n v="396"/>
        <n v="182"/>
        <n v="592"/>
        <n v="104"/>
        <n v="373"/>
        <n v="85"/>
        <n v="450"/>
        <n v="454"/>
        <n v="162"/>
        <n v="517"/>
        <n v="619"/>
        <n v="371"/>
        <n v="323"/>
        <n v="496"/>
        <n v="206"/>
        <n v="463"/>
        <n v="481"/>
        <n v="385"/>
        <n v="247"/>
        <n v="391"/>
        <n v="345"/>
        <n v="457"/>
        <n v="312"/>
        <n v="515"/>
        <n v="500"/>
        <n v="335"/>
        <n v="303"/>
        <n v="316"/>
        <n v="146"/>
        <n v="628"/>
        <n v="313"/>
        <n v="236"/>
        <n v="558"/>
        <n v="625"/>
        <n v="580"/>
        <n v="502"/>
        <n v="571"/>
        <n v="431"/>
        <n v="455"/>
        <n v="207"/>
        <n v="530"/>
        <n v="414"/>
        <n v="506"/>
        <n v="232"/>
        <n v="44"/>
        <n v="525"/>
        <n v="487"/>
        <n v="46"/>
        <n v="542"/>
        <n v="43"/>
        <n v="294"/>
        <n v="387"/>
        <n v="196"/>
        <n v="412"/>
        <n v="513"/>
        <n v="234"/>
        <n v="292"/>
        <n v="77"/>
        <n v="123"/>
        <n v="324"/>
        <n v="413"/>
        <n v="101"/>
        <n v="237"/>
        <n v="437"/>
        <n v="109"/>
        <n v="464"/>
        <n v="421"/>
        <n v="390"/>
        <n v="456"/>
        <n v="370"/>
        <n v="480"/>
        <n v="474"/>
        <n v="75"/>
        <n v="445"/>
        <n v="260"/>
        <n v="333"/>
        <n v="88"/>
        <n v="486"/>
        <n v="215"/>
        <n v="510"/>
        <n v="432"/>
        <n v="311"/>
        <n v="257"/>
        <n v="235"/>
        <n v="221"/>
        <n v="468"/>
        <n v="423"/>
        <m/>
      </sharedItems>
    </cacheField>
    <cacheField name="bedrooms" numFmtId="0">
      <sharedItems containsString="0" containsBlank="1" containsNumber="1" containsInteger="1" minValue="0" maxValue="6"/>
    </cacheField>
    <cacheField name="bathrooms" numFmtId="0">
      <sharedItems containsString="0" containsBlank="1" containsNumber="1" containsInteger="1" minValue="1" maxValue="6"/>
    </cacheField>
    <cacheField name="price_sar" numFmtId="0">
      <sharedItems containsString="0" containsBlank="1" containsNumber="1" containsInteger="1" minValue="125000" maxValue="4466000"/>
    </cacheField>
    <cacheField name="price_per_sqm" numFmtId="0">
      <sharedItems containsString="0" containsBlank="1" containsNumber="1" minValue="1767.5" maxValue="8066.1" count="1164">
        <n v="4043.8"/>
        <n v="3113.5"/>
        <n v="4059.7"/>
        <n v="2391.3000000000002"/>
        <n v="3659.3"/>
        <n v="3279.8"/>
        <n v="2732.8"/>
        <n v="2968.9"/>
        <n v="4321.2"/>
        <n v="4472.8"/>
        <n v="4414.8"/>
        <n v="2544.6999999999998"/>
        <n v="5442.9"/>
        <n v="4246.3999999999996"/>
        <n v="2571"/>
        <n v="6533.8"/>
        <n v="4732.3"/>
        <n v="4911.8"/>
        <n v="3489.7"/>
        <n v="2619.5"/>
        <n v="3829.4"/>
        <n v="4416.7"/>
        <n v="3990.5"/>
        <n v="2357.6"/>
        <n v="3908.1"/>
        <n v="5017.5"/>
        <n v="2415.5"/>
        <n v="2838.2"/>
        <n v="6067.9"/>
        <n v="2898.3"/>
        <n v="3758.6"/>
        <n v="2853.2"/>
        <n v="2880"/>
        <n v="3349.7"/>
        <n v="2568.1999999999998"/>
        <n v="3571.7"/>
        <n v="3216.7"/>
        <n v="4607.6000000000004"/>
        <n v="5312.5"/>
        <n v="4243.5"/>
        <n v="6080.4"/>
        <n v="4195.3999999999996"/>
        <n v="4837.3999999999996"/>
        <n v="6149.5"/>
        <n v="4395.8"/>
        <n v="3953.1"/>
        <n v="6370"/>
        <n v="3917"/>
        <n v="3275.4"/>
        <n v="5409.8"/>
        <n v="4686"/>
        <n v="4423.5"/>
        <n v="3441.9"/>
        <n v="2967.7"/>
        <n v="4582.5"/>
        <n v="3511.5"/>
        <n v="2822.6"/>
        <n v="7017.8"/>
        <n v="4272.5"/>
        <n v="2725.5"/>
        <n v="4829.3"/>
        <n v="4541.5"/>
        <n v="2994.1"/>
        <n v="1839.6"/>
        <n v="2241.1"/>
        <n v="4069.9"/>
        <n v="4521.7"/>
        <n v="3076.4"/>
        <n v="3475.3"/>
        <n v="3398.7"/>
        <n v="4121"/>
        <n v="5467.8"/>
        <n v="4681.8"/>
        <n v="3178.6"/>
        <n v="3256.7"/>
        <n v="4925.3"/>
        <n v="4347.8"/>
        <n v="4432"/>
        <n v="3666.7"/>
        <n v="2121.5"/>
        <n v="3076.9"/>
        <n v="3885.7"/>
        <n v="5551.8"/>
        <n v="4540.6000000000004"/>
        <n v="5634.9"/>
        <n v="3513.8"/>
        <n v="3185.6"/>
        <n v="4260.3999999999996"/>
        <n v="5120.2"/>
        <n v="3327.4"/>
        <n v="3598.4"/>
        <n v="2532.6"/>
        <n v="5265"/>
        <n v="5927.1"/>
        <n v="3311.7"/>
        <n v="5145.8"/>
        <n v="4750.3999999999996"/>
        <n v="4421.3999999999996"/>
        <n v="2431"/>
        <n v="4056.4"/>
        <n v="6231.4"/>
        <n v="3745.2"/>
        <n v="3550.7"/>
        <n v="3294.4"/>
        <n v="4139.8999999999996"/>
        <n v="3500"/>
        <n v="2586.9"/>
        <n v="2878.3"/>
        <n v="2628"/>
        <n v="3487.4"/>
        <n v="3035.4"/>
        <n v="4930.8"/>
        <n v="3029"/>
        <n v="4727.5"/>
        <n v="4694.3"/>
        <n v="4333.3"/>
        <n v="3676.5"/>
        <n v="3700"/>
        <n v="4140.8999999999996"/>
        <n v="2388.9"/>
        <n v="6564.5"/>
        <n v="3360"/>
        <n v="3952.4"/>
        <n v="3018"/>
        <n v="2586.8000000000002"/>
        <n v="4446.3"/>
        <n v="3475"/>
        <n v="3830.1"/>
        <n v="3268.8"/>
        <n v="5489.4"/>
        <n v="4600"/>
        <n v="3503"/>
        <n v="2519.6999999999998"/>
        <n v="4754.7"/>
        <n v="3914"/>
        <n v="2786.5"/>
        <n v="6486.9"/>
        <n v="6102.6"/>
        <n v="4282.3"/>
        <n v="4854.8"/>
        <n v="3347.5"/>
        <n v="4479.2"/>
        <n v="6290.7"/>
        <n v="2649"/>
        <n v="2884.3"/>
        <n v="2842.6"/>
        <n v="2468.8000000000002"/>
        <n v="2964.9"/>
        <n v="2760.9"/>
        <n v="5458.3"/>
        <n v="4253.8999999999996"/>
        <n v="2554.9"/>
        <n v="2683.4"/>
        <n v="5833"/>
        <n v="4514.7"/>
        <n v="4400.7"/>
        <n v="2494"/>
        <n v="3271.2"/>
        <n v="4087.7"/>
        <n v="6137.9"/>
        <n v="4287.6000000000004"/>
        <n v="4545.5"/>
        <n v="5065.6000000000004"/>
        <n v="4077.6"/>
        <n v="3283.3"/>
        <n v="7061"/>
        <n v="7563"/>
        <n v="5000"/>
        <n v="7591.9"/>
        <n v="4415.1000000000004"/>
        <n v="3705.5"/>
        <n v="5850.7"/>
        <n v="3759"/>
        <n v="3370.5"/>
        <n v="3601"/>
        <n v="4486.2"/>
        <n v="3810.3"/>
        <n v="6000"/>
        <n v="6039.7"/>
        <n v="5684.2"/>
        <n v="2832.2"/>
        <n v="3987"/>
        <n v="5740.7"/>
        <n v="3777.8"/>
        <n v="6002.1"/>
        <n v="4081.5"/>
        <n v="3467.2"/>
        <n v="5316.1"/>
        <n v="3269.5"/>
        <n v="3702.1"/>
        <n v="5911.4"/>
        <n v="2972.2"/>
        <n v="2834.3"/>
        <n v="5582.3"/>
        <n v="3364.4"/>
        <n v="4532.1000000000004"/>
        <n v="2923.1"/>
        <n v="2707"/>
        <n v="5020.3999999999996"/>
        <n v="4579.5"/>
        <n v="3639.2"/>
        <n v="6253.9"/>
        <n v="4036.4"/>
        <n v="4598"/>
        <n v="5041.7"/>
        <n v="4040.9"/>
        <n v="6045"/>
        <n v="3121.4"/>
        <n v="2252.1"/>
        <n v="5710.3"/>
        <n v="2520.3000000000002"/>
        <n v="2749"/>
        <n v="2598.6"/>
        <n v="7982.3"/>
        <n v="3111.8"/>
        <n v="4103.3999999999996"/>
        <n v="6312.8"/>
        <n v="4900"/>
        <n v="4051.5"/>
        <n v="2623"/>
        <n v="4825.3999999999996"/>
        <n v="5424"/>
        <n v="2732.3"/>
        <n v="7243.8"/>
        <n v="3955.2"/>
        <n v="4410.8999999999996"/>
        <n v="4156.2"/>
        <n v="3915.9"/>
        <n v="3532.6"/>
        <n v="3910.4"/>
        <n v="4175.3999999999996"/>
        <n v="6459.4"/>
        <n v="4924.7"/>
        <n v="5240.8999999999996"/>
        <n v="5518.3"/>
        <n v="3082.8"/>
        <n v="5018.2"/>
        <n v="4196.7"/>
        <n v="4179.1000000000004"/>
        <n v="5049.8999999999996"/>
        <n v="2868.7"/>
        <n v="4532"/>
        <n v="3939.2"/>
        <n v="4605.7"/>
        <n v="3838.4"/>
        <n v="7122.9"/>
        <n v="3177.4"/>
        <n v="3950.5"/>
        <n v="4448"/>
        <n v="3814.1"/>
        <n v="5310.3"/>
        <n v="7049.1"/>
        <n v="4309.7"/>
        <n v="5046.2"/>
        <n v="4307.7"/>
        <n v="2662.7"/>
        <n v="3387.3"/>
        <n v="2198.6999999999998"/>
        <n v="3324.8"/>
        <n v="5048.2"/>
        <n v="3061.4"/>
        <n v="3924.9"/>
        <n v="6224.1"/>
        <n v="3520"/>
        <n v="3517.5"/>
        <n v="3875.2"/>
        <n v="2954.5"/>
        <n v="3233.9"/>
        <n v="2874.2"/>
        <n v="3274.6"/>
        <n v="4867.8999999999996"/>
        <n v="6400"/>
        <n v="4481.3"/>
        <n v="3420"/>
        <n v="3575.3"/>
        <n v="5266.1"/>
        <n v="3084.4"/>
        <n v="2737.6"/>
        <n v="2612.1"/>
        <n v="2640.5"/>
        <n v="2254.9"/>
        <n v="2365.1"/>
        <n v="4146"/>
        <n v="4958.3"/>
        <n v="3122.8"/>
        <n v="3369"/>
        <n v="2991.6"/>
        <n v="2517.5"/>
        <n v="5679.2"/>
        <n v="3265.9"/>
        <n v="4203"/>
        <n v="5789"/>
        <n v="2769.5"/>
        <n v="4104"/>
        <n v="5443.6"/>
        <n v="2526.9"/>
        <n v="3708.3"/>
        <n v="3282.6"/>
        <n v="3305.1"/>
        <n v="4417.1000000000004"/>
        <n v="4444.3999999999996"/>
        <n v="4142.5"/>
        <n v="2565.5"/>
        <n v="4208.3"/>
        <n v="3180.3"/>
        <n v="3748.7"/>
        <n v="5665.1"/>
        <n v="3798.3"/>
        <n v="2923.9"/>
        <n v="2400"/>
        <n v="3812.1"/>
        <n v="3385.2"/>
        <n v="3273"/>
        <n v="3173.9"/>
        <n v="4180.8999999999996"/>
        <n v="6295.1"/>
        <n v="6542.1"/>
        <n v="4692.3"/>
        <n v="6545.7"/>
        <n v="3366.2"/>
        <n v="3757.4"/>
        <n v="4823.3"/>
        <n v="3571.4"/>
        <n v="5050"/>
        <n v="2406.1999999999998"/>
        <n v="3765.3"/>
        <n v="2370.4"/>
        <n v="4736"/>
        <n v="3200"/>
        <n v="3508.9"/>
        <n v="2866.7"/>
        <n v="3600"/>
        <n v="5839.5"/>
        <n v="1915.7"/>
        <n v="4209"/>
        <n v="5203.8"/>
        <n v="5375.4"/>
        <n v="2755.7"/>
        <n v="3954.5"/>
        <n v="4610.3"/>
        <n v="4603.1000000000004"/>
        <n v="5560"/>
        <n v="3647.9"/>
        <n v="3800"/>
        <n v="2982.1"/>
        <n v="3359"/>
        <n v="5443.7"/>
        <n v="3391.9"/>
        <n v="4565.2"/>
        <n v="3681.5"/>
        <n v="2522.9"/>
        <n v="4827.3"/>
        <n v="3810.8"/>
        <n v="7977"/>
        <n v="4893.6000000000004"/>
        <n v="2295.6"/>
        <n v="2849.7"/>
        <n v="4415.3999999999996"/>
        <n v="4313"/>
        <n v="3934.3"/>
        <n v="2761.9"/>
        <n v="2668.5"/>
        <n v="4461.1000000000004"/>
        <n v="5577.8"/>
        <n v="4073.7"/>
        <n v="2967.6"/>
        <n v="4367.8999999999996"/>
        <n v="3307.7"/>
        <n v="3760"/>
        <n v="2609.4"/>
        <n v="3877.4"/>
        <n v="3685"/>
        <n v="2928.2"/>
        <n v="6128.1"/>
        <n v="4455.3999999999996"/>
        <n v="3346.8"/>
        <n v="5689"/>
        <n v="4945"/>
        <n v="3963.4"/>
        <n v="7184.7"/>
        <n v="4827.6000000000004"/>
        <n v="3326.9"/>
        <n v="3100"/>
        <n v="5676.9"/>
        <n v="2144.6"/>
        <n v="4527.7"/>
        <n v="3327.9"/>
        <n v="2543.4"/>
        <n v="2982.6"/>
        <n v="4451.6000000000004"/>
        <n v="5257.6"/>
        <n v="5116.3999999999996"/>
        <n v="3967.1"/>
        <n v="3924.5"/>
        <n v="3044.8"/>
        <n v="3126.9"/>
        <n v="2977.8"/>
        <n v="2707.3"/>
        <n v="2871"/>
        <n v="4928.1000000000004"/>
        <n v="3658.7"/>
        <n v="4291.7"/>
        <n v="4074.3"/>
        <n v="3409.7"/>
        <n v="4755.7"/>
        <n v="4843.5"/>
        <n v="2539.4"/>
        <n v="2872.6"/>
        <n v="6815.9"/>
        <n v="5316"/>
        <n v="3913.8"/>
        <n v="3521.3"/>
        <n v="4896.2"/>
        <n v="3424.5"/>
        <n v="3314.5"/>
        <n v="3975.4"/>
        <n v="2735.1"/>
        <n v="4418.1000000000004"/>
        <n v="4113.6000000000004"/>
        <n v="2081.8000000000002"/>
        <n v="3117.6"/>
        <n v="3203.6"/>
        <n v="4077.8"/>
        <n v="5830.2"/>
        <n v="2105.6"/>
        <n v="5149.2"/>
        <n v="3566.3"/>
        <n v="5078.2"/>
        <n v="3000"/>
        <n v="5984.1"/>
        <n v="3796.7"/>
        <n v="2331.1"/>
        <n v="4516"/>
        <n v="4517.8999999999996"/>
        <n v="3240.2"/>
        <n v="2854.2"/>
        <n v="6261.4"/>
        <n v="4096.1000000000004"/>
        <n v="3301.2"/>
        <n v="5293.7"/>
        <n v="4146.3"/>
        <n v="4965.2"/>
        <n v="3931.2"/>
        <n v="4772.3"/>
        <n v="4403.8"/>
        <n v="5036.8"/>
        <n v="5222.2"/>
        <n v="4591.2"/>
        <n v="3519"/>
        <n v="4372.3999999999996"/>
        <n v="4110.6000000000004"/>
        <n v="5589.3"/>
        <n v="3863.3"/>
        <n v="3915.8"/>
        <n v="3721.2"/>
        <n v="4069"/>
        <n v="5100.8"/>
        <n v="1791.5"/>
        <n v="2289.6"/>
        <n v="4060.3"/>
        <n v="2962.8"/>
        <n v="3178.8"/>
        <n v="3262.8"/>
        <n v="3267.4"/>
        <n v="3809.5"/>
        <n v="6009.9"/>
        <n v="3699.2"/>
        <n v="3652.2"/>
        <n v="3664.1"/>
        <n v="5471.4"/>
        <n v="3478.8"/>
        <n v="2357.6999999999998"/>
        <n v="3087"/>
        <n v="3847.1"/>
        <n v="3458"/>
        <n v="6854.2"/>
        <n v="3085.7"/>
        <n v="5977.7"/>
        <n v="3729.7"/>
        <n v="4809.3"/>
        <n v="4824.6000000000004"/>
        <n v="3331.1"/>
        <n v="4317.1000000000004"/>
        <n v="3472.9"/>
        <n v="4200.5"/>
        <n v="3580.1"/>
        <n v="3148.9"/>
        <n v="3843.8"/>
        <n v="3662.2"/>
        <n v="3456.5"/>
        <n v="2282.6999999999998"/>
        <n v="7540.8"/>
        <n v="3511.8"/>
        <n v="3019.5"/>
        <n v="2774.2"/>
        <n v="3586.7"/>
        <n v="3574.5"/>
        <n v="3097.7"/>
        <n v="6679.1"/>
        <n v="4275.6000000000004"/>
        <n v="3993.4"/>
        <n v="3549.3"/>
        <n v="4565.8999999999996"/>
        <n v="2230.3000000000002"/>
        <n v="3880"/>
        <n v="3036.8"/>
        <n v="6145.4"/>
        <n v="3147.1"/>
        <n v="3143.8"/>
        <n v="1833.7"/>
        <n v="2652.4"/>
        <n v="3892.9"/>
        <n v="2968.6"/>
        <n v="4779.7"/>
        <n v="2526.3000000000002"/>
        <n v="6135.6"/>
        <n v="4945.5"/>
        <n v="3932.9"/>
        <n v="6654.3"/>
        <n v="3276.3"/>
        <n v="4404.8"/>
        <n v="4374.2"/>
        <n v="5010.3999999999996"/>
        <n v="4000"/>
        <n v="2523.1999999999998"/>
        <n v="3510.1"/>
        <n v="4203.3"/>
        <n v="5120"/>
        <n v="3480.8"/>
        <n v="3661.5"/>
        <n v="2017.3"/>
        <n v="3512.2"/>
        <n v="6475.4"/>
        <n v="2482.5"/>
        <n v="4494.8"/>
        <n v="3523.4"/>
        <n v="3152"/>
        <n v="4327.3"/>
        <n v="3296.3"/>
        <n v="5446.1"/>
        <n v="3029.2"/>
        <n v="3594.2"/>
        <n v="3153.8"/>
        <n v="3304.1"/>
        <n v="4026.1"/>
        <n v="2722.6"/>
        <n v="3483.3"/>
        <n v="3730.4"/>
        <n v="3918.9"/>
        <n v="5069"/>
        <n v="3951.8"/>
        <n v="2584"/>
        <n v="3653.3"/>
        <n v="2563.8000000000002"/>
        <n v="2728"/>
        <n v="7302.1"/>
        <n v="4561.3"/>
        <n v="4198.5"/>
        <n v="3911.9"/>
        <n v="4832.3"/>
        <n v="1960.1"/>
        <n v="3836.2"/>
        <n v="3597.2"/>
        <n v="3406.9"/>
        <n v="4527.3"/>
        <n v="4624.3999999999996"/>
        <n v="3976.3"/>
        <n v="3253.6"/>
        <n v="3760.2"/>
        <n v="3466.7"/>
        <n v="5979.9"/>
        <n v="3294.8"/>
        <n v="4537.2"/>
        <n v="4080"/>
        <n v="5263.8"/>
        <n v="2585"/>
        <n v="2611.1"/>
        <n v="4311"/>
        <n v="4394.8999999999996"/>
        <n v="3281.1"/>
        <n v="5596.6"/>
        <n v="3213.2"/>
        <n v="4061.9"/>
        <n v="2730.5"/>
        <n v="4878.8"/>
        <n v="3320.3"/>
        <n v="5232.2"/>
        <n v="3857.6"/>
        <n v="5478.7"/>
        <n v="4623.3"/>
        <n v="7982.5"/>
        <n v="4210.5"/>
        <n v="4740"/>
        <n v="3922"/>
        <n v="4847"/>
        <n v="2551.1"/>
        <n v="3272.3"/>
        <n v="6002.4"/>
        <n v="3400"/>
        <n v="3163.3"/>
        <n v="4576.3"/>
        <n v="2106.1999999999998"/>
        <n v="2962.5"/>
        <n v="3948.3"/>
        <n v="3965.3"/>
        <n v="3338.9"/>
        <n v="3303.6"/>
        <n v="2883.3"/>
        <n v="4011.5"/>
        <n v="3241.1"/>
        <n v="6023.8"/>
        <n v="3211.1"/>
        <n v="3290.9"/>
        <n v="2646.4"/>
        <n v="3775.5"/>
        <n v="6037.9"/>
        <n v="3367.3"/>
        <n v="3530.3"/>
        <n v="2448.6999999999998"/>
        <n v="5242.3"/>
        <n v="3303.7"/>
        <n v="6187.7"/>
        <n v="2704.5"/>
        <n v="4131.6000000000004"/>
        <n v="2986"/>
        <n v="4690.8999999999996"/>
        <n v="5053.8999999999996"/>
        <n v="2321.6999999999998"/>
        <n v="3924.4"/>
        <n v="4393.5"/>
        <n v="4105.3"/>
        <n v="4951.1000000000004"/>
        <n v="2831.5"/>
        <n v="6454"/>
        <n v="3047.6"/>
        <n v="4495.6000000000004"/>
        <n v="5426.5"/>
        <n v="3186.9"/>
        <n v="4582.3"/>
        <n v="3342.7"/>
        <n v="4177.2"/>
        <n v="6328.4"/>
        <n v="3530.9"/>
        <n v="6868.9"/>
        <n v="4594.3999999999996"/>
        <n v="4979.7"/>
        <n v="4044.7"/>
        <n v="4133.3"/>
        <n v="3097.3"/>
        <n v="4063.9"/>
        <n v="4067.9"/>
        <n v="4892.5"/>
        <n v="3564.3"/>
        <n v="2433"/>
        <n v="2787.6"/>
        <n v="3297.9"/>
        <n v="3701.6"/>
        <n v="5856.7"/>
        <n v="2762.9"/>
        <n v="5035.8999999999996"/>
        <n v="3376.9"/>
        <n v="3985.2"/>
        <n v="4702.3"/>
        <n v="3458.3"/>
        <n v="2582.9"/>
        <n v="2562.5"/>
        <n v="3761.9"/>
        <n v="3071.9"/>
        <n v="3114.8"/>
        <n v="3073.6"/>
        <n v="4147.6000000000004"/>
        <n v="2606.9"/>
        <n v="4512.3999999999996"/>
        <n v="2387.9"/>
        <n v="3992.8"/>
        <n v="1957.9"/>
        <n v="3581"/>
        <n v="4247.3999999999996"/>
        <n v="3721.9"/>
        <n v="5016"/>
        <n v="2494.6"/>
        <n v="4636.3999999999996"/>
        <n v="2857.1"/>
        <n v="3104.8"/>
        <n v="3720"/>
        <n v="3590.6"/>
        <n v="3016.1"/>
        <n v="3291.2"/>
        <n v="2856.7"/>
        <n v="5422.3"/>
        <n v="3951.2"/>
        <n v="2522.3000000000002"/>
        <n v="5136.8"/>
        <n v="3326.2"/>
        <n v="2900.8"/>
        <n v="3317.3"/>
        <n v="6817.4"/>
        <n v="4386.6000000000004"/>
        <n v="4160.8999999999996"/>
        <n v="2711.3"/>
        <n v="5174.3"/>
        <n v="3511.1"/>
        <n v="2936.2"/>
        <n v="3707.2"/>
        <n v="3936.2"/>
        <n v="5923.1"/>
        <n v="4470.6000000000004"/>
        <n v="3908.9"/>
        <n v="2851.1"/>
        <n v="4407.5"/>
        <n v="4302.5"/>
        <n v="2478.9"/>
        <n v="3527.8"/>
        <n v="3452.7"/>
        <n v="4244.7"/>
        <n v="3375"/>
        <n v="5075.8999999999996"/>
        <n v="4756.3"/>
        <n v="3845.6"/>
        <n v="4900.7"/>
        <n v="3455.9"/>
        <n v="2469.9"/>
        <n v="5545.3"/>
        <n v="4888"/>
        <n v="4500"/>
        <n v="2566.6999999999998"/>
        <n v="3275"/>
        <n v="4323.7"/>
        <n v="6895"/>
        <n v="2823.1"/>
        <n v="4133.8"/>
        <n v="3091.5"/>
        <n v="4081.1"/>
        <n v="2892.9"/>
        <n v="5368.9"/>
        <n v="3514.2"/>
        <n v="4344.8"/>
        <n v="4569.3999999999996"/>
        <n v="3670.6"/>
        <n v="3594.3"/>
        <n v="4632.1000000000004"/>
        <n v="5148.2"/>
        <n v="2764"/>
        <n v="3530.6"/>
        <n v="2782.6"/>
        <n v="4056.5"/>
        <n v="3767.2"/>
        <n v="5009.3"/>
        <n v="2235.8000000000002"/>
        <n v="6225.8"/>
        <n v="5735.2"/>
        <n v="4523.5"/>
        <n v="3390.9"/>
        <n v="4682.7"/>
        <n v="5400"/>
        <n v="5746"/>
        <n v="2482.8000000000002"/>
        <n v="5750"/>
        <n v="5320.4"/>
        <n v="3804.9"/>
        <n v="3360.6"/>
        <n v="6352.1"/>
        <n v="5135.1000000000004"/>
        <n v="4171.1000000000004"/>
        <n v="3179.1"/>
        <n v="5093.1000000000004"/>
        <n v="4616.7"/>
        <n v="3589"/>
        <n v="4656.7"/>
        <n v="5434"/>
        <n v="5241.6000000000004"/>
        <n v="2711.9"/>
        <n v="3018.7"/>
        <n v="4618.1000000000004"/>
        <n v="3761.1"/>
        <n v="4171.7"/>
        <n v="2777.5"/>
        <n v="2292.8000000000002"/>
        <n v="3785.7"/>
        <n v="4590.6000000000004"/>
        <n v="3327.5"/>
        <n v="3521.1"/>
        <n v="5938.7"/>
        <n v="4113.8"/>
        <n v="2858.2"/>
        <n v="3705.7"/>
        <n v="5243.6"/>
        <n v="3034.5"/>
        <n v="3651.5"/>
        <n v="4578.6000000000004"/>
        <n v="4286.6000000000004"/>
        <n v="4651.8"/>
        <n v="3763"/>
        <n v="4182.1000000000004"/>
        <n v="5333.3"/>
        <n v="4183.7"/>
        <n v="2379.3000000000002"/>
        <n v="4764.3999999999996"/>
        <n v="6830.8"/>
        <n v="6056.3"/>
        <n v="3355.4"/>
        <n v="5171.1000000000004"/>
        <n v="3673.9"/>
        <n v="2496.4"/>
        <n v="4458.2"/>
        <n v="6126"/>
        <n v="3987.7"/>
        <n v="2934.6"/>
        <n v="2550"/>
        <n v="4239.5"/>
        <n v="2626.7"/>
        <n v="5344.9"/>
        <n v="2328.9"/>
        <n v="4688"/>
        <n v="3373.1"/>
        <n v="2335.6"/>
        <n v="4886.1000000000004"/>
        <n v="4673.6000000000004"/>
        <n v="2309.5"/>
        <n v="2993.6"/>
        <n v="2680.9"/>
        <n v="3787"/>
        <n v="3187.1"/>
        <n v="7545.5"/>
        <n v="3184.6"/>
        <n v="3751.6"/>
        <n v="3077.3"/>
        <n v="2594.1999999999998"/>
        <n v="2834.7"/>
        <n v="5327.9"/>
        <n v="4190.7"/>
        <n v="4492.3999999999996"/>
        <n v="8003.6"/>
        <n v="4078.4"/>
        <n v="4416.8999999999996"/>
        <n v="3978.3"/>
        <n v="3480.4"/>
        <n v="4038.3"/>
        <n v="4640.6000000000004"/>
        <n v="4411.2"/>
        <n v="5182.1000000000004"/>
        <n v="5108.6000000000004"/>
        <n v="4468.1000000000004"/>
        <n v="3128.8"/>
        <n v="2641.7"/>
        <n v="1951.4"/>
        <n v="3204.8"/>
        <n v="2877.1"/>
        <n v="2621.6"/>
        <n v="6377.8"/>
        <n v="4699.3"/>
        <n v="4574.5"/>
        <n v="5074.2"/>
        <n v="3567.2"/>
        <n v="3036.2"/>
        <n v="4586.2"/>
        <n v="4511.3999999999996"/>
        <n v="4219.8999999999996"/>
        <n v="6884"/>
        <n v="7028.7"/>
        <n v="4368.1000000000004"/>
        <n v="4216.5"/>
        <n v="3552.3"/>
        <n v="4899.2"/>
        <n v="2694.4"/>
        <n v="6302.5"/>
        <n v="1767.5"/>
        <n v="3783.3"/>
        <n v="5174.6000000000004"/>
        <n v="5328.4"/>
        <n v="4463"/>
        <n v="6393.6"/>
        <n v="2231.9"/>
        <n v="3320.5"/>
        <n v="2842.9"/>
        <n v="3711.5"/>
        <n v="3534.9"/>
        <n v="7378.8"/>
        <n v="4068.8"/>
        <n v="2515.6"/>
        <n v="3125.8"/>
        <n v="2207.1"/>
        <n v="3747.7"/>
        <n v="3100.6"/>
        <n v="5436.5"/>
        <n v="6806.1"/>
        <n v="4802.8"/>
        <n v="2339.1"/>
        <n v="6675.3"/>
        <n v="3546.7"/>
        <n v="3843.1"/>
        <n v="3059.4"/>
        <n v="6041.8"/>
        <n v="3716.9"/>
        <n v="2506.1"/>
        <n v="4144.8999999999996"/>
        <n v="3533.3"/>
        <n v="6898.1"/>
        <n v="4779.8999999999996"/>
        <n v="6800.6"/>
        <n v="2812.1"/>
        <n v="5449.1"/>
        <n v="4332.5"/>
        <n v="6366.3"/>
        <n v="2017.4"/>
        <n v="4850.2"/>
        <n v="3207.8"/>
        <n v="3941.7"/>
        <n v="3251.7"/>
        <n v="4219.5"/>
        <n v="3726.4"/>
        <n v="5707.5"/>
        <n v="2877.6"/>
        <n v="4263.2"/>
        <n v="3650.8"/>
        <n v="6037.8"/>
        <n v="2100"/>
        <n v="5226.8"/>
        <n v="4637.8999999999996"/>
        <n v="8066.1"/>
        <n v="4431.3"/>
        <n v="3159.1"/>
        <n v="4082.3"/>
        <n v="3563.5"/>
        <n v="4022"/>
        <n v="2993.4"/>
        <n v="3641.8"/>
        <n v="3486.1"/>
        <n v="5501"/>
        <n v="4806.3999999999996"/>
        <n v="3005.8"/>
        <n v="3847.8"/>
        <n v="4959.3"/>
        <n v="5689.9"/>
        <n v="3083.3"/>
        <n v="5065.2"/>
        <n v="4025.1"/>
        <n v="5706.6"/>
        <n v="2898.1"/>
        <n v="4035.8"/>
        <n v="3069.8"/>
        <n v="5518.4"/>
        <n v="4476.2"/>
        <n v="4511.3"/>
        <n v="2970.8"/>
        <n v="3133.3"/>
        <n v="3704.3"/>
        <n v="3224"/>
        <n v="7266.7"/>
        <n v="3353.3"/>
        <n v="4503.2"/>
        <n v="3237.4"/>
        <n v="2860.6"/>
        <n v="4871.3"/>
        <n v="6229.9"/>
        <n v="4204.3999999999996"/>
        <n v="2568.1"/>
        <n v="3343.4"/>
        <n v="6568.6"/>
        <n v="4185.6000000000004"/>
        <n v="3051.7"/>
        <n v="2632.5"/>
        <n v="3736.5"/>
        <n v="4038.5"/>
        <n v="3391.3"/>
        <n v="4612.8999999999996"/>
        <n v="3451.3"/>
        <n v="2840.9"/>
        <n v="2557.6999999999998"/>
        <n v="4709.2"/>
        <n v="5827.7"/>
        <n v="3450"/>
        <n v="5941.3"/>
        <n v="5290.4"/>
        <n v="3427.4"/>
        <n v="4626.7"/>
        <n v="2315.4"/>
        <n v="4416.3999999999996"/>
        <n v="3625"/>
        <n v="4774.2"/>
        <n v="5514.1"/>
        <n v="3876.8"/>
        <n v="4746.1000000000004"/>
        <n v="5326.6"/>
        <n v="2808.5"/>
        <n v="2412.4"/>
        <n v="5272.7"/>
        <n v="4671.3999999999996"/>
        <n v="4641.8"/>
        <n v="4020.4"/>
        <n v="3105.7"/>
        <n v="3642.9"/>
        <n v="2376.5"/>
        <n v="3588.7"/>
        <n v="3399.5"/>
        <n v="5274"/>
        <n v="2930.7"/>
        <n v="3924.1"/>
        <n v="3255.3"/>
        <n v="2240.5"/>
        <n v="4459.5"/>
        <n v="4016"/>
        <n v="4124.3"/>
        <n v="2520.5"/>
        <n v="3717.7"/>
        <n v="3950"/>
        <n v="6390"/>
        <n v="3596.5"/>
        <n v="3091.6"/>
        <n v="2906"/>
        <n v="3124.4"/>
        <n v="3261.6"/>
        <n v="4616.8999999999996"/>
        <n v="3024.4"/>
        <n v="6012.2"/>
        <n v="4806.3"/>
        <n v="3958.3"/>
        <n v="3215.2"/>
        <n v="6220.9"/>
        <n v="3431.5"/>
        <n v="6223.8"/>
        <n v="4889.6000000000004"/>
        <n v="7300.9"/>
        <n v="2871.6"/>
        <n v="3963"/>
        <n v="3067.4"/>
        <n v="4206.7"/>
        <n v="5155.6000000000004"/>
        <n v="4246.2"/>
        <n v="2411.4"/>
        <n v="3091.7"/>
        <n v="3572.3"/>
        <n v="3593.6"/>
        <n v="5782.8"/>
        <n v="4880.2"/>
        <n v="4189.3"/>
        <n v="3152.2"/>
        <n v="7696.9"/>
        <n v="3553.6"/>
        <n v="5315.2"/>
        <n v="5158.7"/>
        <n v="3429.3"/>
        <n v="4068.6"/>
        <n v="2797.9"/>
        <n v="4193.8"/>
        <n v="4388.8999999999996"/>
        <n v="1879"/>
        <n v="2702.5"/>
        <n v="2278.5"/>
        <n v="4704.7"/>
        <n v="4401.3999999999996"/>
        <n v="4581.1000000000004"/>
        <n v="4612.8"/>
        <n v="2541.9"/>
        <n v="3787.6"/>
        <n v="2492.3000000000002"/>
        <n v="6884.6"/>
        <n v="3509.1"/>
        <n v="6813.6"/>
        <n v="3761.5"/>
        <n v="5195.1000000000004"/>
        <n v="4097.6000000000004"/>
        <n v="5023.8999999999996"/>
        <n v="6021.3"/>
        <n v="6029.7"/>
        <n v="7080.2"/>
        <n v="5585.4"/>
        <n v="2559.1"/>
        <n v="3965.8"/>
        <n v="4954.5"/>
        <n v="3093.3"/>
        <n v="2862.6"/>
        <n v="2665.5"/>
        <n v="2986.9"/>
        <n v="4366.7"/>
        <n v="3889.9"/>
        <n v="4411.5"/>
        <n v="4231.7"/>
        <n v="3037.3"/>
        <n v="3333.3"/>
        <n v="3875"/>
        <n v="3881.3"/>
        <n v="3927.1"/>
        <n v="4647.8"/>
        <n v="5796.2"/>
        <n v="2835.5"/>
        <n v="4489.3999999999996"/>
        <n v="3018.5"/>
        <n v="2921.4"/>
        <n v="5312.9"/>
        <n v="2057.5"/>
        <n v="4007.2"/>
        <n v="3496.2"/>
        <n v="3647.5"/>
        <n v="2896.8"/>
        <n v="4181.3"/>
        <n v="4258.6000000000004"/>
        <n v="4642.3999999999996"/>
        <n v="4485.8999999999996"/>
        <n v="2727.8"/>
        <n v="7402.1"/>
        <n v="2301.3000000000002"/>
        <n v="4955.1000000000004"/>
        <n v="3599.3"/>
        <n v="4116.7"/>
        <n v="5617"/>
        <n v="4045.5"/>
        <n v="3218.5"/>
        <n v="3715.2"/>
        <n v="3987.9"/>
        <n v="6378"/>
        <n v="5966.6"/>
        <n v="3337.4"/>
        <n v="3179.9"/>
        <n v="3134.1"/>
        <n v="4917.3999999999996"/>
        <n v="3115.9"/>
        <n v="5060.5"/>
        <n v="5118"/>
        <n v="4934.3"/>
        <n v="6807.8"/>
        <n v="3482.4"/>
        <n v="4720.3999999999996"/>
        <n v="3813.3"/>
        <n v="3709.8"/>
        <n v="3411.3"/>
        <n v="2518.8000000000002"/>
        <n v="3531.9"/>
        <n v="4192.2"/>
        <n v="4288.8999999999996"/>
        <n v="3921.3"/>
        <n v="3582.6"/>
        <n v="3690.5"/>
        <n v="3833.3"/>
        <n v="2294.1"/>
        <n v="3635.8"/>
        <n v="6022.2"/>
        <n v="3218.3"/>
        <n v="4462"/>
        <n v="4660.8999999999996"/>
        <n v="5905.6"/>
        <n v="4877.2"/>
        <n v="3620.6"/>
        <n v="3442"/>
        <n v="3731"/>
        <n v="2785.3"/>
        <n v="2820.3"/>
        <n v="4694.1000000000004"/>
        <n v="5221.8"/>
        <n v="4274.8"/>
        <n v="5098.3999999999996"/>
        <n v="5286.9"/>
        <n v="3044.2"/>
        <n v="3644.1"/>
        <n v="3885.1"/>
        <n v="4850.7"/>
        <n v="3773.1"/>
        <n v="3237"/>
        <n v="4829.1000000000004"/>
        <n v="7624.1"/>
        <n v="3521.7"/>
        <n v="6281.1"/>
        <n v="7358.8"/>
        <m/>
      </sharedItems>
    </cacheField>
    <cacheField name="building_age_years" numFmtId="0">
      <sharedItems containsString="0" containsBlank="1" containsNumber="1" containsInteger="1" minValue="0" maxValue="20"/>
    </cacheField>
    <cacheField name="furnished" numFmtId="0">
      <sharedItems containsBlank="1" count="4">
        <s v="Unfurnished"/>
        <s v="Furnished"/>
        <s v="Semi-furnished"/>
        <m/>
      </sharedItems>
    </cacheField>
    <cacheField name="days_on_market" numFmtId="0">
      <sharedItems containsString="0" containsBlank="1" containsNumber="1" containsInteger="1" minValue="1" maxValue="180"/>
    </cacheField>
    <cacheField name="district_zone" numFmtId="0">
      <sharedItems containsBlank="1" count="4">
        <s v="North"/>
        <s v="Central"/>
        <s v="East/West"/>
        <m/>
      </sharedItems>
    </cacheField>
  </cacheFields>
  <extLst>
    <ext xmlns:x14="http://schemas.microsoft.com/office/spreadsheetml/2009/9/main" uri="{725AE2AE-9491-48be-B2B4-4EB974FC3084}">
      <x14:pivotCacheDefinition pivotCacheId="125733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n v="1000"/>
    <x v="0"/>
    <x v="0"/>
    <x v="0"/>
    <s v="Q2"/>
    <x v="0"/>
    <n v="3"/>
    <n v="3"/>
    <n v="647000"/>
    <x v="0"/>
    <n v="10"/>
    <x v="0"/>
    <n v="107"/>
    <x v="0"/>
  </r>
  <r>
    <n v="1001"/>
    <x v="1"/>
    <x v="0"/>
    <x v="1"/>
    <s v="Q2"/>
    <x v="1"/>
    <n v="2"/>
    <n v="2"/>
    <n v="439000"/>
    <x v="1"/>
    <n v="3"/>
    <x v="1"/>
    <n v="157"/>
    <x v="1"/>
  </r>
  <r>
    <n v="1002"/>
    <x v="2"/>
    <x v="1"/>
    <x v="0"/>
    <s v="Q3"/>
    <x v="2"/>
    <n v="4"/>
    <n v="4"/>
    <n v="1088000"/>
    <x v="2"/>
    <n v="0"/>
    <x v="1"/>
    <n v="153"/>
    <x v="0"/>
  </r>
  <r>
    <n v="1003"/>
    <x v="3"/>
    <x v="0"/>
    <x v="2"/>
    <s v="Q4"/>
    <x v="3"/>
    <n v="2"/>
    <n v="2"/>
    <n v="330000"/>
    <x v="3"/>
    <n v="2"/>
    <x v="0"/>
    <n v="160"/>
    <x v="2"/>
  </r>
  <r>
    <n v="1004"/>
    <x v="4"/>
    <x v="2"/>
    <x v="2"/>
    <s v="Q1"/>
    <x v="4"/>
    <n v="4"/>
    <n v="4"/>
    <n v="1998000"/>
    <x v="4"/>
    <n v="15"/>
    <x v="0"/>
    <n v="82"/>
    <x v="2"/>
  </r>
  <r>
    <n v="1005"/>
    <x v="4"/>
    <x v="0"/>
    <x v="0"/>
    <s v="Q2"/>
    <x v="5"/>
    <n v="3"/>
    <n v="3"/>
    <n v="551000"/>
    <x v="5"/>
    <n v="10"/>
    <x v="1"/>
    <n v="69"/>
    <x v="2"/>
  </r>
  <r>
    <n v="1006"/>
    <x v="5"/>
    <x v="0"/>
    <x v="0"/>
    <s v="Q1"/>
    <x v="6"/>
    <n v="3"/>
    <n v="3"/>
    <n v="358000"/>
    <x v="6"/>
    <n v="1"/>
    <x v="1"/>
    <n v="170"/>
    <x v="1"/>
  </r>
  <r>
    <n v="1007"/>
    <x v="6"/>
    <x v="0"/>
    <x v="3"/>
    <s v="Q4"/>
    <x v="7"/>
    <n v="4"/>
    <n v="4"/>
    <n v="478000"/>
    <x v="7"/>
    <n v="1"/>
    <x v="0"/>
    <n v="48"/>
    <x v="0"/>
  </r>
  <r>
    <n v="1008"/>
    <x v="7"/>
    <x v="2"/>
    <x v="3"/>
    <s v="Q3"/>
    <x v="8"/>
    <n v="6"/>
    <n v="6"/>
    <n v="1897000"/>
    <x v="8"/>
    <n v="10"/>
    <x v="2"/>
    <n v="28"/>
    <x v="2"/>
  </r>
  <r>
    <n v="1009"/>
    <x v="2"/>
    <x v="1"/>
    <x v="3"/>
    <s v="Q1"/>
    <x v="9"/>
    <n v="5"/>
    <n v="5"/>
    <n v="823000"/>
    <x v="9"/>
    <n v="1"/>
    <x v="0"/>
    <n v="170"/>
    <x v="0"/>
  </r>
  <r>
    <n v="1010"/>
    <x v="0"/>
    <x v="1"/>
    <x v="0"/>
    <s v="Q3"/>
    <x v="10"/>
    <n v="4"/>
    <n v="4"/>
    <n v="1011000"/>
    <x v="10"/>
    <n v="3"/>
    <x v="2"/>
    <n v="158"/>
    <x v="0"/>
  </r>
  <r>
    <n v="1011"/>
    <x v="8"/>
    <x v="3"/>
    <x v="1"/>
    <s v="Q1"/>
    <x v="11"/>
    <n v="4"/>
    <n v="4"/>
    <n v="939000"/>
    <x v="11"/>
    <n v="10"/>
    <x v="0"/>
    <n v="141"/>
    <x v="0"/>
  </r>
  <r>
    <n v="1012"/>
    <x v="9"/>
    <x v="4"/>
    <x v="0"/>
    <s v="Q4"/>
    <x v="12"/>
    <n v="0"/>
    <n v="1"/>
    <n v="381000"/>
    <x v="12"/>
    <n v="1"/>
    <x v="1"/>
    <n v="103"/>
    <x v="2"/>
  </r>
  <r>
    <n v="1013"/>
    <x v="10"/>
    <x v="0"/>
    <x v="3"/>
    <s v="Q1"/>
    <x v="3"/>
    <n v="3"/>
    <n v="3"/>
    <n v="586000"/>
    <x v="13"/>
    <n v="1"/>
    <x v="0"/>
    <n v="110"/>
    <x v="1"/>
  </r>
  <r>
    <n v="1014"/>
    <x v="11"/>
    <x v="3"/>
    <x v="1"/>
    <s v="Q3"/>
    <x v="13"/>
    <n v="5"/>
    <n v="5"/>
    <n v="815000"/>
    <x v="14"/>
    <n v="3"/>
    <x v="1"/>
    <n v="12"/>
    <x v="0"/>
  </r>
  <r>
    <n v="1015"/>
    <x v="12"/>
    <x v="2"/>
    <x v="1"/>
    <s v="Q2"/>
    <x v="14"/>
    <n v="4"/>
    <n v="4"/>
    <n v="2803000"/>
    <x v="15"/>
    <n v="0"/>
    <x v="1"/>
    <n v="60"/>
    <x v="1"/>
  </r>
  <r>
    <n v="1016"/>
    <x v="9"/>
    <x v="0"/>
    <x v="3"/>
    <s v="Q2"/>
    <x v="15"/>
    <n v="3"/>
    <n v="3"/>
    <n v="601000"/>
    <x v="16"/>
    <n v="10"/>
    <x v="1"/>
    <n v="18"/>
    <x v="2"/>
  </r>
  <r>
    <n v="1017"/>
    <x v="13"/>
    <x v="0"/>
    <x v="3"/>
    <s v="Q4"/>
    <x v="16"/>
    <n v="2"/>
    <n v="2"/>
    <n v="668000"/>
    <x v="17"/>
    <n v="10"/>
    <x v="2"/>
    <n v="20"/>
    <x v="1"/>
  </r>
  <r>
    <n v="1018"/>
    <x v="11"/>
    <x v="0"/>
    <x v="3"/>
    <s v="Q2"/>
    <x v="17"/>
    <n v="4"/>
    <n v="4"/>
    <n v="506000"/>
    <x v="18"/>
    <n v="1"/>
    <x v="2"/>
    <n v="80"/>
    <x v="0"/>
  </r>
  <r>
    <n v="1019"/>
    <x v="5"/>
    <x v="0"/>
    <x v="2"/>
    <s v="Q1"/>
    <x v="18"/>
    <n v="3"/>
    <n v="3"/>
    <n v="296000"/>
    <x v="19"/>
    <n v="4"/>
    <x v="2"/>
    <n v="163"/>
    <x v="1"/>
  </r>
  <r>
    <n v="1020"/>
    <x v="2"/>
    <x v="0"/>
    <x v="3"/>
    <s v="Q3"/>
    <x v="19"/>
    <n v="4"/>
    <n v="4"/>
    <n v="651000"/>
    <x v="20"/>
    <n v="20"/>
    <x v="2"/>
    <n v="101"/>
    <x v="0"/>
  </r>
  <r>
    <n v="1021"/>
    <x v="14"/>
    <x v="0"/>
    <x v="0"/>
    <s v="Q2"/>
    <x v="20"/>
    <n v="2"/>
    <n v="2"/>
    <n v="477000"/>
    <x v="21"/>
    <n v="0"/>
    <x v="0"/>
    <n v="166"/>
    <x v="2"/>
  </r>
  <r>
    <n v="1022"/>
    <x v="9"/>
    <x v="0"/>
    <x v="2"/>
    <s v="Q2"/>
    <x v="21"/>
    <n v="2"/>
    <n v="2"/>
    <n v="419000"/>
    <x v="22"/>
    <n v="0"/>
    <x v="2"/>
    <n v="45"/>
    <x v="2"/>
  </r>
  <r>
    <n v="1023"/>
    <x v="3"/>
    <x v="0"/>
    <x v="2"/>
    <s v="Q4"/>
    <x v="22"/>
    <n v="3"/>
    <n v="3"/>
    <n v="356000"/>
    <x v="23"/>
    <n v="7"/>
    <x v="1"/>
    <n v="72"/>
    <x v="2"/>
  </r>
  <r>
    <n v="1024"/>
    <x v="15"/>
    <x v="2"/>
    <x v="2"/>
    <s v="Q1"/>
    <x v="23"/>
    <n v="4"/>
    <n v="4"/>
    <n v="1872000"/>
    <x v="24"/>
    <n v="1"/>
    <x v="1"/>
    <n v="168"/>
    <x v="0"/>
  </r>
  <r>
    <n v="1025"/>
    <x v="10"/>
    <x v="4"/>
    <x v="0"/>
    <s v="Q3"/>
    <x v="24"/>
    <n v="0"/>
    <n v="1"/>
    <n v="286000"/>
    <x v="25"/>
    <n v="20"/>
    <x v="2"/>
    <n v="96"/>
    <x v="1"/>
  </r>
  <r>
    <n v="1026"/>
    <x v="5"/>
    <x v="0"/>
    <x v="2"/>
    <s v="Q2"/>
    <x v="25"/>
    <n v="3"/>
    <n v="3"/>
    <n v="343000"/>
    <x v="26"/>
    <n v="5"/>
    <x v="1"/>
    <n v="109"/>
    <x v="1"/>
  </r>
  <r>
    <n v="1027"/>
    <x v="6"/>
    <x v="0"/>
    <x v="0"/>
    <s v="Q4"/>
    <x v="16"/>
    <n v="3"/>
    <n v="3"/>
    <n v="386000"/>
    <x v="27"/>
    <n v="3"/>
    <x v="1"/>
    <n v="1"/>
    <x v="0"/>
  </r>
  <r>
    <n v="1028"/>
    <x v="16"/>
    <x v="2"/>
    <x v="0"/>
    <s v="Q2"/>
    <x v="26"/>
    <n v="4"/>
    <n v="4"/>
    <n v="2324000"/>
    <x v="28"/>
    <n v="0"/>
    <x v="2"/>
    <n v="163"/>
    <x v="1"/>
  </r>
  <r>
    <n v="1029"/>
    <x v="5"/>
    <x v="0"/>
    <x v="0"/>
    <s v="Q2"/>
    <x v="27"/>
    <n v="4"/>
    <n v="4"/>
    <n v="513000"/>
    <x v="29"/>
    <n v="2"/>
    <x v="2"/>
    <n v="175"/>
    <x v="1"/>
  </r>
  <r>
    <n v="1030"/>
    <x v="1"/>
    <x v="4"/>
    <x v="1"/>
    <s v="Q2"/>
    <x v="28"/>
    <n v="0"/>
    <n v="1"/>
    <n v="218000"/>
    <x v="30"/>
    <n v="10"/>
    <x v="2"/>
    <n v="43"/>
    <x v="1"/>
  </r>
  <r>
    <n v="1031"/>
    <x v="2"/>
    <x v="3"/>
    <x v="1"/>
    <s v="Q4"/>
    <x v="29"/>
    <n v="4"/>
    <n v="4"/>
    <n v="933000"/>
    <x v="31"/>
    <n v="10"/>
    <x v="2"/>
    <n v="146"/>
    <x v="0"/>
  </r>
  <r>
    <n v="1032"/>
    <x v="8"/>
    <x v="0"/>
    <x v="2"/>
    <s v="Q4"/>
    <x v="30"/>
    <n v="2"/>
    <n v="2"/>
    <n v="360000"/>
    <x v="32"/>
    <n v="10"/>
    <x v="0"/>
    <n v="55"/>
    <x v="0"/>
  </r>
  <r>
    <n v="1033"/>
    <x v="17"/>
    <x v="0"/>
    <x v="1"/>
    <s v="Q4"/>
    <x v="31"/>
    <n v="3"/>
    <n v="3"/>
    <n v="546000"/>
    <x v="33"/>
    <n v="2"/>
    <x v="0"/>
    <n v="123"/>
    <x v="0"/>
  </r>
  <r>
    <n v="1034"/>
    <x v="5"/>
    <x v="0"/>
    <x v="2"/>
    <s v="Q1"/>
    <x v="32"/>
    <n v="3"/>
    <n v="3"/>
    <n v="452000"/>
    <x v="34"/>
    <n v="0"/>
    <x v="0"/>
    <n v="132"/>
    <x v="1"/>
  </r>
  <r>
    <n v="1035"/>
    <x v="6"/>
    <x v="2"/>
    <x v="2"/>
    <s v="Q4"/>
    <x v="33"/>
    <n v="4"/>
    <n v="4"/>
    <n v="1768000"/>
    <x v="35"/>
    <n v="3"/>
    <x v="0"/>
    <n v="146"/>
    <x v="0"/>
  </r>
  <r>
    <n v="1036"/>
    <x v="11"/>
    <x v="0"/>
    <x v="2"/>
    <s v="Q3"/>
    <x v="34"/>
    <n v="3"/>
    <n v="3"/>
    <n v="386000"/>
    <x v="36"/>
    <n v="2"/>
    <x v="0"/>
    <n v="73"/>
    <x v="0"/>
  </r>
  <r>
    <n v="1037"/>
    <x v="15"/>
    <x v="2"/>
    <x v="1"/>
    <s v="Q4"/>
    <x v="35"/>
    <n v="5"/>
    <n v="5"/>
    <n v="1820000"/>
    <x v="37"/>
    <n v="5"/>
    <x v="1"/>
    <n v="52"/>
    <x v="0"/>
  </r>
  <r>
    <n v="1038"/>
    <x v="13"/>
    <x v="1"/>
    <x v="0"/>
    <s v="Q4"/>
    <x v="36"/>
    <n v="5"/>
    <n v="5"/>
    <n v="1360000"/>
    <x v="38"/>
    <n v="4"/>
    <x v="2"/>
    <n v="144"/>
    <x v="1"/>
  </r>
  <r>
    <n v="1039"/>
    <x v="2"/>
    <x v="1"/>
    <x v="0"/>
    <s v="Q3"/>
    <x v="37"/>
    <n v="4"/>
    <n v="4"/>
    <n v="1150000"/>
    <x v="39"/>
    <n v="10"/>
    <x v="1"/>
    <n v="9"/>
    <x v="0"/>
  </r>
  <r>
    <n v="1040"/>
    <x v="14"/>
    <x v="2"/>
    <x v="2"/>
    <s v="Q4"/>
    <x v="38"/>
    <n v="6"/>
    <n v="6"/>
    <n v="2949000"/>
    <x v="40"/>
    <n v="3"/>
    <x v="1"/>
    <n v="124"/>
    <x v="2"/>
  </r>
  <r>
    <n v="1041"/>
    <x v="0"/>
    <x v="1"/>
    <x v="1"/>
    <s v="Q2"/>
    <x v="39"/>
    <n v="3"/>
    <n v="3"/>
    <n v="1460000"/>
    <x v="41"/>
    <n v="3"/>
    <x v="2"/>
    <n v="121"/>
    <x v="0"/>
  </r>
  <r>
    <n v="1042"/>
    <x v="5"/>
    <x v="2"/>
    <x v="3"/>
    <s v="Q4"/>
    <x v="40"/>
    <n v="6"/>
    <n v="6"/>
    <n v="2172000"/>
    <x v="42"/>
    <n v="1"/>
    <x v="1"/>
    <n v="115"/>
    <x v="1"/>
  </r>
  <r>
    <n v="1043"/>
    <x v="9"/>
    <x v="2"/>
    <x v="1"/>
    <s v="Q3"/>
    <x v="41"/>
    <n v="5"/>
    <n v="5"/>
    <n v="2263000"/>
    <x v="43"/>
    <n v="2"/>
    <x v="0"/>
    <n v="98"/>
    <x v="2"/>
  </r>
  <r>
    <n v="1044"/>
    <x v="16"/>
    <x v="0"/>
    <x v="3"/>
    <s v="Q2"/>
    <x v="42"/>
    <n v="3"/>
    <n v="3"/>
    <n v="633000"/>
    <x v="44"/>
    <n v="2"/>
    <x v="0"/>
    <n v="12"/>
    <x v="1"/>
  </r>
  <r>
    <n v="1045"/>
    <x v="13"/>
    <x v="0"/>
    <x v="2"/>
    <s v="Q4"/>
    <x v="43"/>
    <n v="4"/>
    <n v="4"/>
    <n v="759000"/>
    <x v="45"/>
    <n v="10"/>
    <x v="2"/>
    <n v="172"/>
    <x v="1"/>
  </r>
  <r>
    <n v="1046"/>
    <x v="13"/>
    <x v="2"/>
    <x v="1"/>
    <s v="Q4"/>
    <x v="44"/>
    <n v="6"/>
    <n v="6"/>
    <n v="2720000"/>
    <x v="46"/>
    <n v="0"/>
    <x v="0"/>
    <n v="123"/>
    <x v="1"/>
  </r>
  <r>
    <n v="1047"/>
    <x v="18"/>
    <x v="1"/>
    <x v="3"/>
    <s v="Q2"/>
    <x v="45"/>
    <n v="5"/>
    <n v="5"/>
    <n v="1038000"/>
    <x v="47"/>
    <n v="7"/>
    <x v="1"/>
    <n v="84"/>
    <x v="1"/>
  </r>
  <r>
    <n v="1048"/>
    <x v="1"/>
    <x v="0"/>
    <x v="0"/>
    <s v="Q2"/>
    <x v="3"/>
    <n v="4"/>
    <n v="4"/>
    <n v="452000"/>
    <x v="48"/>
    <n v="2"/>
    <x v="2"/>
    <n v="76"/>
    <x v="1"/>
  </r>
  <r>
    <n v="1049"/>
    <x v="10"/>
    <x v="2"/>
    <x v="2"/>
    <s v="Q3"/>
    <x v="40"/>
    <n v="4"/>
    <n v="4"/>
    <n v="2429000"/>
    <x v="49"/>
    <n v="20"/>
    <x v="1"/>
    <n v="4"/>
    <x v="1"/>
  </r>
  <r>
    <n v="1050"/>
    <x v="16"/>
    <x v="0"/>
    <x v="3"/>
    <s v="Q1"/>
    <x v="46"/>
    <n v="3"/>
    <n v="3"/>
    <n v="567000"/>
    <x v="50"/>
    <n v="1"/>
    <x v="0"/>
    <n v="135"/>
    <x v="1"/>
  </r>
  <r>
    <n v="1051"/>
    <x v="0"/>
    <x v="1"/>
    <x v="1"/>
    <s v="Q3"/>
    <x v="47"/>
    <n v="3"/>
    <n v="3"/>
    <n v="1128000"/>
    <x v="51"/>
    <n v="7"/>
    <x v="2"/>
    <n v="72"/>
    <x v="0"/>
  </r>
  <r>
    <n v="1052"/>
    <x v="11"/>
    <x v="0"/>
    <x v="1"/>
    <s v="Q1"/>
    <x v="48"/>
    <n v="3"/>
    <n v="3"/>
    <n v="592000"/>
    <x v="52"/>
    <n v="4"/>
    <x v="0"/>
    <n v="13"/>
    <x v="0"/>
  </r>
  <r>
    <n v="1053"/>
    <x v="6"/>
    <x v="0"/>
    <x v="3"/>
    <s v="Q4"/>
    <x v="49"/>
    <n v="2"/>
    <n v="2"/>
    <n v="460000"/>
    <x v="53"/>
    <n v="15"/>
    <x v="0"/>
    <n v="28"/>
    <x v="0"/>
  </r>
  <r>
    <n v="1054"/>
    <x v="2"/>
    <x v="1"/>
    <x v="0"/>
    <s v="Q4"/>
    <x v="50"/>
    <n v="5"/>
    <n v="5"/>
    <n v="1306000"/>
    <x v="54"/>
    <n v="15"/>
    <x v="2"/>
    <n v="16"/>
    <x v="0"/>
  </r>
  <r>
    <n v="1055"/>
    <x v="19"/>
    <x v="0"/>
    <x v="3"/>
    <s v="Q4"/>
    <x v="51"/>
    <n v="3"/>
    <n v="3"/>
    <n v="611000"/>
    <x v="55"/>
    <n v="1"/>
    <x v="1"/>
    <n v="144"/>
    <x v="2"/>
  </r>
  <r>
    <n v="1056"/>
    <x v="6"/>
    <x v="0"/>
    <x v="0"/>
    <s v="Q1"/>
    <x v="52"/>
    <n v="3"/>
    <n v="3"/>
    <n v="350000"/>
    <x v="56"/>
    <n v="3"/>
    <x v="0"/>
    <n v="44"/>
    <x v="0"/>
  </r>
  <r>
    <n v="1057"/>
    <x v="14"/>
    <x v="2"/>
    <x v="3"/>
    <s v="Q4"/>
    <x v="53"/>
    <n v="5"/>
    <n v="5"/>
    <n v="2765000"/>
    <x v="57"/>
    <n v="3"/>
    <x v="1"/>
    <n v="120"/>
    <x v="2"/>
  </r>
  <r>
    <n v="1058"/>
    <x v="4"/>
    <x v="2"/>
    <x v="0"/>
    <s v="Q4"/>
    <x v="54"/>
    <n v="6"/>
    <n v="6"/>
    <n v="1897000"/>
    <x v="58"/>
    <n v="2"/>
    <x v="1"/>
    <n v="130"/>
    <x v="2"/>
  </r>
  <r>
    <n v="1059"/>
    <x v="6"/>
    <x v="0"/>
    <x v="1"/>
    <s v="Q2"/>
    <x v="55"/>
    <n v="3"/>
    <n v="3"/>
    <n v="417000"/>
    <x v="59"/>
    <n v="5"/>
    <x v="2"/>
    <n v="108"/>
    <x v="0"/>
  </r>
  <r>
    <n v="1060"/>
    <x v="0"/>
    <x v="4"/>
    <x v="0"/>
    <s v="Q2"/>
    <x v="56"/>
    <n v="0"/>
    <n v="1"/>
    <n v="198000"/>
    <x v="60"/>
    <n v="7"/>
    <x v="1"/>
    <n v="9"/>
    <x v="0"/>
  </r>
  <r>
    <n v="1061"/>
    <x v="1"/>
    <x v="2"/>
    <x v="1"/>
    <s v="Q4"/>
    <x v="57"/>
    <n v="5"/>
    <n v="5"/>
    <n v="1753000"/>
    <x v="61"/>
    <n v="4"/>
    <x v="0"/>
    <n v="174"/>
    <x v="1"/>
  </r>
  <r>
    <n v="1062"/>
    <x v="8"/>
    <x v="3"/>
    <x v="3"/>
    <s v="Q1"/>
    <x v="58"/>
    <n v="3"/>
    <n v="3"/>
    <n v="1018000"/>
    <x v="62"/>
    <n v="5"/>
    <x v="0"/>
    <n v="28"/>
    <x v="0"/>
  </r>
  <r>
    <n v="1063"/>
    <x v="7"/>
    <x v="3"/>
    <x v="2"/>
    <s v="Q2"/>
    <x v="59"/>
    <n v="5"/>
    <n v="5"/>
    <n v="688000"/>
    <x v="63"/>
    <n v="3"/>
    <x v="2"/>
    <n v="54"/>
    <x v="2"/>
  </r>
  <r>
    <n v="1064"/>
    <x v="7"/>
    <x v="3"/>
    <x v="0"/>
    <s v="Q1"/>
    <x v="60"/>
    <n v="4"/>
    <n v="4"/>
    <n v="818000"/>
    <x v="64"/>
    <n v="7"/>
    <x v="1"/>
    <n v="32"/>
    <x v="2"/>
  </r>
  <r>
    <n v="1065"/>
    <x v="10"/>
    <x v="0"/>
    <x v="3"/>
    <s v="Q4"/>
    <x v="61"/>
    <n v="4"/>
    <n v="4"/>
    <n v="582000"/>
    <x v="65"/>
    <n v="2"/>
    <x v="1"/>
    <n v="155"/>
    <x v="1"/>
  </r>
  <r>
    <n v="1066"/>
    <x v="10"/>
    <x v="1"/>
    <x v="0"/>
    <s v="Q2"/>
    <x v="9"/>
    <n v="3"/>
    <n v="3"/>
    <n v="832000"/>
    <x v="66"/>
    <n v="0"/>
    <x v="1"/>
    <n v="26"/>
    <x v="1"/>
  </r>
  <r>
    <n v="1067"/>
    <x v="1"/>
    <x v="0"/>
    <x v="0"/>
    <s v="Q3"/>
    <x v="42"/>
    <n v="4"/>
    <n v="4"/>
    <n v="443000"/>
    <x v="67"/>
    <n v="2"/>
    <x v="0"/>
    <n v="50"/>
    <x v="1"/>
  </r>
  <r>
    <n v="1068"/>
    <x v="5"/>
    <x v="2"/>
    <x v="2"/>
    <s v="Q1"/>
    <x v="62"/>
    <n v="5"/>
    <n v="5"/>
    <n v="1477000"/>
    <x v="68"/>
    <n v="0"/>
    <x v="2"/>
    <n v="151"/>
    <x v="1"/>
  </r>
  <r>
    <n v="1069"/>
    <x v="7"/>
    <x v="2"/>
    <x v="2"/>
    <s v="Q3"/>
    <x v="63"/>
    <n v="6"/>
    <n v="6"/>
    <n v="2097000"/>
    <x v="69"/>
    <n v="7"/>
    <x v="2"/>
    <n v="33"/>
    <x v="2"/>
  </r>
  <r>
    <n v="1070"/>
    <x v="7"/>
    <x v="2"/>
    <x v="3"/>
    <s v="Q1"/>
    <x v="64"/>
    <n v="6"/>
    <n v="6"/>
    <n v="1669000"/>
    <x v="70"/>
    <n v="2"/>
    <x v="1"/>
    <n v="29"/>
    <x v="2"/>
  </r>
  <r>
    <n v="1071"/>
    <x v="13"/>
    <x v="1"/>
    <x v="0"/>
    <s v="Q4"/>
    <x v="65"/>
    <n v="5"/>
    <n v="5"/>
    <n v="1613000"/>
    <x v="71"/>
    <n v="1"/>
    <x v="1"/>
    <n v="140"/>
    <x v="1"/>
  </r>
  <r>
    <n v="1072"/>
    <x v="9"/>
    <x v="4"/>
    <x v="2"/>
    <s v="Q4"/>
    <x v="66"/>
    <n v="0"/>
    <n v="1"/>
    <n v="309000"/>
    <x v="72"/>
    <n v="2"/>
    <x v="2"/>
    <n v="113"/>
    <x v="2"/>
  </r>
  <r>
    <n v="1073"/>
    <x v="1"/>
    <x v="0"/>
    <x v="1"/>
    <s v="Q3"/>
    <x v="5"/>
    <n v="4"/>
    <n v="4"/>
    <n v="534000"/>
    <x v="73"/>
    <n v="20"/>
    <x v="0"/>
    <n v="44"/>
    <x v="1"/>
  </r>
  <r>
    <n v="1074"/>
    <x v="2"/>
    <x v="0"/>
    <x v="2"/>
    <s v="Q4"/>
    <x v="67"/>
    <n v="2"/>
    <n v="2"/>
    <n v="609000"/>
    <x v="74"/>
    <n v="20"/>
    <x v="0"/>
    <n v="28"/>
    <x v="0"/>
  </r>
  <r>
    <n v="1075"/>
    <x v="15"/>
    <x v="2"/>
    <x v="0"/>
    <s v="Q4"/>
    <x v="68"/>
    <n v="5"/>
    <n v="5"/>
    <n v="1517000"/>
    <x v="75"/>
    <n v="5"/>
    <x v="0"/>
    <n v="166"/>
    <x v="0"/>
  </r>
  <r>
    <n v="1076"/>
    <x v="9"/>
    <x v="1"/>
    <x v="1"/>
    <s v="Q1"/>
    <x v="69"/>
    <n v="5"/>
    <n v="5"/>
    <n v="1000000"/>
    <x v="76"/>
    <n v="1"/>
    <x v="1"/>
    <n v="131"/>
    <x v="2"/>
  </r>
  <r>
    <n v="1077"/>
    <x v="7"/>
    <x v="2"/>
    <x v="3"/>
    <s v="Q2"/>
    <x v="70"/>
    <n v="5"/>
    <n v="5"/>
    <n v="1662000"/>
    <x v="77"/>
    <n v="5"/>
    <x v="0"/>
    <n v="82"/>
    <x v="2"/>
  </r>
  <r>
    <n v="1078"/>
    <x v="6"/>
    <x v="4"/>
    <x v="1"/>
    <s v="Q4"/>
    <x v="71"/>
    <n v="0"/>
    <n v="1"/>
    <n v="143000"/>
    <x v="78"/>
    <n v="10"/>
    <x v="0"/>
    <n v="147"/>
    <x v="0"/>
  </r>
  <r>
    <n v="1079"/>
    <x v="18"/>
    <x v="3"/>
    <x v="1"/>
    <s v="Q4"/>
    <x v="72"/>
    <n v="3"/>
    <n v="3"/>
    <n v="751000"/>
    <x v="79"/>
    <n v="15"/>
    <x v="0"/>
    <n v="95"/>
    <x v="1"/>
  </r>
  <r>
    <n v="1080"/>
    <x v="19"/>
    <x v="0"/>
    <x v="1"/>
    <s v="Q4"/>
    <x v="73"/>
    <n v="3"/>
    <n v="3"/>
    <n v="360000"/>
    <x v="80"/>
    <n v="2"/>
    <x v="0"/>
    <n v="117"/>
    <x v="2"/>
  </r>
  <r>
    <n v="1081"/>
    <x v="6"/>
    <x v="4"/>
    <x v="3"/>
    <s v="Q3"/>
    <x v="12"/>
    <n v="0"/>
    <n v="1"/>
    <n v="272000"/>
    <x v="81"/>
    <n v="7"/>
    <x v="2"/>
    <n v="180"/>
    <x v="0"/>
  </r>
  <r>
    <n v="1082"/>
    <x v="10"/>
    <x v="2"/>
    <x v="2"/>
    <s v="Q1"/>
    <x v="74"/>
    <n v="5"/>
    <n v="5"/>
    <n v="1982000"/>
    <x v="82"/>
    <n v="0"/>
    <x v="2"/>
    <n v="53"/>
    <x v="1"/>
  </r>
  <r>
    <n v="1083"/>
    <x v="4"/>
    <x v="2"/>
    <x v="1"/>
    <s v="Q4"/>
    <x v="53"/>
    <n v="5"/>
    <n v="5"/>
    <n v="1789000"/>
    <x v="83"/>
    <n v="5"/>
    <x v="0"/>
    <n v="123"/>
    <x v="2"/>
  </r>
  <r>
    <n v="1084"/>
    <x v="14"/>
    <x v="4"/>
    <x v="1"/>
    <s v="Q2"/>
    <x v="75"/>
    <n v="0"/>
    <n v="1"/>
    <n v="355000"/>
    <x v="84"/>
    <n v="7"/>
    <x v="2"/>
    <n v="84"/>
    <x v="2"/>
  </r>
  <r>
    <n v="1085"/>
    <x v="15"/>
    <x v="1"/>
    <x v="1"/>
    <s v="Q1"/>
    <x v="76"/>
    <n v="4"/>
    <n v="4"/>
    <n v="766000"/>
    <x v="85"/>
    <n v="20"/>
    <x v="0"/>
    <n v="83"/>
    <x v="0"/>
  </r>
  <r>
    <n v="1086"/>
    <x v="15"/>
    <x v="0"/>
    <x v="3"/>
    <s v="Q4"/>
    <x v="77"/>
    <n v="2"/>
    <n v="2"/>
    <n v="309000"/>
    <x v="86"/>
    <n v="2"/>
    <x v="1"/>
    <n v="126"/>
    <x v="0"/>
  </r>
  <r>
    <n v="1087"/>
    <x v="12"/>
    <x v="3"/>
    <x v="3"/>
    <s v="Q3"/>
    <x v="78"/>
    <n v="4"/>
    <n v="4"/>
    <n v="1538000"/>
    <x v="87"/>
    <n v="10"/>
    <x v="1"/>
    <n v="145"/>
    <x v="1"/>
  </r>
  <r>
    <n v="1088"/>
    <x v="17"/>
    <x v="2"/>
    <x v="0"/>
    <s v="Q2"/>
    <x v="79"/>
    <n v="5"/>
    <n v="5"/>
    <n v="2258000"/>
    <x v="88"/>
    <n v="0"/>
    <x v="0"/>
    <n v="24"/>
    <x v="0"/>
  </r>
  <r>
    <n v="1089"/>
    <x v="15"/>
    <x v="0"/>
    <x v="3"/>
    <s v="Q2"/>
    <x v="5"/>
    <n v="3"/>
    <n v="3"/>
    <n v="559000"/>
    <x v="89"/>
    <n v="4"/>
    <x v="1"/>
    <n v="30"/>
    <x v="0"/>
  </r>
  <r>
    <n v="1090"/>
    <x v="14"/>
    <x v="3"/>
    <x v="0"/>
    <s v="Q3"/>
    <x v="80"/>
    <n v="3"/>
    <n v="3"/>
    <n v="1371000"/>
    <x v="90"/>
    <n v="10"/>
    <x v="1"/>
    <n v="122"/>
    <x v="2"/>
  </r>
  <r>
    <n v="1091"/>
    <x v="18"/>
    <x v="3"/>
    <x v="0"/>
    <s v="Q1"/>
    <x v="41"/>
    <n v="5"/>
    <n v="5"/>
    <n v="932000"/>
    <x v="91"/>
    <n v="0"/>
    <x v="0"/>
    <n v="135"/>
    <x v="1"/>
  </r>
  <r>
    <n v="1092"/>
    <x v="8"/>
    <x v="2"/>
    <x v="0"/>
    <s v="Q1"/>
    <x v="81"/>
    <n v="4"/>
    <n v="4"/>
    <n v="1927000"/>
    <x v="92"/>
    <n v="15"/>
    <x v="0"/>
    <n v="165"/>
    <x v="0"/>
  </r>
  <r>
    <n v="1093"/>
    <x v="17"/>
    <x v="2"/>
    <x v="3"/>
    <s v="Q3"/>
    <x v="8"/>
    <n v="5"/>
    <n v="5"/>
    <n v="2602000"/>
    <x v="93"/>
    <n v="20"/>
    <x v="0"/>
    <n v="89"/>
    <x v="0"/>
  </r>
  <r>
    <n v="1094"/>
    <x v="0"/>
    <x v="0"/>
    <x v="1"/>
    <s v="Q4"/>
    <x v="82"/>
    <n v="4"/>
    <n v="4"/>
    <n v="510000"/>
    <x v="94"/>
    <n v="10"/>
    <x v="1"/>
    <n v="75"/>
    <x v="0"/>
  </r>
  <r>
    <n v="1095"/>
    <x v="0"/>
    <x v="4"/>
    <x v="3"/>
    <s v="Q3"/>
    <x v="83"/>
    <n v="0"/>
    <n v="1"/>
    <n v="247000"/>
    <x v="95"/>
    <n v="3"/>
    <x v="1"/>
    <n v="66"/>
    <x v="0"/>
  </r>
  <r>
    <n v="1096"/>
    <x v="4"/>
    <x v="2"/>
    <x v="0"/>
    <s v="Q1"/>
    <x v="84"/>
    <n v="5"/>
    <n v="5"/>
    <n v="2703000"/>
    <x v="96"/>
    <n v="20"/>
    <x v="2"/>
    <n v="17"/>
    <x v="2"/>
  </r>
  <r>
    <n v="1097"/>
    <x v="11"/>
    <x v="2"/>
    <x v="2"/>
    <s v="Q1"/>
    <x v="85"/>
    <n v="5"/>
    <n v="5"/>
    <n v="2025000"/>
    <x v="97"/>
    <n v="1"/>
    <x v="2"/>
    <n v="100"/>
    <x v="0"/>
  </r>
  <r>
    <n v="1098"/>
    <x v="7"/>
    <x v="0"/>
    <x v="1"/>
    <s v="Q3"/>
    <x v="86"/>
    <n v="3"/>
    <n v="3"/>
    <n v="282000"/>
    <x v="98"/>
    <n v="20"/>
    <x v="0"/>
    <n v="144"/>
    <x v="2"/>
  </r>
  <r>
    <n v="1099"/>
    <x v="0"/>
    <x v="1"/>
    <x v="2"/>
    <s v="Q2"/>
    <x v="87"/>
    <n v="4"/>
    <n v="4"/>
    <n v="1294000"/>
    <x v="99"/>
    <n v="2"/>
    <x v="1"/>
    <n v="10"/>
    <x v="0"/>
  </r>
  <r>
    <n v="1100"/>
    <x v="13"/>
    <x v="2"/>
    <x v="2"/>
    <s v="Q4"/>
    <x v="88"/>
    <n v="4"/>
    <n v="4"/>
    <n v="3097000"/>
    <x v="100"/>
    <n v="4"/>
    <x v="2"/>
    <n v="8"/>
    <x v="1"/>
  </r>
  <r>
    <n v="1101"/>
    <x v="9"/>
    <x v="0"/>
    <x v="2"/>
    <s v="Q1"/>
    <x v="89"/>
    <n v="4"/>
    <n v="4"/>
    <n v="588000"/>
    <x v="101"/>
    <n v="0"/>
    <x v="0"/>
    <n v="80"/>
    <x v="2"/>
  </r>
  <r>
    <n v="1102"/>
    <x v="10"/>
    <x v="0"/>
    <x v="1"/>
    <s v="Q1"/>
    <x v="3"/>
    <n v="3"/>
    <n v="3"/>
    <n v="490000"/>
    <x v="102"/>
    <n v="20"/>
    <x v="0"/>
    <n v="82"/>
    <x v="1"/>
  </r>
  <r>
    <n v="1103"/>
    <x v="3"/>
    <x v="2"/>
    <x v="2"/>
    <s v="Q2"/>
    <x v="90"/>
    <n v="5"/>
    <n v="5"/>
    <n v="1186000"/>
    <x v="103"/>
    <n v="2"/>
    <x v="0"/>
    <n v="75"/>
    <x v="2"/>
  </r>
  <r>
    <n v="1104"/>
    <x v="0"/>
    <x v="0"/>
    <x v="0"/>
    <s v="Q3"/>
    <x v="61"/>
    <n v="3"/>
    <n v="3"/>
    <n v="592000"/>
    <x v="104"/>
    <n v="0"/>
    <x v="1"/>
    <n v="78"/>
    <x v="0"/>
  </r>
  <r>
    <n v="1105"/>
    <x v="4"/>
    <x v="4"/>
    <x v="2"/>
    <s v="Q3"/>
    <x v="28"/>
    <n v="0"/>
    <n v="1"/>
    <n v="203000"/>
    <x v="105"/>
    <n v="20"/>
    <x v="0"/>
    <n v="165"/>
    <x v="2"/>
  </r>
  <r>
    <n v="1106"/>
    <x v="1"/>
    <x v="3"/>
    <x v="0"/>
    <s v="Q3"/>
    <x v="91"/>
    <n v="5"/>
    <n v="5"/>
    <n v="908000"/>
    <x v="106"/>
    <n v="4"/>
    <x v="2"/>
    <n v="64"/>
    <x v="1"/>
  </r>
  <r>
    <n v="1107"/>
    <x v="5"/>
    <x v="0"/>
    <x v="0"/>
    <s v="Q2"/>
    <x v="92"/>
    <n v="4"/>
    <n v="4"/>
    <n v="544000"/>
    <x v="107"/>
    <n v="1"/>
    <x v="0"/>
    <n v="56"/>
    <x v="1"/>
  </r>
  <r>
    <n v="1108"/>
    <x v="6"/>
    <x v="0"/>
    <x v="1"/>
    <s v="Q2"/>
    <x v="93"/>
    <n v="4"/>
    <n v="4"/>
    <n v="431000"/>
    <x v="108"/>
    <n v="7"/>
    <x v="1"/>
    <n v="135"/>
    <x v="0"/>
  </r>
  <r>
    <n v="1109"/>
    <x v="11"/>
    <x v="0"/>
    <x v="3"/>
    <s v="Q3"/>
    <x v="94"/>
    <n v="3"/>
    <n v="3"/>
    <n v="415000"/>
    <x v="109"/>
    <n v="2"/>
    <x v="2"/>
    <n v="108"/>
    <x v="0"/>
  </r>
  <r>
    <n v="1110"/>
    <x v="1"/>
    <x v="0"/>
    <x v="2"/>
    <s v="Q1"/>
    <x v="18"/>
    <n v="3"/>
    <n v="3"/>
    <n v="343000"/>
    <x v="110"/>
    <n v="5"/>
    <x v="0"/>
    <n v="39"/>
    <x v="1"/>
  </r>
  <r>
    <n v="1111"/>
    <x v="9"/>
    <x v="0"/>
    <x v="3"/>
    <s v="Q1"/>
    <x v="95"/>
    <n v="3"/>
    <n v="3"/>
    <n v="784000"/>
    <x v="111"/>
    <n v="1"/>
    <x v="2"/>
    <n v="10"/>
    <x v="2"/>
  </r>
  <r>
    <n v="1112"/>
    <x v="11"/>
    <x v="0"/>
    <x v="1"/>
    <s v="Q2"/>
    <x v="3"/>
    <n v="3"/>
    <n v="3"/>
    <n v="418000"/>
    <x v="112"/>
    <n v="0"/>
    <x v="0"/>
    <n v="32"/>
    <x v="0"/>
  </r>
  <r>
    <n v="1113"/>
    <x v="18"/>
    <x v="2"/>
    <x v="1"/>
    <s v="Q3"/>
    <x v="96"/>
    <n v="4"/>
    <n v="4"/>
    <n v="2255000"/>
    <x v="113"/>
    <n v="0"/>
    <x v="2"/>
    <n v="156"/>
    <x v="1"/>
  </r>
  <r>
    <n v="1114"/>
    <x v="7"/>
    <x v="2"/>
    <x v="3"/>
    <s v="Q4"/>
    <x v="85"/>
    <n v="6"/>
    <n v="6"/>
    <n v="2150000"/>
    <x v="114"/>
    <n v="20"/>
    <x v="1"/>
    <n v="171"/>
    <x v="2"/>
  </r>
  <r>
    <n v="1115"/>
    <x v="19"/>
    <x v="4"/>
    <x v="0"/>
    <s v="Q1"/>
    <x v="97"/>
    <n v="0"/>
    <n v="1"/>
    <n v="234000"/>
    <x v="115"/>
    <n v="5"/>
    <x v="0"/>
    <n v="72"/>
    <x v="2"/>
  </r>
  <r>
    <n v="1116"/>
    <x v="15"/>
    <x v="1"/>
    <x v="1"/>
    <s v="Q3"/>
    <x v="98"/>
    <n v="3"/>
    <n v="3"/>
    <n v="875000"/>
    <x v="116"/>
    <n v="4"/>
    <x v="2"/>
    <n v="63"/>
    <x v="0"/>
  </r>
  <r>
    <n v="1117"/>
    <x v="16"/>
    <x v="0"/>
    <x v="1"/>
    <s v="Q3"/>
    <x v="99"/>
    <n v="3"/>
    <n v="3"/>
    <n v="370000"/>
    <x v="117"/>
    <n v="0"/>
    <x v="2"/>
    <n v="114"/>
    <x v="1"/>
  </r>
  <r>
    <n v="1118"/>
    <x v="19"/>
    <x v="1"/>
    <x v="3"/>
    <s v="Q3"/>
    <x v="100"/>
    <n v="4"/>
    <n v="4"/>
    <n v="1205000"/>
    <x v="118"/>
    <n v="4"/>
    <x v="0"/>
    <n v="144"/>
    <x v="2"/>
  </r>
  <r>
    <n v="1119"/>
    <x v="7"/>
    <x v="0"/>
    <x v="2"/>
    <s v="Q3"/>
    <x v="20"/>
    <n v="4"/>
    <n v="4"/>
    <n v="258000"/>
    <x v="119"/>
    <n v="2"/>
    <x v="1"/>
    <n v="117"/>
    <x v="2"/>
  </r>
  <r>
    <n v="1120"/>
    <x v="10"/>
    <x v="2"/>
    <x v="3"/>
    <s v="Q4"/>
    <x v="101"/>
    <n v="5"/>
    <n v="5"/>
    <n v="2291000"/>
    <x v="120"/>
    <n v="5"/>
    <x v="0"/>
    <n v="173"/>
    <x v="1"/>
  </r>
  <r>
    <n v="1121"/>
    <x v="19"/>
    <x v="0"/>
    <x v="0"/>
    <s v="Q1"/>
    <x v="102"/>
    <n v="3"/>
    <n v="3"/>
    <n v="504000"/>
    <x v="121"/>
    <n v="3"/>
    <x v="0"/>
    <n v="95"/>
    <x v="2"/>
  </r>
  <r>
    <n v="1122"/>
    <x v="2"/>
    <x v="0"/>
    <x v="0"/>
    <s v="Q4"/>
    <x v="103"/>
    <n v="4"/>
    <n v="4"/>
    <n v="581000"/>
    <x v="122"/>
    <n v="7"/>
    <x v="1"/>
    <n v="18"/>
    <x v="0"/>
  </r>
  <r>
    <n v="1123"/>
    <x v="18"/>
    <x v="0"/>
    <x v="1"/>
    <s v="Q3"/>
    <x v="104"/>
    <n v="2"/>
    <n v="2"/>
    <n v="335000"/>
    <x v="123"/>
    <n v="20"/>
    <x v="0"/>
    <n v="71"/>
    <x v="1"/>
  </r>
  <r>
    <n v="1124"/>
    <x v="3"/>
    <x v="1"/>
    <x v="2"/>
    <s v="Q3"/>
    <x v="105"/>
    <n v="4"/>
    <n v="4"/>
    <n v="864000"/>
    <x v="124"/>
    <n v="7"/>
    <x v="2"/>
    <n v="180"/>
    <x v="2"/>
  </r>
  <r>
    <n v="1125"/>
    <x v="9"/>
    <x v="0"/>
    <x v="3"/>
    <s v="Q3"/>
    <x v="27"/>
    <n v="2"/>
    <n v="2"/>
    <n v="787000"/>
    <x v="125"/>
    <n v="20"/>
    <x v="0"/>
    <n v="138"/>
    <x v="2"/>
  </r>
  <r>
    <n v="1126"/>
    <x v="11"/>
    <x v="0"/>
    <x v="1"/>
    <s v="Q2"/>
    <x v="0"/>
    <n v="2"/>
    <n v="2"/>
    <n v="556000"/>
    <x v="126"/>
    <n v="10"/>
    <x v="2"/>
    <n v="160"/>
    <x v="0"/>
  </r>
  <r>
    <n v="1127"/>
    <x v="1"/>
    <x v="1"/>
    <x v="1"/>
    <s v="Q4"/>
    <x v="106"/>
    <n v="4"/>
    <n v="4"/>
    <n v="1172000"/>
    <x v="127"/>
    <n v="10"/>
    <x v="2"/>
    <n v="30"/>
    <x v="1"/>
  </r>
  <r>
    <n v="1128"/>
    <x v="19"/>
    <x v="0"/>
    <x v="0"/>
    <s v="Q2"/>
    <x v="0"/>
    <n v="4"/>
    <n v="4"/>
    <n v="523000"/>
    <x v="128"/>
    <n v="4"/>
    <x v="0"/>
    <n v="146"/>
    <x v="2"/>
  </r>
  <r>
    <n v="1129"/>
    <x v="14"/>
    <x v="4"/>
    <x v="1"/>
    <s v="Q3"/>
    <x v="107"/>
    <n v="0"/>
    <n v="1"/>
    <n v="516000"/>
    <x v="129"/>
    <n v="4"/>
    <x v="0"/>
    <n v="30"/>
    <x v="2"/>
  </r>
  <r>
    <n v="1130"/>
    <x v="11"/>
    <x v="4"/>
    <x v="1"/>
    <s v="Q3"/>
    <x v="108"/>
    <n v="0"/>
    <n v="1"/>
    <n v="299000"/>
    <x v="130"/>
    <n v="20"/>
    <x v="0"/>
    <n v="93"/>
    <x v="0"/>
  </r>
  <r>
    <n v="1131"/>
    <x v="0"/>
    <x v="0"/>
    <x v="1"/>
    <s v="Q3"/>
    <x v="109"/>
    <n v="4"/>
    <n v="4"/>
    <n v="578000"/>
    <x v="131"/>
    <n v="20"/>
    <x v="1"/>
    <n v="82"/>
    <x v="0"/>
  </r>
  <r>
    <n v="1132"/>
    <x v="4"/>
    <x v="3"/>
    <x v="3"/>
    <s v="Q1"/>
    <x v="110"/>
    <n v="4"/>
    <n v="4"/>
    <n v="766000"/>
    <x v="132"/>
    <n v="20"/>
    <x v="0"/>
    <n v="6"/>
    <x v="2"/>
  </r>
  <r>
    <n v="1133"/>
    <x v="0"/>
    <x v="4"/>
    <x v="0"/>
    <s v="Q2"/>
    <x v="111"/>
    <n v="0"/>
    <n v="1"/>
    <n v="252000"/>
    <x v="133"/>
    <n v="7"/>
    <x v="1"/>
    <n v="127"/>
    <x v="0"/>
  </r>
  <r>
    <n v="1134"/>
    <x v="19"/>
    <x v="2"/>
    <x v="2"/>
    <s v="Q1"/>
    <x v="112"/>
    <n v="5"/>
    <n v="5"/>
    <n v="2368000"/>
    <x v="134"/>
    <n v="20"/>
    <x v="0"/>
    <n v="77"/>
    <x v="2"/>
  </r>
  <r>
    <n v="1135"/>
    <x v="15"/>
    <x v="0"/>
    <x v="2"/>
    <s v="Q1"/>
    <x v="113"/>
    <n v="3"/>
    <n v="3"/>
    <n v="248000"/>
    <x v="135"/>
    <n v="0"/>
    <x v="2"/>
    <n v="108"/>
    <x v="0"/>
  </r>
  <r>
    <n v="1136"/>
    <x v="12"/>
    <x v="2"/>
    <x v="1"/>
    <s v="Q2"/>
    <x v="114"/>
    <n v="4"/>
    <n v="4"/>
    <n v="2478000"/>
    <x v="136"/>
    <n v="2"/>
    <x v="0"/>
    <n v="34"/>
    <x v="1"/>
  </r>
  <r>
    <n v="1137"/>
    <x v="10"/>
    <x v="2"/>
    <x v="0"/>
    <s v="Q1"/>
    <x v="115"/>
    <n v="6"/>
    <n v="6"/>
    <n v="3094000"/>
    <x v="137"/>
    <n v="7"/>
    <x v="2"/>
    <n v="46"/>
    <x v="1"/>
  </r>
  <r>
    <n v="1138"/>
    <x v="12"/>
    <x v="0"/>
    <x v="2"/>
    <s v="Q3"/>
    <x v="52"/>
    <n v="3"/>
    <n v="3"/>
    <n v="531000"/>
    <x v="138"/>
    <n v="0"/>
    <x v="0"/>
    <n v="147"/>
    <x v="1"/>
  </r>
  <r>
    <n v="1139"/>
    <x v="2"/>
    <x v="4"/>
    <x v="3"/>
    <s v="Q4"/>
    <x v="116"/>
    <n v="0"/>
    <n v="1"/>
    <n v="301000"/>
    <x v="139"/>
    <n v="10"/>
    <x v="0"/>
    <n v="53"/>
    <x v="0"/>
  </r>
  <r>
    <n v="1140"/>
    <x v="1"/>
    <x v="1"/>
    <x v="2"/>
    <s v="Q3"/>
    <x v="117"/>
    <n v="5"/>
    <n v="5"/>
    <n v="944000"/>
    <x v="140"/>
    <n v="0"/>
    <x v="0"/>
    <n v="52"/>
    <x v="1"/>
  </r>
  <r>
    <n v="1141"/>
    <x v="1"/>
    <x v="4"/>
    <x v="0"/>
    <s v="Q3"/>
    <x v="83"/>
    <n v="0"/>
    <n v="1"/>
    <n v="215000"/>
    <x v="141"/>
    <n v="10"/>
    <x v="2"/>
    <n v="70"/>
    <x v="1"/>
  </r>
  <r>
    <n v="1142"/>
    <x v="2"/>
    <x v="2"/>
    <x v="3"/>
    <s v="Q3"/>
    <x v="118"/>
    <n v="6"/>
    <n v="6"/>
    <n v="1623000"/>
    <x v="142"/>
    <n v="3"/>
    <x v="2"/>
    <n v="33"/>
    <x v="0"/>
  </r>
  <r>
    <n v="1143"/>
    <x v="15"/>
    <x v="0"/>
    <x v="2"/>
    <s v="Q3"/>
    <x v="22"/>
    <n v="3"/>
    <n v="3"/>
    <n v="400000"/>
    <x v="143"/>
    <n v="7"/>
    <x v="1"/>
    <n v="80"/>
    <x v="0"/>
  </r>
  <r>
    <n v="1144"/>
    <x v="19"/>
    <x v="0"/>
    <x v="0"/>
    <s v="Q4"/>
    <x v="46"/>
    <n v="3"/>
    <n v="3"/>
    <n v="349000"/>
    <x v="144"/>
    <n v="7"/>
    <x v="0"/>
    <n v="145"/>
    <x v="2"/>
  </r>
  <r>
    <n v="1145"/>
    <x v="2"/>
    <x v="3"/>
    <x v="1"/>
    <s v="Q4"/>
    <x v="119"/>
    <n v="3"/>
    <n v="3"/>
    <n v="975000"/>
    <x v="145"/>
    <n v="10"/>
    <x v="0"/>
    <n v="69"/>
    <x v="0"/>
  </r>
  <r>
    <n v="1146"/>
    <x v="7"/>
    <x v="0"/>
    <x v="1"/>
    <s v="Q4"/>
    <x v="0"/>
    <n v="3"/>
    <n v="3"/>
    <n v="395000"/>
    <x v="146"/>
    <n v="5"/>
    <x v="0"/>
    <n v="72"/>
    <x v="2"/>
  </r>
  <r>
    <n v="1147"/>
    <x v="8"/>
    <x v="0"/>
    <x v="2"/>
    <s v="Q1"/>
    <x v="120"/>
    <n v="3"/>
    <n v="3"/>
    <n v="507000"/>
    <x v="147"/>
    <n v="0"/>
    <x v="2"/>
    <n v="127"/>
    <x v="0"/>
  </r>
  <r>
    <n v="1148"/>
    <x v="11"/>
    <x v="3"/>
    <x v="0"/>
    <s v="Q4"/>
    <x v="121"/>
    <n v="3"/>
    <n v="3"/>
    <n v="889000"/>
    <x v="148"/>
    <n v="3"/>
    <x v="2"/>
    <n v="81"/>
    <x v="0"/>
  </r>
  <r>
    <n v="1149"/>
    <x v="10"/>
    <x v="4"/>
    <x v="0"/>
    <s v="Q3"/>
    <x v="83"/>
    <n v="0"/>
    <n v="1"/>
    <n v="262000"/>
    <x v="149"/>
    <n v="7"/>
    <x v="2"/>
    <n v="115"/>
    <x v="1"/>
  </r>
  <r>
    <n v="1150"/>
    <x v="4"/>
    <x v="2"/>
    <x v="2"/>
    <s v="Q2"/>
    <x v="87"/>
    <n v="6"/>
    <n v="6"/>
    <n v="1357000"/>
    <x v="150"/>
    <n v="2"/>
    <x v="0"/>
    <n v="85"/>
    <x v="2"/>
  </r>
  <r>
    <n v="1151"/>
    <x v="5"/>
    <x v="0"/>
    <x v="2"/>
    <s v="Q1"/>
    <x v="122"/>
    <n v="3"/>
    <n v="3"/>
    <n v="442000"/>
    <x v="151"/>
    <n v="3"/>
    <x v="0"/>
    <n v="104"/>
    <x v="1"/>
  </r>
  <r>
    <n v="1152"/>
    <x v="16"/>
    <x v="3"/>
    <x v="2"/>
    <s v="Q4"/>
    <x v="96"/>
    <n v="5"/>
    <n v="5"/>
    <n v="1280000"/>
    <x v="152"/>
    <n v="7"/>
    <x v="1"/>
    <n v="174"/>
    <x v="1"/>
  </r>
  <r>
    <n v="1153"/>
    <x v="13"/>
    <x v="2"/>
    <x v="2"/>
    <s v="Q1"/>
    <x v="123"/>
    <n v="5"/>
    <n v="5"/>
    <n v="2934000"/>
    <x v="153"/>
    <n v="2"/>
    <x v="0"/>
    <n v="63"/>
    <x v="1"/>
  </r>
  <r>
    <n v="1154"/>
    <x v="9"/>
    <x v="4"/>
    <x v="2"/>
    <s v="Q3"/>
    <x v="124"/>
    <n v="0"/>
    <n v="1"/>
    <n v="307000"/>
    <x v="154"/>
    <n v="2"/>
    <x v="0"/>
    <n v="91"/>
    <x v="2"/>
  </r>
  <r>
    <n v="1155"/>
    <x v="2"/>
    <x v="2"/>
    <x v="1"/>
    <s v="Q2"/>
    <x v="125"/>
    <n v="4"/>
    <n v="4"/>
    <n v="1783000"/>
    <x v="17"/>
    <n v="0"/>
    <x v="0"/>
    <n v="104"/>
    <x v="0"/>
  </r>
  <r>
    <n v="1156"/>
    <x v="11"/>
    <x v="1"/>
    <x v="3"/>
    <s v="Q1"/>
    <x v="126"/>
    <n v="4"/>
    <n v="4"/>
    <n v="1329000"/>
    <x v="155"/>
    <n v="1"/>
    <x v="2"/>
    <n v="74"/>
    <x v="0"/>
  </r>
  <r>
    <n v="1157"/>
    <x v="19"/>
    <x v="0"/>
    <x v="2"/>
    <s v="Q2"/>
    <x v="5"/>
    <n v="4"/>
    <n v="4"/>
    <n v="419000"/>
    <x v="156"/>
    <n v="1"/>
    <x v="0"/>
    <n v="57"/>
    <x v="2"/>
  </r>
  <r>
    <n v="1158"/>
    <x v="6"/>
    <x v="1"/>
    <x v="0"/>
    <s v="Q4"/>
    <x v="127"/>
    <n v="4"/>
    <n v="4"/>
    <n v="386000"/>
    <x v="157"/>
    <n v="1"/>
    <x v="1"/>
    <n v="81"/>
    <x v="0"/>
  </r>
  <r>
    <n v="1159"/>
    <x v="16"/>
    <x v="0"/>
    <x v="0"/>
    <s v="Q4"/>
    <x v="128"/>
    <n v="4"/>
    <n v="4"/>
    <n v="466000"/>
    <x v="158"/>
    <n v="20"/>
    <x v="0"/>
    <n v="35"/>
    <x v="1"/>
  </r>
  <r>
    <n v="1160"/>
    <x v="2"/>
    <x v="2"/>
    <x v="3"/>
    <s v="Q4"/>
    <x v="129"/>
    <n v="4"/>
    <n v="4"/>
    <n v="3382000"/>
    <x v="159"/>
    <n v="20"/>
    <x v="0"/>
    <n v="175"/>
    <x v="0"/>
  </r>
  <r>
    <n v="1161"/>
    <x v="11"/>
    <x v="2"/>
    <x v="2"/>
    <s v="Q1"/>
    <x v="106"/>
    <n v="6"/>
    <n v="6"/>
    <n v="1312000"/>
    <x v="160"/>
    <n v="4"/>
    <x v="2"/>
    <n v="78"/>
    <x v="0"/>
  </r>
  <r>
    <n v="1162"/>
    <x v="8"/>
    <x v="1"/>
    <x v="3"/>
    <s v="Q3"/>
    <x v="130"/>
    <n v="5"/>
    <n v="5"/>
    <n v="1600000"/>
    <x v="161"/>
    <n v="5"/>
    <x v="0"/>
    <n v="52"/>
    <x v="0"/>
  </r>
  <r>
    <n v="1163"/>
    <x v="18"/>
    <x v="2"/>
    <x v="0"/>
    <s v="Q1"/>
    <x v="131"/>
    <n v="6"/>
    <n v="6"/>
    <n v="1545000"/>
    <x v="162"/>
    <n v="10"/>
    <x v="0"/>
    <n v="170"/>
    <x v="1"/>
  </r>
  <r>
    <n v="1164"/>
    <x v="16"/>
    <x v="0"/>
    <x v="3"/>
    <s v="Q1"/>
    <x v="86"/>
    <n v="2"/>
    <n v="2"/>
    <n v="473000"/>
    <x v="163"/>
    <n v="2"/>
    <x v="0"/>
    <n v="83"/>
    <x v="1"/>
  </r>
  <r>
    <n v="1165"/>
    <x v="3"/>
    <x v="4"/>
    <x v="1"/>
    <s v="Q3"/>
    <x v="132"/>
    <n v="0"/>
    <n v="1"/>
    <n v="197000"/>
    <x v="164"/>
    <n v="10"/>
    <x v="1"/>
    <n v="61"/>
    <x v="2"/>
  </r>
  <r>
    <n v="1166"/>
    <x v="9"/>
    <x v="2"/>
    <x v="0"/>
    <s v="Q4"/>
    <x v="133"/>
    <n v="5"/>
    <n v="5"/>
    <n v="3008000"/>
    <x v="165"/>
    <n v="0"/>
    <x v="0"/>
    <n v="56"/>
    <x v="2"/>
  </r>
  <r>
    <n v="1167"/>
    <x v="12"/>
    <x v="2"/>
    <x v="0"/>
    <s v="Q2"/>
    <x v="134"/>
    <n v="5"/>
    <n v="5"/>
    <n v="2942000"/>
    <x v="166"/>
    <n v="7"/>
    <x v="0"/>
    <n v="152"/>
    <x v="1"/>
  </r>
  <r>
    <n v="1168"/>
    <x v="16"/>
    <x v="4"/>
    <x v="1"/>
    <s v="Q1"/>
    <x v="135"/>
    <n v="0"/>
    <n v="1"/>
    <n v="355000"/>
    <x v="167"/>
    <n v="2"/>
    <x v="1"/>
    <n v="125"/>
    <x v="1"/>
  </r>
  <r>
    <n v="1169"/>
    <x v="13"/>
    <x v="2"/>
    <x v="3"/>
    <s v="Q1"/>
    <x v="136"/>
    <n v="5"/>
    <n v="5"/>
    <n v="2437000"/>
    <x v="168"/>
    <n v="4"/>
    <x v="0"/>
    <n v="173"/>
    <x v="1"/>
  </r>
  <r>
    <n v="1170"/>
    <x v="19"/>
    <x v="4"/>
    <x v="0"/>
    <s v="Q3"/>
    <x v="111"/>
    <n v="0"/>
    <n v="1"/>
    <n v="234000"/>
    <x v="169"/>
    <n v="2"/>
    <x v="1"/>
    <n v="170"/>
    <x v="2"/>
  </r>
  <r>
    <n v="1171"/>
    <x v="15"/>
    <x v="1"/>
    <x v="1"/>
    <s v="Q4"/>
    <x v="137"/>
    <n v="5"/>
    <n v="5"/>
    <n v="1145000"/>
    <x v="170"/>
    <n v="20"/>
    <x v="2"/>
    <n v="50"/>
    <x v="0"/>
  </r>
  <r>
    <n v="1172"/>
    <x v="0"/>
    <x v="2"/>
    <x v="3"/>
    <s v="Q4"/>
    <x v="138"/>
    <n v="5"/>
    <n v="5"/>
    <n v="2586000"/>
    <x v="171"/>
    <n v="2"/>
    <x v="0"/>
    <n v="63"/>
    <x v="0"/>
  </r>
  <r>
    <n v="1173"/>
    <x v="19"/>
    <x v="1"/>
    <x v="3"/>
    <s v="Q2"/>
    <x v="139"/>
    <n v="4"/>
    <n v="4"/>
    <n v="936000"/>
    <x v="172"/>
    <n v="0"/>
    <x v="0"/>
    <n v="44"/>
    <x v="2"/>
  </r>
  <r>
    <n v="1174"/>
    <x v="1"/>
    <x v="1"/>
    <x v="1"/>
    <s v="Q2"/>
    <x v="140"/>
    <n v="3"/>
    <n v="3"/>
    <n v="846000"/>
    <x v="173"/>
    <n v="7"/>
    <x v="1"/>
    <n v="139"/>
    <x v="1"/>
  </r>
  <r>
    <n v="1175"/>
    <x v="12"/>
    <x v="3"/>
    <x v="1"/>
    <s v="Q4"/>
    <x v="141"/>
    <n v="4"/>
    <n v="4"/>
    <n v="1444000"/>
    <x v="174"/>
    <n v="2"/>
    <x v="0"/>
    <n v="164"/>
    <x v="1"/>
  </r>
  <r>
    <n v="1176"/>
    <x v="10"/>
    <x v="1"/>
    <x v="1"/>
    <s v="Q1"/>
    <x v="142"/>
    <n v="5"/>
    <n v="5"/>
    <n v="1458000"/>
    <x v="175"/>
    <n v="20"/>
    <x v="0"/>
    <n v="90"/>
    <x v="1"/>
  </r>
  <r>
    <n v="1177"/>
    <x v="15"/>
    <x v="4"/>
    <x v="2"/>
    <s v="Q3"/>
    <x v="28"/>
    <n v="0"/>
    <n v="1"/>
    <n v="221000"/>
    <x v="176"/>
    <n v="20"/>
    <x v="0"/>
    <n v="89"/>
    <x v="0"/>
  </r>
  <r>
    <n v="1178"/>
    <x v="16"/>
    <x v="4"/>
    <x v="3"/>
    <s v="Q3"/>
    <x v="143"/>
    <n v="0"/>
    <n v="1"/>
    <n v="282000"/>
    <x v="177"/>
    <n v="10"/>
    <x v="0"/>
    <n v="130"/>
    <x v="1"/>
  </r>
  <r>
    <n v="1179"/>
    <x v="12"/>
    <x v="1"/>
    <x v="0"/>
    <s v="Q2"/>
    <x v="144"/>
    <n v="5"/>
    <n v="5"/>
    <n v="1522000"/>
    <x v="178"/>
    <n v="2"/>
    <x v="0"/>
    <n v="18"/>
    <x v="1"/>
  </r>
  <r>
    <n v="1180"/>
    <x v="16"/>
    <x v="2"/>
    <x v="1"/>
    <s v="Q1"/>
    <x v="145"/>
    <n v="5"/>
    <n v="5"/>
    <n v="2376000"/>
    <x v="179"/>
    <n v="10"/>
    <x v="2"/>
    <n v="55"/>
    <x v="1"/>
  </r>
  <r>
    <n v="1181"/>
    <x v="7"/>
    <x v="0"/>
    <x v="0"/>
    <s v="Q2"/>
    <x v="146"/>
    <n v="2"/>
    <n v="2"/>
    <n v="422000"/>
    <x v="180"/>
    <n v="1"/>
    <x v="0"/>
    <n v="167"/>
    <x v="2"/>
  </r>
  <r>
    <n v="1182"/>
    <x v="15"/>
    <x v="1"/>
    <x v="0"/>
    <s v="Q3"/>
    <x v="147"/>
    <n v="4"/>
    <n v="4"/>
    <n v="1224000"/>
    <x v="181"/>
    <n v="1"/>
    <x v="0"/>
    <n v="110"/>
    <x v="0"/>
  </r>
  <r>
    <n v="1183"/>
    <x v="13"/>
    <x v="1"/>
    <x v="3"/>
    <s v="Q2"/>
    <x v="148"/>
    <n v="3"/>
    <n v="3"/>
    <n v="1550000"/>
    <x v="182"/>
    <n v="7"/>
    <x v="1"/>
    <n v="102"/>
    <x v="1"/>
  </r>
  <r>
    <n v="1184"/>
    <x v="1"/>
    <x v="4"/>
    <x v="1"/>
    <s v="Q2"/>
    <x v="75"/>
    <n v="0"/>
    <n v="1"/>
    <n v="238000"/>
    <x v="183"/>
    <n v="7"/>
    <x v="0"/>
    <n v="88"/>
    <x v="1"/>
  </r>
  <r>
    <n v="1185"/>
    <x v="9"/>
    <x v="2"/>
    <x v="2"/>
    <s v="Q4"/>
    <x v="38"/>
    <n v="6"/>
    <n v="6"/>
    <n v="2911000"/>
    <x v="184"/>
    <n v="0"/>
    <x v="0"/>
    <n v="146"/>
    <x v="2"/>
  </r>
  <r>
    <n v="1186"/>
    <x v="12"/>
    <x v="0"/>
    <x v="2"/>
    <s v="Q2"/>
    <x v="9"/>
    <n v="2"/>
    <n v="2"/>
    <n v="751000"/>
    <x v="185"/>
    <n v="7"/>
    <x v="0"/>
    <n v="11"/>
    <x v="1"/>
  </r>
  <r>
    <n v="1187"/>
    <x v="10"/>
    <x v="3"/>
    <x v="3"/>
    <s v="Q1"/>
    <x v="91"/>
    <n v="3"/>
    <n v="3"/>
    <n v="1217000"/>
    <x v="186"/>
    <n v="10"/>
    <x v="2"/>
    <n v="117"/>
    <x v="1"/>
  </r>
  <r>
    <n v="1188"/>
    <x v="13"/>
    <x v="0"/>
    <x v="3"/>
    <s v="Q4"/>
    <x v="49"/>
    <n v="4"/>
    <n v="4"/>
    <n v="824000"/>
    <x v="187"/>
    <n v="20"/>
    <x v="2"/>
    <n v="24"/>
    <x v="1"/>
  </r>
  <r>
    <n v="1189"/>
    <x v="4"/>
    <x v="0"/>
    <x v="3"/>
    <s v="Q2"/>
    <x v="1"/>
    <n v="3"/>
    <n v="3"/>
    <n v="461000"/>
    <x v="188"/>
    <n v="4"/>
    <x v="0"/>
    <n v="77"/>
    <x v="2"/>
  </r>
  <r>
    <n v="1190"/>
    <x v="18"/>
    <x v="4"/>
    <x v="1"/>
    <s v="Q4"/>
    <x v="143"/>
    <n v="0"/>
    <n v="1"/>
    <n v="174000"/>
    <x v="189"/>
    <n v="20"/>
    <x v="0"/>
    <n v="21"/>
    <x v="1"/>
  </r>
  <r>
    <n v="1191"/>
    <x v="13"/>
    <x v="2"/>
    <x v="2"/>
    <s v="Q2"/>
    <x v="149"/>
    <n v="4"/>
    <n v="4"/>
    <n v="3470000"/>
    <x v="190"/>
    <n v="0"/>
    <x v="0"/>
    <n v="127"/>
    <x v="1"/>
  </r>
  <r>
    <n v="1192"/>
    <x v="1"/>
    <x v="0"/>
    <x v="2"/>
    <s v="Q4"/>
    <x v="150"/>
    <n v="4"/>
    <n v="4"/>
    <n v="535000"/>
    <x v="191"/>
    <n v="0"/>
    <x v="2"/>
    <n v="43"/>
    <x v="1"/>
  </r>
  <r>
    <n v="1193"/>
    <x v="7"/>
    <x v="0"/>
    <x v="0"/>
    <s v="Q2"/>
    <x v="151"/>
    <n v="3"/>
    <n v="3"/>
    <n v="479000"/>
    <x v="192"/>
    <n v="2"/>
    <x v="1"/>
    <n v="171"/>
    <x v="2"/>
  </r>
  <r>
    <n v="1194"/>
    <x v="2"/>
    <x v="2"/>
    <x v="3"/>
    <s v="Q4"/>
    <x v="152"/>
    <n v="6"/>
    <n v="6"/>
    <n v="2339000"/>
    <x v="193"/>
    <n v="2"/>
    <x v="0"/>
    <n v="27"/>
    <x v="0"/>
  </r>
  <r>
    <n v="1195"/>
    <x v="18"/>
    <x v="0"/>
    <x v="3"/>
    <s v="Q2"/>
    <x v="127"/>
    <n v="3"/>
    <n v="3"/>
    <n v="397000"/>
    <x v="194"/>
    <n v="15"/>
    <x v="0"/>
    <n v="175"/>
    <x v="1"/>
  </r>
  <r>
    <n v="1196"/>
    <x v="5"/>
    <x v="2"/>
    <x v="3"/>
    <s v="Q2"/>
    <x v="153"/>
    <n v="5"/>
    <n v="5"/>
    <n v="2257000"/>
    <x v="195"/>
    <n v="0"/>
    <x v="0"/>
    <n v="67"/>
    <x v="1"/>
  </r>
  <r>
    <n v="1197"/>
    <x v="5"/>
    <x v="1"/>
    <x v="1"/>
    <s v="Q1"/>
    <x v="154"/>
    <n v="5"/>
    <n v="5"/>
    <n v="798000"/>
    <x v="196"/>
    <n v="1"/>
    <x v="2"/>
    <n v="131"/>
    <x v="1"/>
  </r>
  <r>
    <n v="1198"/>
    <x v="5"/>
    <x v="0"/>
    <x v="1"/>
    <s v="Q3"/>
    <x v="89"/>
    <n v="3"/>
    <n v="3"/>
    <n v="425000"/>
    <x v="197"/>
    <n v="20"/>
    <x v="1"/>
    <n v="180"/>
    <x v="1"/>
  </r>
  <r>
    <n v="1199"/>
    <x v="14"/>
    <x v="4"/>
    <x v="1"/>
    <s v="Q4"/>
    <x v="155"/>
    <n v="0"/>
    <n v="1"/>
    <n v="246000"/>
    <x v="198"/>
    <n v="4"/>
    <x v="0"/>
    <n v="56"/>
    <x v="2"/>
  </r>
  <r>
    <n v="1200"/>
    <x v="4"/>
    <x v="2"/>
    <x v="3"/>
    <s v="Q4"/>
    <x v="156"/>
    <n v="5"/>
    <n v="5"/>
    <n v="2015000"/>
    <x v="199"/>
    <n v="3"/>
    <x v="0"/>
    <n v="102"/>
    <x v="2"/>
  </r>
  <r>
    <n v="1201"/>
    <x v="17"/>
    <x v="1"/>
    <x v="2"/>
    <s v="Q3"/>
    <x v="47"/>
    <n v="4"/>
    <n v="4"/>
    <n v="928000"/>
    <x v="200"/>
    <n v="2"/>
    <x v="0"/>
    <n v="151"/>
    <x v="0"/>
  </r>
  <r>
    <n v="1202"/>
    <x v="14"/>
    <x v="2"/>
    <x v="0"/>
    <s v="Q3"/>
    <x v="114"/>
    <n v="6"/>
    <n v="6"/>
    <n v="2389000"/>
    <x v="201"/>
    <n v="10"/>
    <x v="0"/>
    <n v="26"/>
    <x v="2"/>
  </r>
  <r>
    <n v="1203"/>
    <x v="5"/>
    <x v="2"/>
    <x v="2"/>
    <s v="Q1"/>
    <x v="8"/>
    <n v="4"/>
    <n v="4"/>
    <n v="1772000"/>
    <x v="202"/>
    <n v="0"/>
    <x v="0"/>
    <n v="13"/>
    <x v="1"/>
  </r>
  <r>
    <n v="1204"/>
    <x v="16"/>
    <x v="0"/>
    <x v="3"/>
    <s v="Q3"/>
    <x v="157"/>
    <n v="2"/>
    <n v="2"/>
    <n v="469000"/>
    <x v="203"/>
    <n v="0"/>
    <x v="0"/>
    <n v="3"/>
    <x v="1"/>
  </r>
  <r>
    <n v="1205"/>
    <x v="9"/>
    <x v="1"/>
    <x v="0"/>
    <s v="Q1"/>
    <x v="158"/>
    <n v="4"/>
    <n v="4"/>
    <n v="1143000"/>
    <x v="12"/>
    <n v="4"/>
    <x v="1"/>
    <n v="112"/>
    <x v="2"/>
  </r>
  <r>
    <n v="1206"/>
    <x v="8"/>
    <x v="4"/>
    <x v="0"/>
    <s v="Q4"/>
    <x v="83"/>
    <n v="0"/>
    <n v="1"/>
    <n v="242000"/>
    <x v="204"/>
    <n v="5"/>
    <x v="2"/>
    <n v="41"/>
    <x v="0"/>
  </r>
  <r>
    <n v="1207"/>
    <x v="10"/>
    <x v="1"/>
    <x v="2"/>
    <s v="Q1"/>
    <x v="159"/>
    <n v="5"/>
    <n v="5"/>
    <n v="1087000"/>
    <x v="205"/>
    <n v="4"/>
    <x v="0"/>
    <n v="127"/>
    <x v="1"/>
  </r>
  <r>
    <n v="1208"/>
    <x v="10"/>
    <x v="2"/>
    <x v="3"/>
    <s v="Q3"/>
    <x v="160"/>
    <n v="5"/>
    <n v="5"/>
    <n v="2956000"/>
    <x v="206"/>
    <n v="15"/>
    <x v="0"/>
    <n v="103"/>
    <x v="1"/>
  </r>
  <r>
    <n v="1209"/>
    <x v="8"/>
    <x v="0"/>
    <x v="2"/>
    <s v="Q3"/>
    <x v="161"/>
    <n v="2"/>
    <n v="2"/>
    <n v="437000"/>
    <x v="207"/>
    <n v="20"/>
    <x v="0"/>
    <n v="136"/>
    <x v="0"/>
  </r>
  <r>
    <n v="1210"/>
    <x v="18"/>
    <x v="3"/>
    <x v="0"/>
    <s v="Q2"/>
    <x v="101"/>
    <n v="4"/>
    <n v="4"/>
    <n v="786000"/>
    <x v="208"/>
    <n v="10"/>
    <x v="1"/>
    <n v="178"/>
    <x v="1"/>
  </r>
  <r>
    <n v="1211"/>
    <x v="10"/>
    <x v="2"/>
    <x v="0"/>
    <s v="Q1"/>
    <x v="162"/>
    <n v="5"/>
    <n v="5"/>
    <n v="2267000"/>
    <x v="209"/>
    <n v="2"/>
    <x v="2"/>
    <n v="172"/>
    <x v="1"/>
  </r>
  <r>
    <n v="1212"/>
    <x v="18"/>
    <x v="3"/>
    <x v="0"/>
    <s v="Q1"/>
    <x v="11"/>
    <n v="3"/>
    <n v="3"/>
    <n v="930000"/>
    <x v="210"/>
    <n v="2"/>
    <x v="2"/>
    <n v="78"/>
    <x v="1"/>
  </r>
  <r>
    <n v="1213"/>
    <x v="7"/>
    <x v="1"/>
    <x v="2"/>
    <s v="Q3"/>
    <x v="163"/>
    <n v="3"/>
    <n v="3"/>
    <n v="657000"/>
    <x v="211"/>
    <n v="1"/>
    <x v="0"/>
    <n v="115"/>
    <x v="2"/>
  </r>
  <r>
    <n v="1214"/>
    <x v="18"/>
    <x v="0"/>
    <x v="2"/>
    <s v="Q1"/>
    <x v="25"/>
    <n v="2"/>
    <n v="2"/>
    <n v="369000"/>
    <x v="212"/>
    <n v="10"/>
    <x v="1"/>
    <n v="16"/>
    <x v="1"/>
  </r>
  <r>
    <n v="1215"/>
    <x v="13"/>
    <x v="2"/>
    <x v="3"/>
    <s v="Q1"/>
    <x v="164"/>
    <n v="5"/>
    <n v="5"/>
    <n v="3608000"/>
    <x v="213"/>
    <n v="0"/>
    <x v="0"/>
    <n v="59"/>
    <x v="1"/>
  </r>
  <r>
    <n v="1216"/>
    <x v="18"/>
    <x v="0"/>
    <x v="3"/>
    <s v="Q4"/>
    <x v="165"/>
    <n v="2"/>
    <n v="2"/>
    <n v="473000"/>
    <x v="214"/>
    <n v="3"/>
    <x v="1"/>
    <n v="55"/>
    <x v="1"/>
  </r>
  <r>
    <n v="1217"/>
    <x v="14"/>
    <x v="0"/>
    <x v="1"/>
    <s v="Q4"/>
    <x v="17"/>
    <n v="3"/>
    <n v="3"/>
    <n v="595000"/>
    <x v="215"/>
    <n v="10"/>
    <x v="0"/>
    <n v="170"/>
    <x v="2"/>
  </r>
  <r>
    <n v="1218"/>
    <x v="14"/>
    <x v="2"/>
    <x v="1"/>
    <s v="Q4"/>
    <x v="166"/>
    <n v="5"/>
    <n v="5"/>
    <n v="2664000"/>
    <x v="216"/>
    <n v="20"/>
    <x v="0"/>
    <n v="112"/>
    <x v="2"/>
  </r>
  <r>
    <n v="1219"/>
    <x v="6"/>
    <x v="2"/>
    <x v="3"/>
    <s v="Q2"/>
    <x v="167"/>
    <n v="5"/>
    <n v="5"/>
    <n v="2254000"/>
    <x v="217"/>
    <n v="2"/>
    <x v="2"/>
    <n v="175"/>
    <x v="0"/>
  </r>
  <r>
    <n v="1220"/>
    <x v="15"/>
    <x v="1"/>
    <x v="3"/>
    <s v="Q2"/>
    <x v="168"/>
    <n v="5"/>
    <n v="5"/>
    <n v="1572000"/>
    <x v="218"/>
    <n v="2"/>
    <x v="2"/>
    <n v="36"/>
    <x v="0"/>
  </r>
  <r>
    <n v="1221"/>
    <x v="5"/>
    <x v="0"/>
    <x v="2"/>
    <s v="Q4"/>
    <x v="169"/>
    <n v="3"/>
    <n v="3"/>
    <n v="320000"/>
    <x v="219"/>
    <n v="0"/>
    <x v="2"/>
    <n v="144"/>
    <x v="1"/>
  </r>
  <r>
    <n v="1222"/>
    <x v="14"/>
    <x v="0"/>
    <x v="0"/>
    <s v="Q2"/>
    <x v="170"/>
    <n v="3"/>
    <n v="3"/>
    <n v="896000"/>
    <x v="13"/>
    <n v="0"/>
    <x v="2"/>
    <n v="87"/>
    <x v="2"/>
  </r>
  <r>
    <n v="1223"/>
    <x v="18"/>
    <x v="2"/>
    <x v="3"/>
    <s v="Q1"/>
    <x v="171"/>
    <n v="4"/>
    <n v="4"/>
    <n v="1713000"/>
    <x v="220"/>
    <n v="7"/>
    <x v="0"/>
    <n v="117"/>
    <x v="1"/>
  </r>
  <r>
    <n v="1224"/>
    <x v="1"/>
    <x v="2"/>
    <x v="3"/>
    <s v="Q3"/>
    <x v="172"/>
    <n v="4"/>
    <n v="4"/>
    <n v="1356000"/>
    <x v="221"/>
    <n v="1"/>
    <x v="0"/>
    <n v="94"/>
    <x v="1"/>
  </r>
  <r>
    <n v="1225"/>
    <x v="7"/>
    <x v="1"/>
    <x v="1"/>
    <s v="Q4"/>
    <x v="173"/>
    <n v="5"/>
    <n v="5"/>
    <n v="694000"/>
    <x v="222"/>
    <n v="5"/>
    <x v="0"/>
    <n v="63"/>
    <x v="2"/>
  </r>
  <r>
    <n v="1226"/>
    <x v="12"/>
    <x v="2"/>
    <x v="0"/>
    <s v="Q4"/>
    <x v="174"/>
    <n v="5"/>
    <n v="5"/>
    <n v="3238000"/>
    <x v="223"/>
    <n v="2"/>
    <x v="0"/>
    <n v="38"/>
    <x v="1"/>
  </r>
  <r>
    <n v="1227"/>
    <x v="14"/>
    <x v="0"/>
    <x v="2"/>
    <s v="Q4"/>
    <x v="175"/>
    <n v="4"/>
    <n v="4"/>
    <n v="795000"/>
    <x v="224"/>
    <n v="0"/>
    <x v="0"/>
    <n v="5"/>
    <x v="2"/>
  </r>
  <r>
    <n v="1228"/>
    <x v="6"/>
    <x v="2"/>
    <x v="1"/>
    <s v="Q2"/>
    <x v="39"/>
    <n v="5"/>
    <n v="5"/>
    <n v="1535000"/>
    <x v="225"/>
    <n v="3"/>
    <x v="0"/>
    <n v="144"/>
    <x v="0"/>
  </r>
  <r>
    <n v="1229"/>
    <x v="2"/>
    <x v="0"/>
    <x v="3"/>
    <s v="Q4"/>
    <x v="0"/>
    <n v="2"/>
    <n v="2"/>
    <n v="665000"/>
    <x v="226"/>
    <n v="3"/>
    <x v="1"/>
    <n v="39"/>
    <x v="0"/>
  </r>
  <r>
    <n v="1230"/>
    <x v="8"/>
    <x v="1"/>
    <x v="2"/>
    <s v="Q1"/>
    <x v="176"/>
    <n v="4"/>
    <n v="4"/>
    <n v="838000"/>
    <x v="227"/>
    <n v="3"/>
    <x v="1"/>
    <n v="156"/>
    <x v="0"/>
  </r>
  <r>
    <n v="1231"/>
    <x v="9"/>
    <x v="3"/>
    <x v="0"/>
    <s v="Q4"/>
    <x v="167"/>
    <n v="4"/>
    <n v="4"/>
    <n v="1625000"/>
    <x v="228"/>
    <n v="15"/>
    <x v="0"/>
    <n v="147"/>
    <x v="2"/>
  </r>
  <r>
    <n v="1232"/>
    <x v="15"/>
    <x v="4"/>
    <x v="2"/>
    <s v="Q2"/>
    <x v="177"/>
    <n v="0"/>
    <n v="1"/>
    <n v="262000"/>
    <x v="229"/>
    <n v="0"/>
    <x v="0"/>
    <n v="26"/>
    <x v="0"/>
  </r>
  <r>
    <n v="1233"/>
    <x v="18"/>
    <x v="2"/>
    <x v="1"/>
    <s v="Q4"/>
    <x v="114"/>
    <n v="6"/>
    <n v="6"/>
    <n v="1595000"/>
    <x v="230"/>
    <n v="4"/>
    <x v="2"/>
    <n v="168"/>
    <x v="1"/>
  </r>
  <r>
    <n v="1234"/>
    <x v="2"/>
    <x v="2"/>
    <x v="3"/>
    <s v="Q3"/>
    <x v="178"/>
    <n v="5"/>
    <n v="5"/>
    <n v="1828000"/>
    <x v="231"/>
    <n v="5"/>
    <x v="2"/>
    <n v="172"/>
    <x v="0"/>
  </r>
  <r>
    <n v="1235"/>
    <x v="14"/>
    <x v="0"/>
    <x v="3"/>
    <s v="Q4"/>
    <x v="179"/>
    <n v="4"/>
    <n v="4"/>
    <n v="916000"/>
    <x v="232"/>
    <n v="15"/>
    <x v="0"/>
    <n v="15"/>
    <x v="2"/>
  </r>
  <r>
    <n v="1236"/>
    <x v="12"/>
    <x v="1"/>
    <x v="1"/>
    <s v="Q3"/>
    <x v="180"/>
    <n v="4"/>
    <n v="4"/>
    <n v="1436000"/>
    <x v="233"/>
    <n v="2"/>
    <x v="2"/>
    <n v="102"/>
    <x v="1"/>
  </r>
  <r>
    <n v="1237"/>
    <x v="14"/>
    <x v="2"/>
    <x v="2"/>
    <s v="Q1"/>
    <x v="181"/>
    <n v="4"/>
    <n v="4"/>
    <n v="2864000"/>
    <x v="234"/>
    <n v="3"/>
    <x v="1"/>
    <n v="77"/>
    <x v="2"/>
  </r>
  <r>
    <n v="1238"/>
    <x v="17"/>
    <x v="0"/>
    <x v="2"/>
    <s v="Q4"/>
    <x v="17"/>
    <n v="3"/>
    <n v="3"/>
    <n v="447000"/>
    <x v="235"/>
    <n v="15"/>
    <x v="1"/>
    <n v="147"/>
    <x v="0"/>
  </r>
  <r>
    <n v="1239"/>
    <x v="11"/>
    <x v="4"/>
    <x v="0"/>
    <s v="Q4"/>
    <x v="182"/>
    <n v="0"/>
    <n v="1"/>
    <n v="276000"/>
    <x v="236"/>
    <n v="10"/>
    <x v="0"/>
    <n v="96"/>
    <x v="0"/>
  </r>
  <r>
    <n v="1240"/>
    <x v="3"/>
    <x v="2"/>
    <x v="0"/>
    <s v="Q3"/>
    <x v="183"/>
    <n v="4"/>
    <n v="4"/>
    <n v="1531000"/>
    <x v="181"/>
    <n v="20"/>
    <x v="2"/>
    <n v="166"/>
    <x v="2"/>
  </r>
  <r>
    <n v="1241"/>
    <x v="8"/>
    <x v="4"/>
    <x v="1"/>
    <s v="Q2"/>
    <x v="184"/>
    <n v="0"/>
    <n v="1"/>
    <n v="256000"/>
    <x v="237"/>
    <n v="10"/>
    <x v="0"/>
    <n v="89"/>
    <x v="0"/>
  </r>
  <r>
    <n v="1242"/>
    <x v="7"/>
    <x v="2"/>
    <x v="3"/>
    <s v="Q4"/>
    <x v="185"/>
    <n v="4"/>
    <n v="4"/>
    <n v="1797000"/>
    <x v="238"/>
    <n v="4"/>
    <x v="1"/>
    <n v="169"/>
    <x v="2"/>
  </r>
  <r>
    <n v="1243"/>
    <x v="4"/>
    <x v="2"/>
    <x v="3"/>
    <s v="Q3"/>
    <x v="186"/>
    <n v="6"/>
    <n v="6"/>
    <n v="2328000"/>
    <x v="239"/>
    <n v="7"/>
    <x v="0"/>
    <n v="12"/>
    <x v="2"/>
  </r>
  <r>
    <n v="1244"/>
    <x v="5"/>
    <x v="0"/>
    <x v="3"/>
    <s v="Q2"/>
    <x v="187"/>
    <n v="4"/>
    <n v="4"/>
    <n v="284000"/>
    <x v="240"/>
    <n v="2"/>
    <x v="0"/>
    <n v="102"/>
    <x v="1"/>
  </r>
  <r>
    <n v="1245"/>
    <x v="14"/>
    <x v="1"/>
    <x v="2"/>
    <s v="Q1"/>
    <x v="188"/>
    <n v="5"/>
    <n v="5"/>
    <n v="1559000"/>
    <x v="241"/>
    <n v="20"/>
    <x v="1"/>
    <n v="83"/>
    <x v="2"/>
  </r>
  <r>
    <n v="1246"/>
    <x v="13"/>
    <x v="0"/>
    <x v="1"/>
    <s v="Q3"/>
    <x v="43"/>
    <n v="3"/>
    <n v="3"/>
    <n v="832000"/>
    <x v="115"/>
    <n v="2"/>
    <x v="1"/>
    <n v="120"/>
    <x v="1"/>
  </r>
  <r>
    <n v="1247"/>
    <x v="2"/>
    <x v="0"/>
    <x v="0"/>
    <s v="Q2"/>
    <x v="189"/>
    <n v="4"/>
    <n v="4"/>
    <n v="583000"/>
    <x v="242"/>
    <n v="1"/>
    <x v="1"/>
    <n v="107"/>
    <x v="0"/>
  </r>
  <r>
    <n v="1248"/>
    <x v="9"/>
    <x v="1"/>
    <x v="2"/>
    <s v="Q1"/>
    <x v="26"/>
    <n v="3"/>
    <n v="3"/>
    <n v="1764000"/>
    <x v="243"/>
    <n v="0"/>
    <x v="1"/>
    <n v="69"/>
    <x v="2"/>
  </r>
  <r>
    <n v="1249"/>
    <x v="0"/>
    <x v="0"/>
    <x v="0"/>
    <s v="Q3"/>
    <x v="190"/>
    <n v="3"/>
    <n v="3"/>
    <n v="760000"/>
    <x v="244"/>
    <n v="20"/>
    <x v="1"/>
    <n v="96"/>
    <x v="0"/>
  </r>
  <r>
    <n v="1250"/>
    <x v="12"/>
    <x v="2"/>
    <x v="1"/>
    <s v="Q4"/>
    <x v="191"/>
    <n v="5"/>
    <n v="5"/>
    <n v="3362000"/>
    <x v="245"/>
    <n v="5"/>
    <x v="0"/>
    <n v="40"/>
    <x v="1"/>
  </r>
  <r>
    <n v="1251"/>
    <x v="0"/>
    <x v="0"/>
    <x v="2"/>
    <s v="Q4"/>
    <x v="179"/>
    <n v="3"/>
    <n v="3"/>
    <n v="591000"/>
    <x v="246"/>
    <n v="1"/>
    <x v="0"/>
    <n v="45"/>
    <x v="0"/>
  </r>
  <r>
    <n v="1252"/>
    <x v="3"/>
    <x v="2"/>
    <x v="0"/>
    <s v="Q1"/>
    <x v="192"/>
    <n v="5"/>
    <n v="5"/>
    <n v="1995000"/>
    <x v="247"/>
    <n v="3"/>
    <x v="0"/>
    <n v="142"/>
    <x v="2"/>
  </r>
  <r>
    <n v="1253"/>
    <x v="17"/>
    <x v="2"/>
    <x v="2"/>
    <s v="Q2"/>
    <x v="193"/>
    <n v="4"/>
    <n v="4"/>
    <n v="1241000"/>
    <x v="248"/>
    <n v="20"/>
    <x v="1"/>
    <n v="155"/>
    <x v="0"/>
  </r>
  <r>
    <n v="1254"/>
    <x v="7"/>
    <x v="2"/>
    <x v="1"/>
    <s v="Q4"/>
    <x v="194"/>
    <n v="4"/>
    <n v="4"/>
    <n v="1518000"/>
    <x v="249"/>
    <n v="1"/>
    <x v="1"/>
    <n v="11"/>
    <x v="2"/>
  </r>
  <r>
    <n v="1255"/>
    <x v="18"/>
    <x v="2"/>
    <x v="3"/>
    <s v="Q4"/>
    <x v="96"/>
    <n v="5"/>
    <n v="5"/>
    <n v="2533000"/>
    <x v="250"/>
    <n v="0"/>
    <x v="1"/>
    <n v="166"/>
    <x v="1"/>
  </r>
  <r>
    <n v="1256"/>
    <x v="16"/>
    <x v="2"/>
    <x v="3"/>
    <s v="Q1"/>
    <x v="195"/>
    <n v="5"/>
    <n v="5"/>
    <n v="3877000"/>
    <x v="251"/>
    <n v="1"/>
    <x v="2"/>
    <n v="21"/>
    <x v="1"/>
  </r>
  <r>
    <n v="1257"/>
    <x v="3"/>
    <x v="2"/>
    <x v="0"/>
    <s v="Q2"/>
    <x v="196"/>
    <n v="5"/>
    <n v="5"/>
    <n v="1336000"/>
    <x v="252"/>
    <n v="0"/>
    <x v="0"/>
    <n v="63"/>
    <x v="2"/>
  </r>
  <r>
    <n v="1258"/>
    <x v="9"/>
    <x v="1"/>
    <x v="0"/>
    <s v="Q2"/>
    <x v="197"/>
    <n v="4"/>
    <n v="4"/>
    <n v="984000"/>
    <x v="253"/>
    <n v="15"/>
    <x v="2"/>
    <n v="6"/>
    <x v="2"/>
  </r>
  <r>
    <n v="1259"/>
    <x v="13"/>
    <x v="0"/>
    <x v="2"/>
    <s v="Q3"/>
    <x v="61"/>
    <n v="2"/>
    <n v="2"/>
    <n v="616000"/>
    <x v="254"/>
    <n v="2"/>
    <x v="0"/>
    <n v="103"/>
    <x v="1"/>
  </r>
  <r>
    <n v="1260"/>
    <x v="4"/>
    <x v="0"/>
    <x v="2"/>
    <s v="Q1"/>
    <x v="198"/>
    <n v="3"/>
    <n v="3"/>
    <n v="221000"/>
    <x v="255"/>
    <n v="1"/>
    <x v="0"/>
    <n v="69"/>
    <x v="2"/>
  </r>
  <r>
    <n v="1261"/>
    <x v="16"/>
    <x v="0"/>
    <x v="2"/>
    <s v="Q4"/>
    <x v="25"/>
    <n v="3"/>
    <n v="3"/>
    <n v="481000"/>
    <x v="256"/>
    <n v="15"/>
    <x v="0"/>
    <n v="149"/>
    <x v="1"/>
  </r>
  <r>
    <n v="1262"/>
    <x v="7"/>
    <x v="0"/>
    <x v="2"/>
    <s v="Q2"/>
    <x v="199"/>
    <n v="3"/>
    <n v="3"/>
    <n v="343000"/>
    <x v="257"/>
    <n v="15"/>
    <x v="2"/>
    <n v="140"/>
    <x v="2"/>
  </r>
  <r>
    <n v="1263"/>
    <x v="15"/>
    <x v="0"/>
    <x v="3"/>
    <s v="Q1"/>
    <x v="73"/>
    <n v="3"/>
    <n v="3"/>
    <n v="389000"/>
    <x v="258"/>
    <n v="10"/>
    <x v="0"/>
    <n v="44"/>
    <x v="0"/>
  </r>
  <r>
    <n v="1264"/>
    <x v="4"/>
    <x v="2"/>
    <x v="3"/>
    <s v="Q2"/>
    <x v="200"/>
    <n v="4"/>
    <n v="4"/>
    <n v="2095000"/>
    <x v="259"/>
    <n v="0"/>
    <x v="0"/>
    <n v="115"/>
    <x v="2"/>
  </r>
  <r>
    <n v="1265"/>
    <x v="12"/>
    <x v="3"/>
    <x v="2"/>
    <s v="Q4"/>
    <x v="201"/>
    <n v="5"/>
    <n v="5"/>
    <n v="1246000"/>
    <x v="260"/>
    <n v="20"/>
    <x v="0"/>
    <n v="174"/>
    <x v="1"/>
  </r>
  <r>
    <n v="1266"/>
    <x v="16"/>
    <x v="1"/>
    <x v="2"/>
    <s v="Q1"/>
    <x v="202"/>
    <n v="5"/>
    <n v="5"/>
    <n v="993000"/>
    <x v="261"/>
    <n v="20"/>
    <x v="1"/>
    <n v="18"/>
    <x v="1"/>
  </r>
  <r>
    <n v="1267"/>
    <x v="16"/>
    <x v="2"/>
    <x v="3"/>
    <s v="Q1"/>
    <x v="74"/>
    <n v="5"/>
    <n v="5"/>
    <n v="2222000"/>
    <x v="262"/>
    <n v="2"/>
    <x v="2"/>
    <n v="167"/>
    <x v="1"/>
  </r>
  <r>
    <n v="1268"/>
    <x v="18"/>
    <x v="1"/>
    <x v="0"/>
    <s v="Q3"/>
    <x v="203"/>
    <n v="4"/>
    <n v="4"/>
    <n v="968000"/>
    <x v="263"/>
    <n v="20"/>
    <x v="1"/>
    <n v="139"/>
    <x v="1"/>
  </r>
  <r>
    <n v="1269"/>
    <x v="0"/>
    <x v="0"/>
    <x v="1"/>
    <s v="Q4"/>
    <x v="128"/>
    <n v="4"/>
    <n v="4"/>
    <n v="401000"/>
    <x v="264"/>
    <n v="4"/>
    <x v="2"/>
    <n v="38"/>
    <x v="0"/>
  </r>
  <r>
    <n v="1270"/>
    <x v="15"/>
    <x v="2"/>
    <x v="2"/>
    <s v="Q1"/>
    <x v="204"/>
    <n v="4"/>
    <n v="4"/>
    <n v="2236000"/>
    <x v="265"/>
    <n v="15"/>
    <x v="0"/>
    <n v="17"/>
    <x v="0"/>
  </r>
  <r>
    <n v="1271"/>
    <x v="17"/>
    <x v="3"/>
    <x v="3"/>
    <s v="Q1"/>
    <x v="130"/>
    <n v="3"/>
    <n v="3"/>
    <n v="1040000"/>
    <x v="266"/>
    <n v="20"/>
    <x v="2"/>
    <n v="101"/>
    <x v="0"/>
  </r>
  <r>
    <n v="1272"/>
    <x v="5"/>
    <x v="0"/>
    <x v="3"/>
    <s v="Q1"/>
    <x v="52"/>
    <n v="3"/>
    <n v="3"/>
    <n v="401000"/>
    <x v="267"/>
    <n v="15"/>
    <x v="2"/>
    <n v="24"/>
    <x v="1"/>
  </r>
  <r>
    <n v="1273"/>
    <x v="18"/>
    <x v="0"/>
    <x v="2"/>
    <s v="Q3"/>
    <x v="22"/>
    <n v="2"/>
    <n v="2"/>
    <n v="434000"/>
    <x v="268"/>
    <n v="15"/>
    <x v="0"/>
    <n v="24"/>
    <x v="1"/>
  </r>
  <r>
    <n v="1274"/>
    <x v="6"/>
    <x v="0"/>
    <x v="3"/>
    <s v="Q1"/>
    <x v="25"/>
    <n v="3"/>
    <n v="3"/>
    <n v="465000"/>
    <x v="269"/>
    <n v="0"/>
    <x v="0"/>
    <n v="32"/>
    <x v="0"/>
  </r>
  <r>
    <n v="1275"/>
    <x v="11"/>
    <x v="4"/>
    <x v="0"/>
    <s v="Q3"/>
    <x v="111"/>
    <n v="0"/>
    <n v="1"/>
    <n v="258000"/>
    <x v="270"/>
    <n v="5"/>
    <x v="1"/>
    <n v="54"/>
    <x v="0"/>
  </r>
  <r>
    <n v="1276"/>
    <x v="13"/>
    <x v="4"/>
    <x v="3"/>
    <s v="Q1"/>
    <x v="205"/>
    <n v="0"/>
    <n v="1"/>
    <n v="320000"/>
    <x v="271"/>
    <n v="3"/>
    <x v="0"/>
    <n v="144"/>
    <x v="1"/>
  </r>
  <r>
    <n v="1277"/>
    <x v="17"/>
    <x v="2"/>
    <x v="2"/>
    <s v="Q4"/>
    <x v="59"/>
    <n v="6"/>
    <n v="6"/>
    <n v="1676000"/>
    <x v="272"/>
    <n v="15"/>
    <x v="0"/>
    <n v="70"/>
    <x v="0"/>
  </r>
  <r>
    <n v="1278"/>
    <x v="2"/>
    <x v="0"/>
    <x v="1"/>
    <s v="Q1"/>
    <x v="99"/>
    <n v="3"/>
    <n v="3"/>
    <n v="342000"/>
    <x v="273"/>
    <n v="2"/>
    <x v="0"/>
    <n v="42"/>
    <x v="0"/>
  </r>
  <r>
    <n v="1279"/>
    <x v="2"/>
    <x v="0"/>
    <x v="1"/>
    <s v="Q3"/>
    <x v="179"/>
    <n v="2"/>
    <n v="2"/>
    <n v="665000"/>
    <x v="274"/>
    <n v="20"/>
    <x v="2"/>
    <n v="32"/>
    <x v="0"/>
  </r>
  <r>
    <n v="1280"/>
    <x v="17"/>
    <x v="2"/>
    <x v="0"/>
    <s v="Q1"/>
    <x v="206"/>
    <n v="5"/>
    <n v="5"/>
    <n v="2454000"/>
    <x v="275"/>
    <n v="5"/>
    <x v="1"/>
    <n v="7"/>
    <x v="0"/>
  </r>
  <r>
    <n v="1281"/>
    <x v="1"/>
    <x v="0"/>
    <x v="1"/>
    <s v="Q1"/>
    <x v="82"/>
    <n v="4"/>
    <n v="4"/>
    <n v="475000"/>
    <x v="276"/>
    <n v="1"/>
    <x v="1"/>
    <n v="130"/>
    <x v="1"/>
  </r>
  <r>
    <n v="1282"/>
    <x v="6"/>
    <x v="0"/>
    <x v="1"/>
    <s v="Q2"/>
    <x v="1"/>
    <n v="2"/>
    <n v="2"/>
    <n v="386000"/>
    <x v="277"/>
    <n v="7"/>
    <x v="0"/>
    <n v="106"/>
    <x v="0"/>
  </r>
  <r>
    <n v="1283"/>
    <x v="6"/>
    <x v="0"/>
    <x v="1"/>
    <s v="Q2"/>
    <x v="86"/>
    <n v="4"/>
    <n v="4"/>
    <n v="303000"/>
    <x v="278"/>
    <n v="7"/>
    <x v="0"/>
    <n v="161"/>
    <x v="0"/>
  </r>
  <r>
    <n v="1284"/>
    <x v="3"/>
    <x v="1"/>
    <x v="1"/>
    <s v="Q2"/>
    <x v="207"/>
    <n v="4"/>
    <n v="4"/>
    <n v="639000"/>
    <x v="279"/>
    <n v="1"/>
    <x v="1"/>
    <n v="127"/>
    <x v="2"/>
  </r>
  <r>
    <n v="1285"/>
    <x v="7"/>
    <x v="0"/>
    <x v="2"/>
    <s v="Q2"/>
    <x v="157"/>
    <n v="3"/>
    <n v="3"/>
    <n v="230000"/>
    <x v="280"/>
    <n v="0"/>
    <x v="0"/>
    <n v="43"/>
    <x v="2"/>
  </r>
  <r>
    <n v="1286"/>
    <x v="6"/>
    <x v="0"/>
    <x v="2"/>
    <s v="Q3"/>
    <x v="208"/>
    <n v="4"/>
    <n v="4"/>
    <n v="298000"/>
    <x v="281"/>
    <n v="1"/>
    <x v="1"/>
    <n v="47"/>
    <x v="0"/>
  </r>
  <r>
    <n v="1287"/>
    <x v="0"/>
    <x v="1"/>
    <x v="2"/>
    <s v="Q4"/>
    <x v="209"/>
    <n v="5"/>
    <n v="5"/>
    <n v="937000"/>
    <x v="282"/>
    <n v="4"/>
    <x v="0"/>
    <n v="99"/>
    <x v="0"/>
  </r>
  <r>
    <n v="1288"/>
    <x v="0"/>
    <x v="4"/>
    <x v="1"/>
    <s v="Q2"/>
    <x v="210"/>
    <n v="0"/>
    <n v="1"/>
    <n v="357000"/>
    <x v="283"/>
    <n v="0"/>
    <x v="1"/>
    <n v="19"/>
    <x v="0"/>
  </r>
  <r>
    <n v="1289"/>
    <x v="6"/>
    <x v="0"/>
    <x v="3"/>
    <s v="Q2"/>
    <x v="120"/>
    <n v="2"/>
    <n v="2"/>
    <n v="534000"/>
    <x v="284"/>
    <n v="20"/>
    <x v="2"/>
    <n v="127"/>
    <x v="0"/>
  </r>
  <r>
    <n v="1290"/>
    <x v="13"/>
    <x v="3"/>
    <x v="1"/>
    <s v="Q4"/>
    <x v="171"/>
    <n v="4"/>
    <n v="4"/>
    <n v="1196000"/>
    <x v="285"/>
    <n v="1"/>
    <x v="1"/>
    <n v="126"/>
    <x v="1"/>
  </r>
  <r>
    <n v="1291"/>
    <x v="5"/>
    <x v="0"/>
    <x v="0"/>
    <s v="Q3"/>
    <x v="94"/>
    <n v="3"/>
    <n v="3"/>
    <n v="356000"/>
    <x v="286"/>
    <n v="5"/>
    <x v="2"/>
    <n v="28"/>
    <x v="1"/>
  </r>
  <r>
    <n v="1292"/>
    <x v="4"/>
    <x v="0"/>
    <x v="2"/>
    <s v="Q3"/>
    <x v="128"/>
    <n v="4"/>
    <n v="4"/>
    <n v="287000"/>
    <x v="287"/>
    <n v="1"/>
    <x v="0"/>
    <n v="176"/>
    <x v="2"/>
  </r>
  <r>
    <n v="1293"/>
    <x v="14"/>
    <x v="4"/>
    <x v="0"/>
    <s v="Q4"/>
    <x v="111"/>
    <n v="0"/>
    <n v="1"/>
    <n v="301000"/>
    <x v="288"/>
    <n v="7"/>
    <x v="0"/>
    <n v="67"/>
    <x v="2"/>
  </r>
  <r>
    <n v="1294"/>
    <x v="18"/>
    <x v="0"/>
    <x v="3"/>
    <s v="Q1"/>
    <x v="122"/>
    <n v="3"/>
    <n v="3"/>
    <n v="565000"/>
    <x v="289"/>
    <n v="1"/>
    <x v="1"/>
    <n v="12"/>
    <x v="1"/>
  </r>
  <r>
    <n v="1295"/>
    <x v="0"/>
    <x v="0"/>
    <x v="0"/>
    <s v="Q4"/>
    <x v="211"/>
    <n v="3"/>
    <n v="3"/>
    <n v="849000"/>
    <x v="290"/>
    <n v="3"/>
    <x v="0"/>
    <n v="157"/>
    <x v="0"/>
  </r>
  <r>
    <n v="1296"/>
    <x v="14"/>
    <x v="2"/>
    <x v="1"/>
    <s v="Q4"/>
    <x v="68"/>
    <n v="6"/>
    <n v="6"/>
    <n v="1783000"/>
    <x v="291"/>
    <n v="0"/>
    <x v="0"/>
    <n v="94"/>
    <x v="2"/>
  </r>
  <r>
    <n v="1297"/>
    <x v="7"/>
    <x v="1"/>
    <x v="1"/>
    <s v="Q1"/>
    <x v="68"/>
    <n v="4"/>
    <n v="4"/>
    <n v="853000"/>
    <x v="292"/>
    <n v="10"/>
    <x v="1"/>
    <n v="77"/>
    <x v="2"/>
  </r>
  <r>
    <n v="1298"/>
    <x v="13"/>
    <x v="0"/>
    <x v="1"/>
    <s v="Q3"/>
    <x v="30"/>
    <n v="3"/>
    <n v="3"/>
    <n v="513000"/>
    <x v="293"/>
    <n v="5"/>
    <x v="0"/>
    <n v="155"/>
    <x v="1"/>
  </r>
  <r>
    <n v="1299"/>
    <x v="9"/>
    <x v="2"/>
    <x v="2"/>
    <s v="Q4"/>
    <x v="80"/>
    <n v="5"/>
    <n v="5"/>
    <n v="2074000"/>
    <x v="294"/>
    <n v="5"/>
    <x v="0"/>
    <n v="174"/>
    <x v="2"/>
  </r>
  <r>
    <n v="1300"/>
    <x v="0"/>
    <x v="3"/>
    <x v="2"/>
    <s v="Q3"/>
    <x v="212"/>
    <n v="4"/>
    <n v="4"/>
    <n v="892000"/>
    <x v="295"/>
    <n v="7"/>
    <x v="0"/>
    <n v="86"/>
    <x v="0"/>
  </r>
  <r>
    <n v="1301"/>
    <x v="2"/>
    <x v="0"/>
    <x v="1"/>
    <s v="Q4"/>
    <x v="34"/>
    <n v="2"/>
    <n v="2"/>
    <n v="445000"/>
    <x v="296"/>
    <n v="1"/>
    <x v="0"/>
    <n v="166"/>
    <x v="0"/>
  </r>
  <r>
    <n v="1302"/>
    <x v="4"/>
    <x v="0"/>
    <x v="0"/>
    <s v="Q3"/>
    <x v="3"/>
    <n v="3"/>
    <n v="3"/>
    <n v="453000"/>
    <x v="297"/>
    <n v="0"/>
    <x v="2"/>
    <n v="80"/>
    <x v="2"/>
  </r>
  <r>
    <n v="1303"/>
    <x v="6"/>
    <x v="0"/>
    <x v="3"/>
    <s v="Q1"/>
    <x v="127"/>
    <n v="3"/>
    <n v="3"/>
    <n v="390000"/>
    <x v="298"/>
    <n v="10"/>
    <x v="2"/>
    <n v="157"/>
    <x v="0"/>
  </r>
  <r>
    <n v="1304"/>
    <x v="1"/>
    <x v="2"/>
    <x v="1"/>
    <s v="Q1"/>
    <x v="59"/>
    <n v="5"/>
    <n v="5"/>
    <n v="1652000"/>
    <x v="299"/>
    <n v="15"/>
    <x v="1"/>
    <n v="35"/>
    <x v="1"/>
  </r>
  <r>
    <n v="1305"/>
    <x v="11"/>
    <x v="4"/>
    <x v="1"/>
    <s v="Q1"/>
    <x v="75"/>
    <n v="0"/>
    <n v="1"/>
    <n v="280000"/>
    <x v="300"/>
    <n v="1"/>
    <x v="0"/>
    <n v="84"/>
    <x v="0"/>
  </r>
  <r>
    <n v="1306"/>
    <x v="18"/>
    <x v="2"/>
    <x v="2"/>
    <s v="Q1"/>
    <x v="213"/>
    <n v="6"/>
    <n v="6"/>
    <n v="1773000"/>
    <x v="301"/>
    <n v="3"/>
    <x v="2"/>
    <n v="86"/>
    <x v="1"/>
  </r>
  <r>
    <n v="1307"/>
    <x v="5"/>
    <x v="0"/>
    <x v="1"/>
    <s v="Q3"/>
    <x v="5"/>
    <n v="2"/>
    <n v="2"/>
    <n v="431000"/>
    <x v="302"/>
    <n v="0"/>
    <x v="2"/>
    <n v="141"/>
    <x v="1"/>
  </r>
  <r>
    <n v="1308"/>
    <x v="11"/>
    <x v="4"/>
    <x v="1"/>
    <s v="Q2"/>
    <x v="83"/>
    <n v="0"/>
    <n v="1"/>
    <n v="202000"/>
    <x v="303"/>
    <n v="0"/>
    <x v="2"/>
    <n v="117"/>
    <x v="0"/>
  </r>
  <r>
    <n v="1309"/>
    <x v="3"/>
    <x v="4"/>
    <x v="1"/>
    <s v="Q3"/>
    <x v="184"/>
    <n v="0"/>
    <n v="1"/>
    <n v="194000"/>
    <x v="304"/>
    <n v="15"/>
    <x v="0"/>
    <n v="40"/>
    <x v="2"/>
  </r>
  <r>
    <n v="1310"/>
    <x v="15"/>
    <x v="1"/>
    <x v="3"/>
    <s v="Q1"/>
    <x v="214"/>
    <n v="4"/>
    <n v="4"/>
    <n v="746000"/>
    <x v="305"/>
    <n v="7"/>
    <x v="0"/>
    <n v="61"/>
    <x v="0"/>
  </r>
  <r>
    <n v="1311"/>
    <x v="8"/>
    <x v="2"/>
    <x v="0"/>
    <s v="Q3"/>
    <x v="215"/>
    <n v="5"/>
    <n v="5"/>
    <n v="2402000"/>
    <x v="306"/>
    <n v="10"/>
    <x v="2"/>
    <n v="145"/>
    <x v="0"/>
  </r>
  <r>
    <n v="1312"/>
    <x v="3"/>
    <x v="2"/>
    <x v="0"/>
    <s v="Q2"/>
    <x v="216"/>
    <n v="5"/>
    <n v="5"/>
    <n v="1789000"/>
    <x v="307"/>
    <n v="15"/>
    <x v="0"/>
    <n v="133"/>
    <x v="2"/>
  </r>
  <r>
    <n v="1313"/>
    <x v="7"/>
    <x v="1"/>
    <x v="1"/>
    <s v="Q3"/>
    <x v="217"/>
    <n v="5"/>
    <n v="5"/>
    <n v="576000"/>
    <x v="308"/>
    <n v="2"/>
    <x v="1"/>
    <n v="119"/>
    <x v="2"/>
  </r>
  <r>
    <n v="1314"/>
    <x v="5"/>
    <x v="0"/>
    <x v="2"/>
    <s v="Q4"/>
    <x v="30"/>
    <n v="3"/>
    <n v="3"/>
    <n v="300000"/>
    <x v="309"/>
    <n v="15"/>
    <x v="0"/>
    <n v="41"/>
    <x v="1"/>
  </r>
  <r>
    <n v="1315"/>
    <x v="17"/>
    <x v="1"/>
    <x v="0"/>
    <s v="Q4"/>
    <x v="117"/>
    <n v="4"/>
    <n v="4"/>
    <n v="1075000"/>
    <x v="310"/>
    <n v="2"/>
    <x v="2"/>
    <n v="85"/>
    <x v="0"/>
  </r>
  <r>
    <n v="1316"/>
    <x v="7"/>
    <x v="2"/>
    <x v="2"/>
    <s v="Q4"/>
    <x v="218"/>
    <n v="6"/>
    <n v="6"/>
    <n v="1696000"/>
    <x v="311"/>
    <n v="2"/>
    <x v="1"/>
    <n v="154"/>
    <x v="2"/>
  </r>
  <r>
    <n v="1317"/>
    <x v="16"/>
    <x v="3"/>
    <x v="0"/>
    <s v="Q4"/>
    <x v="219"/>
    <n v="5"/>
    <n v="5"/>
    <n v="1031000"/>
    <x v="312"/>
    <n v="1"/>
    <x v="1"/>
    <n v="60"/>
    <x v="1"/>
  </r>
  <r>
    <n v="1318"/>
    <x v="2"/>
    <x v="0"/>
    <x v="2"/>
    <s v="Q1"/>
    <x v="7"/>
    <n v="4"/>
    <n v="4"/>
    <n v="511000"/>
    <x v="313"/>
    <n v="5"/>
    <x v="1"/>
    <n v="142"/>
    <x v="0"/>
  </r>
  <r>
    <n v="1319"/>
    <x v="10"/>
    <x v="0"/>
    <x v="3"/>
    <s v="Q4"/>
    <x v="220"/>
    <n v="4"/>
    <n v="4"/>
    <n v="786000"/>
    <x v="314"/>
    <n v="0"/>
    <x v="0"/>
    <n v="132"/>
    <x v="1"/>
  </r>
  <r>
    <n v="1320"/>
    <x v="12"/>
    <x v="4"/>
    <x v="1"/>
    <s v="Q1"/>
    <x v="184"/>
    <n v="0"/>
    <n v="1"/>
    <n v="384000"/>
    <x v="315"/>
    <n v="15"/>
    <x v="0"/>
    <n v="19"/>
    <x v="1"/>
  </r>
  <r>
    <n v="1321"/>
    <x v="9"/>
    <x v="2"/>
    <x v="1"/>
    <s v="Q1"/>
    <x v="221"/>
    <n v="5"/>
    <n v="5"/>
    <n v="2643000"/>
    <x v="316"/>
    <n v="10"/>
    <x v="0"/>
    <n v="61"/>
    <x v="2"/>
  </r>
  <r>
    <n v="1322"/>
    <x v="16"/>
    <x v="0"/>
    <x v="3"/>
    <s v="Q3"/>
    <x v="199"/>
    <n v="3"/>
    <n v="3"/>
    <n v="732000"/>
    <x v="317"/>
    <n v="1"/>
    <x v="0"/>
    <n v="24"/>
    <x v="1"/>
  </r>
  <r>
    <n v="1323"/>
    <x v="12"/>
    <x v="2"/>
    <x v="1"/>
    <s v="Q1"/>
    <x v="222"/>
    <n v="6"/>
    <n v="6"/>
    <n v="2435000"/>
    <x v="318"/>
    <n v="1"/>
    <x v="0"/>
    <n v="9"/>
    <x v="1"/>
  </r>
  <r>
    <n v="1324"/>
    <x v="1"/>
    <x v="1"/>
    <x v="2"/>
    <s v="Q1"/>
    <x v="223"/>
    <n v="5"/>
    <n v="5"/>
    <n v="956000"/>
    <x v="319"/>
    <n v="0"/>
    <x v="1"/>
    <n v="127"/>
    <x v="1"/>
  </r>
  <r>
    <n v="1325"/>
    <x v="11"/>
    <x v="1"/>
    <x v="2"/>
    <s v="Q3"/>
    <x v="224"/>
    <n v="3"/>
    <n v="3"/>
    <n v="1022000"/>
    <x v="320"/>
    <n v="5"/>
    <x v="1"/>
    <n v="150"/>
    <x v="0"/>
  </r>
  <r>
    <n v="1326"/>
    <x v="0"/>
    <x v="2"/>
    <x v="2"/>
    <s v="Q3"/>
    <x v="174"/>
    <n v="6"/>
    <n v="6"/>
    <n v="2156000"/>
    <x v="321"/>
    <n v="5"/>
    <x v="2"/>
    <n v="150"/>
    <x v="0"/>
  </r>
  <r>
    <n v="1327"/>
    <x v="11"/>
    <x v="0"/>
    <x v="3"/>
    <s v="Q3"/>
    <x v="225"/>
    <n v="3"/>
    <n v="3"/>
    <n v="475000"/>
    <x v="322"/>
    <n v="7"/>
    <x v="0"/>
    <n v="43"/>
    <x v="0"/>
  </r>
  <r>
    <n v="1328"/>
    <x v="12"/>
    <x v="1"/>
    <x v="2"/>
    <s v="Q4"/>
    <x v="226"/>
    <n v="3"/>
    <n v="3"/>
    <n v="1515000"/>
    <x v="323"/>
    <n v="10"/>
    <x v="2"/>
    <n v="116"/>
    <x v="1"/>
  </r>
  <r>
    <n v="1329"/>
    <x v="19"/>
    <x v="3"/>
    <x v="0"/>
    <s v="Q3"/>
    <x v="142"/>
    <n v="3"/>
    <n v="3"/>
    <n v="782000"/>
    <x v="324"/>
    <n v="15"/>
    <x v="2"/>
    <n v="65"/>
    <x v="2"/>
  </r>
  <r>
    <n v="1330"/>
    <x v="6"/>
    <x v="2"/>
    <x v="2"/>
    <s v="Q1"/>
    <x v="227"/>
    <n v="5"/>
    <n v="5"/>
    <n v="1845000"/>
    <x v="325"/>
    <n v="7"/>
    <x v="0"/>
    <n v="162"/>
    <x v="0"/>
  </r>
  <r>
    <n v="1331"/>
    <x v="3"/>
    <x v="0"/>
    <x v="2"/>
    <s v="Q3"/>
    <x v="228"/>
    <n v="3"/>
    <n v="3"/>
    <n v="320000"/>
    <x v="326"/>
    <n v="3"/>
    <x v="0"/>
    <n v="151"/>
    <x v="2"/>
  </r>
  <r>
    <n v="1332"/>
    <x v="14"/>
    <x v="1"/>
    <x v="1"/>
    <s v="Q1"/>
    <x v="229"/>
    <n v="3"/>
    <n v="3"/>
    <n v="843000"/>
    <x v="327"/>
    <n v="3"/>
    <x v="0"/>
    <n v="145"/>
    <x v="2"/>
  </r>
  <r>
    <n v="1333"/>
    <x v="19"/>
    <x v="0"/>
    <x v="3"/>
    <s v="Q3"/>
    <x v="230"/>
    <n v="2"/>
    <n v="2"/>
    <n v="368000"/>
    <x v="328"/>
    <n v="0"/>
    <x v="0"/>
    <n v="9"/>
    <x v="2"/>
  </r>
  <r>
    <n v="1334"/>
    <x v="8"/>
    <x v="1"/>
    <x v="2"/>
    <s v="Q2"/>
    <x v="231"/>
    <n v="3"/>
    <n v="3"/>
    <n v="986000"/>
    <x v="329"/>
    <n v="10"/>
    <x v="0"/>
    <n v="120"/>
    <x v="0"/>
  </r>
  <r>
    <n v="1335"/>
    <x v="18"/>
    <x v="0"/>
    <x v="2"/>
    <s v="Q1"/>
    <x v="197"/>
    <n v="3"/>
    <n v="3"/>
    <n v="559000"/>
    <x v="330"/>
    <n v="0"/>
    <x v="0"/>
    <n v="44"/>
    <x v="1"/>
  </r>
  <r>
    <n v="1336"/>
    <x v="8"/>
    <x v="0"/>
    <x v="1"/>
    <s v="Q4"/>
    <x v="19"/>
    <n v="4"/>
    <n v="4"/>
    <n v="612000"/>
    <x v="331"/>
    <n v="3"/>
    <x v="0"/>
    <n v="16"/>
    <x v="0"/>
  </r>
  <r>
    <n v="1337"/>
    <x v="14"/>
    <x v="2"/>
    <x v="2"/>
    <s v="Q4"/>
    <x v="232"/>
    <n v="6"/>
    <n v="6"/>
    <n v="1419000"/>
    <x v="332"/>
    <n v="0"/>
    <x v="0"/>
    <n v="149"/>
    <x v="2"/>
  </r>
  <r>
    <n v="1338"/>
    <x v="3"/>
    <x v="3"/>
    <x v="0"/>
    <s v="Q2"/>
    <x v="233"/>
    <n v="3"/>
    <n v="3"/>
    <n v="500000"/>
    <x v="333"/>
    <n v="10"/>
    <x v="2"/>
    <n v="60"/>
    <x v="2"/>
  </r>
  <r>
    <n v="1339"/>
    <x v="3"/>
    <x v="2"/>
    <x v="0"/>
    <s v="Q4"/>
    <x v="234"/>
    <n v="5"/>
    <n v="5"/>
    <n v="2155000"/>
    <x v="334"/>
    <n v="2"/>
    <x v="2"/>
    <n v="174"/>
    <x v="2"/>
  </r>
  <r>
    <n v="1340"/>
    <x v="15"/>
    <x v="2"/>
    <x v="0"/>
    <s v="Q1"/>
    <x v="216"/>
    <n v="6"/>
    <n v="6"/>
    <n v="2451000"/>
    <x v="335"/>
    <n v="15"/>
    <x v="0"/>
    <n v="74"/>
    <x v="0"/>
  </r>
  <r>
    <n v="1341"/>
    <x v="8"/>
    <x v="2"/>
    <x v="1"/>
    <s v="Q1"/>
    <x v="235"/>
    <n v="6"/>
    <n v="6"/>
    <n v="3236000"/>
    <x v="336"/>
    <n v="7"/>
    <x v="1"/>
    <n v="75"/>
    <x v="0"/>
  </r>
  <r>
    <n v="1342"/>
    <x v="7"/>
    <x v="0"/>
    <x v="3"/>
    <s v="Q4"/>
    <x v="6"/>
    <n v="3"/>
    <n v="3"/>
    <n v="361000"/>
    <x v="337"/>
    <n v="10"/>
    <x v="0"/>
    <n v="78"/>
    <x v="2"/>
  </r>
  <r>
    <n v="1343"/>
    <x v="7"/>
    <x v="2"/>
    <x v="1"/>
    <s v="Q2"/>
    <x v="130"/>
    <n v="6"/>
    <n v="6"/>
    <n v="1392000"/>
    <x v="338"/>
    <n v="5"/>
    <x v="2"/>
    <n v="91"/>
    <x v="2"/>
  </r>
  <r>
    <n v="1344"/>
    <x v="18"/>
    <x v="2"/>
    <x v="1"/>
    <s v="Q3"/>
    <x v="133"/>
    <n v="5"/>
    <n v="5"/>
    <n v="1964000"/>
    <x v="339"/>
    <n v="10"/>
    <x v="1"/>
    <n v="109"/>
    <x v="1"/>
  </r>
  <r>
    <n v="1345"/>
    <x v="9"/>
    <x v="0"/>
    <x v="0"/>
    <s v="Q2"/>
    <x v="6"/>
    <n v="3"/>
    <n v="3"/>
    <n v="603000"/>
    <x v="340"/>
    <n v="2"/>
    <x v="0"/>
    <n v="177"/>
    <x v="2"/>
  </r>
  <r>
    <n v="1346"/>
    <x v="2"/>
    <x v="2"/>
    <x v="0"/>
    <s v="Q1"/>
    <x v="123"/>
    <n v="6"/>
    <n v="6"/>
    <n v="2674000"/>
    <x v="187"/>
    <n v="10"/>
    <x v="2"/>
    <n v="52"/>
    <x v="0"/>
  </r>
  <r>
    <n v="1347"/>
    <x v="13"/>
    <x v="4"/>
    <x v="2"/>
    <s v="Q1"/>
    <x v="205"/>
    <n v="0"/>
    <n v="1"/>
    <n v="278000"/>
    <x v="341"/>
    <n v="0"/>
    <x v="1"/>
    <n v="142"/>
    <x v="1"/>
  </r>
  <r>
    <n v="1348"/>
    <x v="15"/>
    <x v="1"/>
    <x v="1"/>
    <s v="Q1"/>
    <x v="236"/>
    <n v="4"/>
    <n v="4"/>
    <n v="974000"/>
    <x v="342"/>
    <n v="10"/>
    <x v="1"/>
    <n v="157"/>
    <x v="0"/>
  </r>
  <r>
    <n v="1349"/>
    <x v="5"/>
    <x v="4"/>
    <x v="3"/>
    <s v="Q2"/>
    <x v="237"/>
    <n v="0"/>
    <n v="1"/>
    <n v="171000"/>
    <x v="343"/>
    <n v="3"/>
    <x v="2"/>
    <n v="124"/>
    <x v="1"/>
  </r>
  <r>
    <n v="1350"/>
    <x v="5"/>
    <x v="0"/>
    <x v="0"/>
    <s v="Q2"/>
    <x v="5"/>
    <n v="4"/>
    <n v="4"/>
    <n v="501000"/>
    <x v="344"/>
    <n v="5"/>
    <x v="0"/>
    <n v="140"/>
    <x v="1"/>
  </r>
  <r>
    <n v="1351"/>
    <x v="11"/>
    <x v="0"/>
    <x v="1"/>
    <s v="Q1"/>
    <x v="73"/>
    <n v="3"/>
    <n v="3"/>
    <n v="393000"/>
    <x v="345"/>
    <n v="0"/>
    <x v="1"/>
    <n v="48"/>
    <x v="0"/>
  </r>
  <r>
    <n v="1352"/>
    <x v="2"/>
    <x v="2"/>
    <x v="0"/>
    <s v="Q1"/>
    <x v="238"/>
    <n v="5"/>
    <n v="5"/>
    <n v="2466000"/>
    <x v="346"/>
    <n v="1"/>
    <x v="0"/>
    <n v="10"/>
    <x v="0"/>
  </r>
  <r>
    <n v="1353"/>
    <x v="3"/>
    <x v="4"/>
    <x v="0"/>
    <s v="Q4"/>
    <x v="239"/>
    <n v="0"/>
    <n v="1"/>
    <n v="251000"/>
    <x v="347"/>
    <n v="1"/>
    <x v="1"/>
    <n v="13"/>
    <x v="2"/>
  </r>
  <r>
    <n v="1354"/>
    <x v="9"/>
    <x v="0"/>
    <x v="3"/>
    <s v="Q1"/>
    <x v="240"/>
    <n v="3"/>
    <n v="3"/>
    <n v="420000"/>
    <x v="348"/>
    <n v="2"/>
    <x v="0"/>
    <n v="40"/>
    <x v="2"/>
  </r>
  <r>
    <n v="1355"/>
    <x v="3"/>
    <x v="2"/>
    <x v="2"/>
    <s v="Q1"/>
    <x v="241"/>
    <n v="5"/>
    <n v="5"/>
    <n v="1988000"/>
    <x v="349"/>
    <n v="5"/>
    <x v="0"/>
    <n v="173"/>
    <x v="2"/>
  </r>
  <r>
    <n v="1356"/>
    <x v="6"/>
    <x v="0"/>
    <x v="2"/>
    <s v="Q4"/>
    <x v="55"/>
    <n v="3"/>
    <n v="3"/>
    <n v="386000"/>
    <x v="350"/>
    <n v="15"/>
    <x v="0"/>
    <n v="145"/>
    <x v="0"/>
  </r>
  <r>
    <n v="1357"/>
    <x v="19"/>
    <x v="2"/>
    <x v="0"/>
    <s v="Q2"/>
    <x v="242"/>
    <n v="4"/>
    <n v="4"/>
    <n v="1593000"/>
    <x v="351"/>
    <n v="20"/>
    <x v="2"/>
    <n v="96"/>
    <x v="2"/>
  </r>
  <r>
    <n v="1358"/>
    <x v="10"/>
    <x v="0"/>
    <x v="1"/>
    <s v="Q4"/>
    <x v="189"/>
    <n v="2"/>
    <n v="2"/>
    <n v="564000"/>
    <x v="352"/>
    <n v="10"/>
    <x v="1"/>
    <n v="124"/>
    <x v="1"/>
  </r>
  <r>
    <n v="1359"/>
    <x v="12"/>
    <x v="2"/>
    <x v="0"/>
    <s v="Q1"/>
    <x v="243"/>
    <n v="4"/>
    <n v="4"/>
    <n v="3813000"/>
    <x v="353"/>
    <n v="10"/>
    <x v="0"/>
    <n v="104"/>
    <x v="1"/>
  </r>
  <r>
    <n v="1360"/>
    <x v="17"/>
    <x v="4"/>
    <x v="3"/>
    <s v="Q4"/>
    <x v="143"/>
    <n v="0"/>
    <n v="1"/>
    <n v="230000"/>
    <x v="354"/>
    <n v="0"/>
    <x v="0"/>
    <n v="97"/>
    <x v="0"/>
  </r>
  <r>
    <n v="1361"/>
    <x v="3"/>
    <x v="0"/>
    <x v="2"/>
    <s v="Q1"/>
    <x v="95"/>
    <n v="3"/>
    <n v="3"/>
    <n v="365000"/>
    <x v="355"/>
    <n v="2"/>
    <x v="1"/>
    <n v="138"/>
    <x v="2"/>
  </r>
  <r>
    <n v="1362"/>
    <x v="19"/>
    <x v="0"/>
    <x v="2"/>
    <s v="Q4"/>
    <x v="244"/>
    <n v="3"/>
    <n v="3"/>
    <n v="550000"/>
    <x v="356"/>
    <n v="3"/>
    <x v="2"/>
    <n v="99"/>
    <x v="2"/>
  </r>
  <r>
    <n v="1363"/>
    <x v="16"/>
    <x v="0"/>
    <x v="0"/>
    <s v="Q1"/>
    <x v="245"/>
    <n v="3"/>
    <n v="3"/>
    <n v="574000"/>
    <x v="357"/>
    <n v="5"/>
    <x v="0"/>
    <n v="99"/>
    <x v="1"/>
  </r>
  <r>
    <n v="1364"/>
    <x v="10"/>
    <x v="0"/>
    <x v="0"/>
    <s v="Q2"/>
    <x v="230"/>
    <n v="4"/>
    <n v="4"/>
    <n v="496000"/>
    <x v="358"/>
    <n v="1"/>
    <x v="2"/>
    <n v="35"/>
    <x v="1"/>
  </r>
  <r>
    <n v="1365"/>
    <x v="2"/>
    <x v="1"/>
    <x v="2"/>
    <s v="Q4"/>
    <x v="180"/>
    <n v="4"/>
    <n v="4"/>
    <n v="1078000"/>
    <x v="359"/>
    <n v="0"/>
    <x v="0"/>
    <n v="88"/>
    <x v="0"/>
  </r>
  <r>
    <n v="1366"/>
    <x v="6"/>
    <x v="0"/>
    <x v="1"/>
    <s v="Q1"/>
    <x v="103"/>
    <n v="3"/>
    <n v="3"/>
    <n v="406000"/>
    <x v="360"/>
    <n v="4"/>
    <x v="0"/>
    <n v="119"/>
    <x v="0"/>
  </r>
  <r>
    <n v="1367"/>
    <x v="7"/>
    <x v="0"/>
    <x v="0"/>
    <s v="Q3"/>
    <x v="229"/>
    <n v="4"/>
    <n v="4"/>
    <n v="475000"/>
    <x v="361"/>
    <n v="1"/>
    <x v="1"/>
    <n v="134"/>
    <x v="2"/>
  </r>
  <r>
    <n v="1368"/>
    <x v="13"/>
    <x v="0"/>
    <x v="0"/>
    <s v="Q2"/>
    <x v="161"/>
    <n v="3"/>
    <n v="3"/>
    <n v="686000"/>
    <x v="217"/>
    <n v="2"/>
    <x v="0"/>
    <n v="100"/>
    <x v="1"/>
  </r>
  <r>
    <n v="1369"/>
    <x v="2"/>
    <x v="2"/>
    <x v="2"/>
    <s v="Q3"/>
    <x v="57"/>
    <n v="5"/>
    <n v="5"/>
    <n v="1722000"/>
    <x v="362"/>
    <n v="15"/>
    <x v="1"/>
    <n v="14"/>
    <x v="0"/>
  </r>
  <r>
    <n v="1370"/>
    <x v="12"/>
    <x v="4"/>
    <x v="2"/>
    <s v="Q4"/>
    <x v="237"/>
    <n v="0"/>
    <n v="1"/>
    <n v="251000"/>
    <x v="363"/>
    <n v="15"/>
    <x v="0"/>
    <n v="118"/>
    <x v="1"/>
  </r>
  <r>
    <n v="1371"/>
    <x v="16"/>
    <x v="0"/>
    <x v="1"/>
    <s v="Q3"/>
    <x v="246"/>
    <n v="3"/>
    <n v="3"/>
    <n v="387000"/>
    <x v="364"/>
    <n v="2"/>
    <x v="1"/>
    <n v="43"/>
    <x v="1"/>
  </r>
  <r>
    <n v="1372"/>
    <x v="3"/>
    <x v="1"/>
    <x v="1"/>
    <s v="Q4"/>
    <x v="247"/>
    <n v="4"/>
    <n v="4"/>
    <n v="641000"/>
    <x v="365"/>
    <n v="10"/>
    <x v="2"/>
    <n v="8"/>
    <x v="2"/>
  </r>
  <r>
    <n v="1373"/>
    <x v="14"/>
    <x v="0"/>
    <x v="0"/>
    <s v="Q3"/>
    <x v="248"/>
    <n v="3"/>
    <n v="3"/>
    <n v="463000"/>
    <x v="366"/>
    <n v="15"/>
    <x v="0"/>
    <n v="85"/>
    <x v="2"/>
  </r>
  <r>
    <n v="1374"/>
    <x v="19"/>
    <x v="4"/>
    <x v="2"/>
    <s v="Q3"/>
    <x v="249"/>
    <n v="0"/>
    <n v="1"/>
    <n v="172000"/>
    <x v="367"/>
    <n v="5"/>
    <x v="1"/>
    <n v="118"/>
    <x v="2"/>
  </r>
  <r>
    <n v="1375"/>
    <x v="4"/>
    <x v="2"/>
    <x v="2"/>
    <s v="Q3"/>
    <x v="226"/>
    <n v="6"/>
    <n v="6"/>
    <n v="1128000"/>
    <x v="368"/>
    <n v="10"/>
    <x v="0"/>
    <n v="143"/>
    <x v="2"/>
  </r>
  <r>
    <n v="1376"/>
    <x v="3"/>
    <x v="0"/>
    <x v="1"/>
    <s v="Q4"/>
    <x v="250"/>
    <n v="3"/>
    <n v="3"/>
    <n v="167000"/>
    <x v="369"/>
    <n v="7"/>
    <x v="1"/>
    <n v="34"/>
    <x v="2"/>
  </r>
  <r>
    <n v="1377"/>
    <x v="4"/>
    <x v="2"/>
    <x v="2"/>
    <s v="Q2"/>
    <x v="251"/>
    <n v="4"/>
    <n v="4"/>
    <n v="1613000"/>
    <x v="370"/>
    <n v="7"/>
    <x v="0"/>
    <n v="107"/>
    <x v="2"/>
  </r>
  <r>
    <n v="1378"/>
    <x v="13"/>
    <x v="0"/>
    <x v="2"/>
    <s v="Q2"/>
    <x v="252"/>
    <n v="3"/>
    <n v="3"/>
    <n v="737000"/>
    <x v="371"/>
    <n v="0"/>
    <x v="1"/>
    <n v="167"/>
    <x v="1"/>
  </r>
  <r>
    <n v="1379"/>
    <x v="9"/>
    <x v="3"/>
    <x v="2"/>
    <s v="Q3"/>
    <x v="145"/>
    <n v="5"/>
    <n v="5"/>
    <n v="1224000"/>
    <x v="372"/>
    <n v="20"/>
    <x v="2"/>
    <n v="31"/>
    <x v="2"/>
  </r>
  <r>
    <n v="1380"/>
    <x v="13"/>
    <x v="2"/>
    <x v="1"/>
    <s v="Q3"/>
    <x v="194"/>
    <n v="6"/>
    <n v="6"/>
    <n v="2439000"/>
    <x v="373"/>
    <n v="5"/>
    <x v="1"/>
    <n v="70"/>
    <x v="1"/>
  </r>
  <r>
    <n v="1381"/>
    <x v="0"/>
    <x v="0"/>
    <x v="3"/>
    <s v="Q2"/>
    <x v="253"/>
    <n v="2"/>
    <n v="2"/>
    <n v="499000"/>
    <x v="374"/>
    <n v="5"/>
    <x v="2"/>
    <n v="96"/>
    <x v="0"/>
  </r>
  <r>
    <n v="1382"/>
    <x v="0"/>
    <x v="0"/>
    <x v="1"/>
    <s v="Q1"/>
    <x v="254"/>
    <n v="4"/>
    <n v="4"/>
    <n v="743000"/>
    <x v="375"/>
    <n v="7"/>
    <x v="0"/>
    <n v="169"/>
    <x v="0"/>
  </r>
  <r>
    <n v="1383"/>
    <x v="14"/>
    <x v="1"/>
    <x v="3"/>
    <s v="Q3"/>
    <x v="178"/>
    <n v="5"/>
    <n v="5"/>
    <n v="1610000"/>
    <x v="376"/>
    <n v="4"/>
    <x v="1"/>
    <n v="155"/>
    <x v="2"/>
  </r>
  <r>
    <n v="1384"/>
    <x v="15"/>
    <x v="2"/>
    <x v="3"/>
    <s v="Q3"/>
    <x v="255"/>
    <n v="4"/>
    <n v="4"/>
    <n v="2156000"/>
    <x v="377"/>
    <n v="4"/>
    <x v="0"/>
    <n v="68"/>
    <x v="0"/>
  </r>
  <r>
    <n v="1385"/>
    <x v="11"/>
    <x v="1"/>
    <x v="0"/>
    <s v="Q4"/>
    <x v="154"/>
    <n v="3"/>
    <n v="3"/>
    <n v="1082000"/>
    <x v="378"/>
    <n v="7"/>
    <x v="1"/>
    <n v="154"/>
    <x v="0"/>
  </r>
  <r>
    <n v="1386"/>
    <x v="13"/>
    <x v="2"/>
    <x v="0"/>
    <s v="Q4"/>
    <x v="256"/>
    <n v="6"/>
    <n v="6"/>
    <n v="2996000"/>
    <x v="379"/>
    <n v="3"/>
    <x v="0"/>
    <n v="46"/>
    <x v="1"/>
  </r>
  <r>
    <n v="1387"/>
    <x v="15"/>
    <x v="2"/>
    <x v="3"/>
    <s v="Q2"/>
    <x v="257"/>
    <n v="6"/>
    <n v="6"/>
    <n v="1820000"/>
    <x v="380"/>
    <n v="20"/>
    <x v="1"/>
    <n v="92"/>
    <x v="0"/>
  </r>
  <r>
    <n v="1388"/>
    <x v="6"/>
    <x v="4"/>
    <x v="2"/>
    <s v="Q2"/>
    <x v="249"/>
    <n v="0"/>
    <n v="1"/>
    <n v="173000"/>
    <x v="381"/>
    <n v="4"/>
    <x v="0"/>
    <n v="16"/>
    <x v="0"/>
  </r>
  <r>
    <n v="1389"/>
    <x v="8"/>
    <x v="0"/>
    <x v="2"/>
    <s v="Q1"/>
    <x v="258"/>
    <n v="4"/>
    <n v="4"/>
    <n v="589000"/>
    <x v="382"/>
    <n v="20"/>
    <x v="1"/>
    <n v="140"/>
    <x v="0"/>
  </r>
  <r>
    <n v="1390"/>
    <x v="2"/>
    <x v="2"/>
    <x v="3"/>
    <s v="Q1"/>
    <x v="259"/>
    <n v="5"/>
    <n v="5"/>
    <n v="2952000"/>
    <x v="383"/>
    <n v="10"/>
    <x v="0"/>
    <n v="126"/>
    <x v="0"/>
  </r>
  <r>
    <n v="1391"/>
    <x v="3"/>
    <x v="0"/>
    <x v="2"/>
    <s v="Q3"/>
    <x v="198"/>
    <n v="3"/>
    <n v="3"/>
    <n v="178000"/>
    <x v="384"/>
    <n v="20"/>
    <x v="2"/>
    <n v="64"/>
    <x v="2"/>
  </r>
  <r>
    <n v="1392"/>
    <x v="18"/>
    <x v="2"/>
    <x v="1"/>
    <s v="Q1"/>
    <x v="147"/>
    <n v="5"/>
    <n v="5"/>
    <n v="1390000"/>
    <x v="385"/>
    <n v="15"/>
    <x v="2"/>
    <n v="63"/>
    <x v="1"/>
  </r>
  <r>
    <n v="1393"/>
    <x v="8"/>
    <x v="0"/>
    <x v="1"/>
    <s v="Q4"/>
    <x v="169"/>
    <n v="4"/>
    <n v="4"/>
    <n v="406000"/>
    <x v="386"/>
    <n v="3"/>
    <x v="1"/>
    <n v="14"/>
    <x v="0"/>
  </r>
  <r>
    <n v="1394"/>
    <x v="15"/>
    <x v="0"/>
    <x v="2"/>
    <s v="Q3"/>
    <x v="122"/>
    <n v="3"/>
    <n v="3"/>
    <n v="440000"/>
    <x v="387"/>
    <n v="4"/>
    <x v="1"/>
    <n v="62"/>
    <x v="0"/>
  </r>
  <r>
    <n v="1395"/>
    <x v="19"/>
    <x v="1"/>
    <x v="2"/>
    <s v="Q4"/>
    <x v="188"/>
    <n v="4"/>
    <n v="4"/>
    <n v="1026000"/>
    <x v="388"/>
    <n v="7"/>
    <x v="2"/>
    <n v="122"/>
    <x v="2"/>
  </r>
  <r>
    <n v="1396"/>
    <x v="17"/>
    <x v="4"/>
    <x v="3"/>
    <s v="Q3"/>
    <x v="116"/>
    <n v="0"/>
    <n v="1"/>
    <n v="276000"/>
    <x v="389"/>
    <n v="0"/>
    <x v="0"/>
    <n v="148"/>
    <x v="0"/>
  </r>
  <r>
    <n v="1397"/>
    <x v="10"/>
    <x v="2"/>
    <x v="1"/>
    <s v="Q4"/>
    <x v="242"/>
    <n v="5"/>
    <n v="5"/>
    <n v="1735000"/>
    <x v="390"/>
    <n v="1"/>
    <x v="2"/>
    <n v="123"/>
    <x v="1"/>
  </r>
  <r>
    <n v="1398"/>
    <x v="11"/>
    <x v="2"/>
    <x v="1"/>
    <s v="Q2"/>
    <x v="260"/>
    <n v="5"/>
    <n v="5"/>
    <n v="1934000"/>
    <x v="391"/>
    <n v="1"/>
    <x v="1"/>
    <n v="112"/>
    <x v="0"/>
  </r>
  <r>
    <n v="1399"/>
    <x v="16"/>
    <x v="1"/>
    <x v="2"/>
    <s v="Q1"/>
    <x v="110"/>
    <n v="3"/>
    <n v="3"/>
    <n v="1206000"/>
    <x v="392"/>
    <n v="3"/>
    <x v="0"/>
    <n v="162"/>
    <x v="1"/>
  </r>
  <r>
    <n v="1400"/>
    <x v="7"/>
    <x v="4"/>
    <x v="3"/>
    <s v="Q2"/>
    <x v="111"/>
    <n v="0"/>
    <n v="1"/>
    <n v="208000"/>
    <x v="393"/>
    <n v="0"/>
    <x v="0"/>
    <n v="77"/>
    <x v="2"/>
  </r>
  <r>
    <n v="1401"/>
    <x v="5"/>
    <x v="0"/>
    <x v="0"/>
    <s v="Q4"/>
    <x v="261"/>
    <n v="3"/>
    <n v="3"/>
    <n v="408000"/>
    <x v="394"/>
    <n v="4"/>
    <x v="0"/>
    <n v="2"/>
    <x v="1"/>
  </r>
  <r>
    <n v="1402"/>
    <x v="11"/>
    <x v="0"/>
    <x v="2"/>
    <s v="Q3"/>
    <x v="261"/>
    <n v="3"/>
    <n v="3"/>
    <n v="419000"/>
    <x v="395"/>
    <n v="1"/>
    <x v="1"/>
    <n v="173"/>
    <x v="0"/>
  </r>
  <r>
    <n v="1403"/>
    <x v="6"/>
    <x v="0"/>
    <x v="3"/>
    <s v="Q4"/>
    <x v="150"/>
    <n v="3"/>
    <n v="3"/>
    <n v="536000"/>
    <x v="396"/>
    <n v="15"/>
    <x v="1"/>
    <n v="33"/>
    <x v="0"/>
  </r>
  <r>
    <n v="1404"/>
    <x v="16"/>
    <x v="3"/>
    <x v="1"/>
    <s v="Q1"/>
    <x v="57"/>
    <n v="4"/>
    <n v="4"/>
    <n v="1045000"/>
    <x v="397"/>
    <n v="1"/>
    <x v="2"/>
    <n v="133"/>
    <x v="1"/>
  </r>
  <r>
    <n v="1405"/>
    <x v="14"/>
    <x v="4"/>
    <x v="1"/>
    <s v="Q4"/>
    <x v="249"/>
    <n v="0"/>
    <n v="1"/>
    <n v="260000"/>
    <x v="167"/>
    <n v="2"/>
    <x v="0"/>
    <n v="103"/>
    <x v="2"/>
  </r>
  <r>
    <n v="1406"/>
    <x v="18"/>
    <x v="0"/>
    <x v="1"/>
    <s v="Q1"/>
    <x v="49"/>
    <n v="3"/>
    <n v="3"/>
    <n v="445000"/>
    <x v="398"/>
    <n v="0"/>
    <x v="0"/>
    <n v="47"/>
    <x v="1"/>
  </r>
  <r>
    <n v="1407"/>
    <x v="4"/>
    <x v="2"/>
    <x v="0"/>
    <s v="Q3"/>
    <x v="262"/>
    <n v="4"/>
    <n v="4"/>
    <n v="1577000"/>
    <x v="399"/>
    <n v="15"/>
    <x v="2"/>
    <n v="36"/>
    <x v="2"/>
  </r>
  <r>
    <n v="1408"/>
    <x v="7"/>
    <x v="2"/>
    <x v="1"/>
    <s v="Q3"/>
    <x v="260"/>
    <n v="6"/>
    <n v="6"/>
    <n v="1383000"/>
    <x v="400"/>
    <n v="3"/>
    <x v="1"/>
    <n v="111"/>
    <x v="2"/>
  </r>
  <r>
    <n v="1409"/>
    <x v="19"/>
    <x v="2"/>
    <x v="1"/>
    <s v="Q2"/>
    <x v="263"/>
    <n v="6"/>
    <n v="6"/>
    <n v="2163000"/>
    <x v="401"/>
    <n v="0"/>
    <x v="0"/>
    <n v="57"/>
    <x v="2"/>
  </r>
  <r>
    <n v="1410"/>
    <x v="15"/>
    <x v="1"/>
    <x v="3"/>
    <s v="Q3"/>
    <x v="211"/>
    <n v="4"/>
    <n v="4"/>
    <n v="823000"/>
    <x v="402"/>
    <n v="1"/>
    <x v="2"/>
    <n v="23"/>
    <x v="0"/>
  </r>
  <r>
    <n v="1411"/>
    <x v="17"/>
    <x v="1"/>
    <x v="2"/>
    <s v="Q2"/>
    <x v="196"/>
    <n v="5"/>
    <n v="5"/>
    <n v="1057000"/>
    <x v="403"/>
    <n v="0"/>
    <x v="2"/>
    <n v="99"/>
    <x v="0"/>
  </r>
  <r>
    <n v="1412"/>
    <x v="12"/>
    <x v="1"/>
    <x v="2"/>
    <s v="Q1"/>
    <x v="32"/>
    <n v="4"/>
    <n v="4"/>
    <n v="837000"/>
    <x v="404"/>
    <n v="20"/>
    <x v="0"/>
    <n v="42"/>
    <x v="1"/>
  </r>
  <r>
    <n v="1413"/>
    <x v="15"/>
    <x v="2"/>
    <x v="1"/>
    <s v="Q2"/>
    <x v="264"/>
    <n v="4"/>
    <n v="4"/>
    <n v="2693000"/>
    <x v="405"/>
    <n v="2"/>
    <x v="2"/>
    <n v="156"/>
    <x v="0"/>
  </r>
  <r>
    <n v="1414"/>
    <x v="19"/>
    <x v="3"/>
    <x v="0"/>
    <s v="Q4"/>
    <x v="13"/>
    <n v="5"/>
    <n v="5"/>
    <n v="805000"/>
    <x v="406"/>
    <n v="10"/>
    <x v="2"/>
    <n v="79"/>
    <x v="2"/>
  </r>
  <r>
    <n v="1415"/>
    <x v="5"/>
    <x v="0"/>
    <x v="0"/>
    <s v="Q4"/>
    <x v="89"/>
    <n v="3"/>
    <n v="3"/>
    <n v="451000"/>
    <x v="407"/>
    <n v="2"/>
    <x v="1"/>
    <n v="55"/>
    <x v="1"/>
  </r>
  <r>
    <n v="1416"/>
    <x v="12"/>
    <x v="2"/>
    <x v="1"/>
    <s v="Q3"/>
    <x v="14"/>
    <n v="4"/>
    <n v="4"/>
    <n v="2924000"/>
    <x v="408"/>
    <n v="20"/>
    <x v="2"/>
    <n v="86"/>
    <x v="1"/>
  </r>
  <r>
    <n v="1417"/>
    <x v="12"/>
    <x v="1"/>
    <x v="0"/>
    <s v="Q2"/>
    <x v="265"/>
    <n v="4"/>
    <n v="4"/>
    <n v="1531000"/>
    <x v="409"/>
    <n v="15"/>
    <x v="0"/>
    <n v="45"/>
    <x v="1"/>
  </r>
  <r>
    <n v="1418"/>
    <x v="18"/>
    <x v="4"/>
    <x v="1"/>
    <s v="Q3"/>
    <x v="28"/>
    <n v="0"/>
    <n v="1"/>
    <n v="227000"/>
    <x v="410"/>
    <n v="10"/>
    <x v="2"/>
    <n v="146"/>
    <x v="1"/>
  </r>
  <r>
    <n v="1419"/>
    <x v="8"/>
    <x v="0"/>
    <x v="0"/>
    <s v="Q4"/>
    <x v="107"/>
    <n v="3"/>
    <n v="3"/>
    <n v="331000"/>
    <x v="411"/>
    <n v="2"/>
    <x v="0"/>
    <n v="112"/>
    <x v="0"/>
  </r>
  <r>
    <n v="1420"/>
    <x v="8"/>
    <x v="1"/>
    <x v="3"/>
    <s v="Q2"/>
    <x v="266"/>
    <n v="3"/>
    <n v="3"/>
    <n v="1415000"/>
    <x v="412"/>
    <n v="20"/>
    <x v="1"/>
    <n v="176"/>
    <x v="0"/>
  </r>
  <r>
    <n v="1421"/>
    <x v="15"/>
    <x v="0"/>
    <x v="3"/>
    <s v="Q1"/>
    <x v="267"/>
    <n v="3"/>
    <n v="3"/>
    <n v="476000"/>
    <x v="413"/>
    <n v="4"/>
    <x v="0"/>
    <n v="57"/>
    <x v="0"/>
  </r>
  <r>
    <n v="1422"/>
    <x v="14"/>
    <x v="3"/>
    <x v="3"/>
    <s v="Q1"/>
    <x v="268"/>
    <n v="3"/>
    <n v="3"/>
    <n v="1054000"/>
    <x v="414"/>
    <n v="1"/>
    <x v="0"/>
    <n v="98"/>
    <x v="2"/>
  </r>
  <r>
    <n v="1423"/>
    <x v="2"/>
    <x v="0"/>
    <x v="0"/>
    <s v="Q4"/>
    <x v="169"/>
    <n v="2"/>
    <n v="2"/>
    <n v="485000"/>
    <x v="415"/>
    <n v="10"/>
    <x v="0"/>
    <n v="133"/>
    <x v="0"/>
  </r>
  <r>
    <n v="1424"/>
    <x v="1"/>
    <x v="0"/>
    <x v="2"/>
    <s v="Q2"/>
    <x v="22"/>
    <n v="4"/>
    <n v="4"/>
    <n v="413000"/>
    <x v="416"/>
    <n v="1"/>
    <x v="0"/>
    <n v="135"/>
    <x v="1"/>
  </r>
  <r>
    <n v="1425"/>
    <x v="5"/>
    <x v="2"/>
    <x v="0"/>
    <s v="Q4"/>
    <x v="269"/>
    <n v="5"/>
    <n v="5"/>
    <n v="1511000"/>
    <x v="417"/>
    <n v="15"/>
    <x v="1"/>
    <n v="21"/>
    <x v="1"/>
  </r>
  <r>
    <n v="1426"/>
    <x v="13"/>
    <x v="0"/>
    <x v="1"/>
    <s v="Q3"/>
    <x v="32"/>
    <n v="2"/>
    <n v="2"/>
    <n v="724000"/>
    <x v="418"/>
    <n v="20"/>
    <x v="0"/>
    <n v="125"/>
    <x v="1"/>
  </r>
  <r>
    <n v="1427"/>
    <x v="3"/>
    <x v="0"/>
    <x v="2"/>
    <s v="Q2"/>
    <x v="95"/>
    <n v="3"/>
    <n v="3"/>
    <n v="331000"/>
    <x v="419"/>
    <n v="5"/>
    <x v="2"/>
    <n v="180"/>
    <x v="2"/>
  </r>
  <r>
    <n v="1428"/>
    <x v="1"/>
    <x v="0"/>
    <x v="1"/>
    <s v="Q1"/>
    <x v="55"/>
    <n v="3"/>
    <n v="3"/>
    <n v="477000"/>
    <x v="420"/>
    <n v="20"/>
    <x v="2"/>
    <n v="137"/>
    <x v="1"/>
  </r>
  <r>
    <n v="1429"/>
    <x v="19"/>
    <x v="1"/>
    <x v="2"/>
    <s v="Q4"/>
    <x v="270"/>
    <n v="4"/>
    <n v="4"/>
    <n v="1054000"/>
    <x v="421"/>
    <n v="4"/>
    <x v="0"/>
    <n v="54"/>
    <x v="2"/>
  </r>
  <r>
    <n v="1430"/>
    <x v="14"/>
    <x v="0"/>
    <x v="1"/>
    <s v="Q3"/>
    <x v="271"/>
    <n v="3"/>
    <n v="3"/>
    <n v="367000"/>
    <x v="422"/>
    <n v="15"/>
    <x v="0"/>
    <n v="13"/>
    <x v="2"/>
  </r>
  <r>
    <n v="1431"/>
    <x v="16"/>
    <x v="2"/>
    <x v="0"/>
    <s v="Q3"/>
    <x v="268"/>
    <n v="6"/>
    <n v="6"/>
    <n v="1854000"/>
    <x v="423"/>
    <n v="1"/>
    <x v="1"/>
    <n v="155"/>
    <x v="1"/>
  </r>
  <r>
    <n v="1432"/>
    <x v="3"/>
    <x v="0"/>
    <x v="2"/>
    <s v="Q4"/>
    <x v="7"/>
    <n v="3"/>
    <n v="3"/>
    <n v="339000"/>
    <x v="424"/>
    <n v="2"/>
    <x v="0"/>
    <n v="58"/>
    <x v="2"/>
  </r>
  <r>
    <n v="1433"/>
    <x v="0"/>
    <x v="2"/>
    <x v="2"/>
    <s v="Q1"/>
    <x v="272"/>
    <n v="4"/>
    <n v="4"/>
    <n v="1864000"/>
    <x v="425"/>
    <n v="0"/>
    <x v="1"/>
    <n v="6"/>
    <x v="0"/>
  </r>
  <r>
    <n v="1434"/>
    <x v="18"/>
    <x v="1"/>
    <x v="0"/>
    <s v="Q1"/>
    <x v="139"/>
    <n v="4"/>
    <n v="4"/>
    <n v="888000"/>
    <x v="426"/>
    <n v="20"/>
    <x v="1"/>
    <n v="89"/>
    <x v="1"/>
  </r>
  <r>
    <n v="1435"/>
    <x v="10"/>
    <x v="2"/>
    <x v="2"/>
    <s v="Q3"/>
    <x v="147"/>
    <n v="4"/>
    <n v="4"/>
    <n v="1559000"/>
    <x v="427"/>
    <n v="1"/>
    <x v="1"/>
    <n v="13"/>
    <x v="1"/>
  </r>
  <r>
    <n v="1436"/>
    <x v="15"/>
    <x v="0"/>
    <x v="1"/>
    <s v="Q1"/>
    <x v="86"/>
    <n v="2"/>
    <n v="2"/>
    <n v="348000"/>
    <x v="428"/>
    <n v="1"/>
    <x v="0"/>
    <n v="103"/>
    <x v="0"/>
  </r>
  <r>
    <n v="1437"/>
    <x v="2"/>
    <x v="2"/>
    <x v="3"/>
    <s v="Q1"/>
    <x v="263"/>
    <n v="6"/>
    <n v="6"/>
    <n v="3016000"/>
    <x v="429"/>
    <n v="1"/>
    <x v="1"/>
    <n v="73"/>
    <x v="0"/>
  </r>
  <r>
    <n v="1438"/>
    <x v="6"/>
    <x v="1"/>
    <x v="3"/>
    <s v="Q3"/>
    <x v="131"/>
    <n v="4"/>
    <n v="4"/>
    <n v="1158000"/>
    <x v="430"/>
    <n v="10"/>
    <x v="0"/>
    <n v="131"/>
    <x v="0"/>
  </r>
  <r>
    <n v="1439"/>
    <x v="3"/>
    <x v="0"/>
    <x v="1"/>
    <s v="Q4"/>
    <x v="22"/>
    <n v="3"/>
    <n v="3"/>
    <n v="352000"/>
    <x v="431"/>
    <n v="20"/>
    <x v="1"/>
    <n v="7"/>
    <x v="2"/>
  </r>
  <r>
    <n v="1440"/>
    <x v="15"/>
    <x v="2"/>
    <x v="1"/>
    <s v="Q3"/>
    <x v="59"/>
    <n v="5"/>
    <n v="5"/>
    <n v="1689000"/>
    <x v="432"/>
    <n v="15"/>
    <x v="1"/>
    <n v="148"/>
    <x v="0"/>
  </r>
  <r>
    <n v="1441"/>
    <x v="8"/>
    <x v="4"/>
    <x v="1"/>
    <s v="Q1"/>
    <x v="273"/>
    <n v="0"/>
    <n v="1"/>
    <n v="253000"/>
    <x v="433"/>
    <n v="0"/>
    <x v="0"/>
    <n v="105"/>
    <x v="0"/>
  </r>
  <r>
    <n v="1442"/>
    <x v="17"/>
    <x v="0"/>
    <x v="0"/>
    <s v="Q1"/>
    <x v="274"/>
    <n v="4"/>
    <n v="4"/>
    <n v="580000"/>
    <x v="434"/>
    <n v="2"/>
    <x v="0"/>
    <n v="88"/>
    <x v="0"/>
  </r>
  <r>
    <n v="1443"/>
    <x v="7"/>
    <x v="4"/>
    <x v="2"/>
    <s v="Q3"/>
    <x v="83"/>
    <n v="0"/>
    <n v="1"/>
    <n v="137000"/>
    <x v="435"/>
    <n v="20"/>
    <x v="0"/>
    <n v="159"/>
    <x v="2"/>
  </r>
  <r>
    <n v="1444"/>
    <x v="13"/>
    <x v="2"/>
    <x v="2"/>
    <s v="Q2"/>
    <x v="256"/>
    <n v="4"/>
    <n v="4"/>
    <n v="2611000"/>
    <x v="436"/>
    <n v="4"/>
    <x v="0"/>
    <n v="102"/>
    <x v="1"/>
  </r>
  <r>
    <n v="1445"/>
    <x v="6"/>
    <x v="2"/>
    <x v="1"/>
    <s v="Q2"/>
    <x v="275"/>
    <n v="6"/>
    <n v="6"/>
    <n v="2302000"/>
    <x v="437"/>
    <n v="5"/>
    <x v="1"/>
    <n v="78"/>
    <x v="0"/>
  </r>
  <r>
    <n v="1446"/>
    <x v="18"/>
    <x v="0"/>
    <x v="0"/>
    <s v="Q1"/>
    <x v="276"/>
    <n v="4"/>
    <n v="4"/>
    <n v="548000"/>
    <x v="438"/>
    <n v="0"/>
    <x v="0"/>
    <n v="140"/>
    <x v="1"/>
  </r>
  <r>
    <n v="1447"/>
    <x v="16"/>
    <x v="1"/>
    <x v="3"/>
    <s v="Q2"/>
    <x v="144"/>
    <n v="5"/>
    <n v="5"/>
    <n v="1334000"/>
    <x v="439"/>
    <n v="5"/>
    <x v="0"/>
    <n v="45"/>
    <x v="1"/>
  </r>
  <r>
    <n v="1448"/>
    <x v="10"/>
    <x v="0"/>
    <x v="3"/>
    <s v="Q3"/>
    <x v="93"/>
    <n v="2"/>
    <n v="2"/>
    <n v="680000"/>
    <x v="440"/>
    <n v="2"/>
    <x v="1"/>
    <n v="63"/>
    <x v="1"/>
  </r>
  <r>
    <n v="1449"/>
    <x v="12"/>
    <x v="1"/>
    <x v="1"/>
    <s v="Q3"/>
    <x v="175"/>
    <n v="4"/>
    <n v="4"/>
    <n v="998000"/>
    <x v="441"/>
    <n v="20"/>
    <x v="1"/>
    <n v="124"/>
    <x v="1"/>
  </r>
  <r>
    <n v="1450"/>
    <x v="16"/>
    <x v="1"/>
    <x v="2"/>
    <s v="Q1"/>
    <x v="277"/>
    <n v="4"/>
    <n v="4"/>
    <n v="1085000"/>
    <x v="442"/>
    <n v="0"/>
    <x v="0"/>
    <n v="21"/>
    <x v="1"/>
  </r>
  <r>
    <n v="1451"/>
    <x v="19"/>
    <x v="2"/>
    <x v="0"/>
    <s v="Q2"/>
    <x v="278"/>
    <n v="5"/>
    <n v="5"/>
    <n v="2243000"/>
    <x v="443"/>
    <n v="4"/>
    <x v="0"/>
    <n v="26"/>
    <x v="2"/>
  </r>
  <r>
    <n v="1452"/>
    <x v="12"/>
    <x v="0"/>
    <x v="2"/>
    <s v="Q3"/>
    <x v="199"/>
    <n v="3"/>
    <n v="3"/>
    <n v="687000"/>
    <x v="444"/>
    <n v="10"/>
    <x v="0"/>
    <n v="10"/>
    <x v="1"/>
  </r>
  <r>
    <n v="1453"/>
    <x v="12"/>
    <x v="0"/>
    <x v="0"/>
    <s v="Q3"/>
    <x v="31"/>
    <n v="2"/>
    <n v="2"/>
    <n v="821000"/>
    <x v="445"/>
    <n v="3"/>
    <x v="2"/>
    <n v="92"/>
    <x v="1"/>
  </r>
  <r>
    <n v="1454"/>
    <x v="0"/>
    <x v="4"/>
    <x v="3"/>
    <s v="Q1"/>
    <x v="75"/>
    <n v="0"/>
    <n v="1"/>
    <n v="329000"/>
    <x v="446"/>
    <n v="20"/>
    <x v="1"/>
    <n v="45"/>
    <x v="0"/>
  </r>
  <r>
    <n v="1455"/>
    <x v="9"/>
    <x v="0"/>
    <x v="3"/>
    <s v="Q4"/>
    <x v="95"/>
    <n v="3"/>
    <n v="3"/>
    <n v="730000"/>
    <x v="447"/>
    <n v="2"/>
    <x v="0"/>
    <n v="43"/>
    <x v="2"/>
  </r>
  <r>
    <n v="1456"/>
    <x v="9"/>
    <x v="0"/>
    <x v="2"/>
    <s v="Q3"/>
    <x v="279"/>
    <n v="4"/>
    <n v="4"/>
    <n v="556000"/>
    <x v="448"/>
    <n v="1"/>
    <x v="2"/>
    <n v="119"/>
    <x v="2"/>
  </r>
  <r>
    <n v="1457"/>
    <x v="10"/>
    <x v="1"/>
    <x v="1"/>
    <s v="Q4"/>
    <x v="280"/>
    <n v="4"/>
    <n v="4"/>
    <n v="1268000"/>
    <x v="449"/>
    <n v="15"/>
    <x v="0"/>
    <n v="98"/>
    <x v="1"/>
  </r>
  <r>
    <n v="1458"/>
    <x v="11"/>
    <x v="1"/>
    <x v="1"/>
    <s v="Q2"/>
    <x v="209"/>
    <n v="4"/>
    <n v="4"/>
    <n v="929000"/>
    <x v="450"/>
    <n v="7"/>
    <x v="0"/>
    <n v="29"/>
    <x v="0"/>
  </r>
  <r>
    <n v="1459"/>
    <x v="10"/>
    <x v="2"/>
    <x v="2"/>
    <s v="Q2"/>
    <x v="263"/>
    <n v="4"/>
    <n v="4"/>
    <n v="2817000"/>
    <x v="451"/>
    <n v="15"/>
    <x v="0"/>
    <n v="75"/>
    <x v="1"/>
  </r>
  <r>
    <n v="1460"/>
    <x v="19"/>
    <x v="1"/>
    <x v="0"/>
    <s v="Q2"/>
    <x v="281"/>
    <n v="3"/>
    <n v="3"/>
    <n v="1074000"/>
    <x v="452"/>
    <n v="0"/>
    <x v="2"/>
    <n v="112"/>
    <x v="2"/>
  </r>
  <r>
    <n v="1461"/>
    <x v="3"/>
    <x v="2"/>
    <x v="1"/>
    <s v="Q2"/>
    <x v="282"/>
    <n v="5"/>
    <n v="5"/>
    <n v="1860000"/>
    <x v="453"/>
    <n v="7"/>
    <x v="0"/>
    <n v="91"/>
    <x v="2"/>
  </r>
  <r>
    <n v="1462"/>
    <x v="3"/>
    <x v="2"/>
    <x v="0"/>
    <s v="Q2"/>
    <x v="33"/>
    <n v="6"/>
    <n v="6"/>
    <n v="1842000"/>
    <x v="454"/>
    <n v="1"/>
    <x v="1"/>
    <n v="74"/>
    <x v="2"/>
  </r>
  <r>
    <n v="1463"/>
    <x v="12"/>
    <x v="3"/>
    <x v="3"/>
    <s v="Q2"/>
    <x v="87"/>
    <n v="3"/>
    <n v="3"/>
    <n v="1298000"/>
    <x v="455"/>
    <n v="20"/>
    <x v="2"/>
    <n v="157"/>
    <x v="1"/>
  </r>
  <r>
    <n v="1464"/>
    <x v="14"/>
    <x v="1"/>
    <x v="3"/>
    <s v="Q2"/>
    <x v="118"/>
    <n v="5"/>
    <n v="5"/>
    <n v="1316000"/>
    <x v="456"/>
    <n v="10"/>
    <x v="0"/>
    <n v="57"/>
    <x v="2"/>
  </r>
  <r>
    <n v="1465"/>
    <x v="3"/>
    <x v="3"/>
    <x v="2"/>
    <s v="Q1"/>
    <x v="283"/>
    <n v="3"/>
    <n v="3"/>
    <n v="593000"/>
    <x v="457"/>
    <n v="4"/>
    <x v="0"/>
    <n v="133"/>
    <x v="2"/>
  </r>
  <r>
    <n v="1466"/>
    <x v="5"/>
    <x v="0"/>
    <x v="2"/>
    <s v="Q2"/>
    <x v="284"/>
    <n v="3"/>
    <n v="3"/>
    <n v="419000"/>
    <x v="458"/>
    <n v="10"/>
    <x v="1"/>
    <n v="30"/>
    <x v="1"/>
  </r>
  <r>
    <n v="1467"/>
    <x v="15"/>
    <x v="2"/>
    <x v="2"/>
    <s v="Q2"/>
    <x v="39"/>
    <n v="4"/>
    <n v="4"/>
    <n v="1413000"/>
    <x v="459"/>
    <n v="4"/>
    <x v="1"/>
    <n v="106"/>
    <x v="0"/>
  </r>
  <r>
    <n v="1468"/>
    <x v="5"/>
    <x v="0"/>
    <x v="3"/>
    <s v="Q3"/>
    <x v="220"/>
    <n v="4"/>
    <n v="4"/>
    <n v="557000"/>
    <x v="460"/>
    <n v="5"/>
    <x v="0"/>
    <n v="37"/>
    <x v="1"/>
  </r>
  <r>
    <n v="1469"/>
    <x v="19"/>
    <x v="0"/>
    <x v="0"/>
    <s v="Q2"/>
    <x v="22"/>
    <n v="2"/>
    <n v="2"/>
    <n v="480000"/>
    <x v="461"/>
    <n v="3"/>
    <x v="0"/>
    <n v="95"/>
    <x v="2"/>
  </r>
  <r>
    <n v="1470"/>
    <x v="18"/>
    <x v="1"/>
    <x v="1"/>
    <s v="Q4"/>
    <x v="285"/>
    <n v="3"/>
    <n v="3"/>
    <n v="956000"/>
    <x v="462"/>
    <n v="5"/>
    <x v="0"/>
    <n v="28"/>
    <x v="1"/>
  </r>
  <r>
    <n v="1471"/>
    <x v="16"/>
    <x v="0"/>
    <x v="2"/>
    <s v="Q4"/>
    <x v="48"/>
    <n v="3"/>
    <n v="3"/>
    <n v="562000"/>
    <x v="463"/>
    <n v="7"/>
    <x v="1"/>
    <n v="24"/>
    <x v="1"/>
  </r>
  <r>
    <n v="1472"/>
    <x v="11"/>
    <x v="0"/>
    <x v="0"/>
    <s v="Q1"/>
    <x v="103"/>
    <n v="4"/>
    <n v="4"/>
    <n v="560000"/>
    <x v="464"/>
    <n v="10"/>
    <x v="0"/>
    <n v="89"/>
    <x v="0"/>
  </r>
  <r>
    <n v="1473"/>
    <x v="11"/>
    <x v="2"/>
    <x v="3"/>
    <s v="Q4"/>
    <x v="192"/>
    <n v="4"/>
    <n v="4"/>
    <n v="3035000"/>
    <x v="465"/>
    <n v="5"/>
    <x v="1"/>
    <n v="99"/>
    <x v="0"/>
  </r>
  <r>
    <n v="1474"/>
    <x v="3"/>
    <x v="2"/>
    <x v="1"/>
    <s v="Q1"/>
    <x v="286"/>
    <n v="4"/>
    <n v="4"/>
    <n v="1402000"/>
    <x v="466"/>
    <n v="2"/>
    <x v="1"/>
    <n v="6"/>
    <x v="2"/>
  </r>
  <r>
    <n v="1475"/>
    <x v="7"/>
    <x v="4"/>
    <x v="0"/>
    <s v="Q3"/>
    <x v="287"/>
    <n v="0"/>
    <n v="1"/>
    <n v="252000"/>
    <x v="467"/>
    <n v="20"/>
    <x v="1"/>
    <n v="52"/>
    <x v="2"/>
  </r>
  <r>
    <n v="1476"/>
    <x v="3"/>
    <x v="2"/>
    <x v="1"/>
    <s v="Q4"/>
    <x v="183"/>
    <n v="4"/>
    <n v="4"/>
    <n v="1407000"/>
    <x v="468"/>
    <n v="2"/>
    <x v="2"/>
    <n v="148"/>
    <x v="2"/>
  </r>
  <r>
    <n v="1477"/>
    <x v="13"/>
    <x v="4"/>
    <x v="2"/>
    <s v="Q3"/>
    <x v="12"/>
    <n v="0"/>
    <n v="1"/>
    <n v="383000"/>
    <x v="469"/>
    <n v="15"/>
    <x v="0"/>
    <n v="75"/>
    <x v="1"/>
  </r>
  <r>
    <n v="1478"/>
    <x v="11"/>
    <x v="1"/>
    <x v="2"/>
    <s v="Q1"/>
    <x v="288"/>
    <n v="5"/>
    <n v="5"/>
    <n v="901000"/>
    <x v="470"/>
    <n v="5"/>
    <x v="0"/>
    <n v="95"/>
    <x v="0"/>
  </r>
  <r>
    <n v="1479"/>
    <x v="3"/>
    <x v="0"/>
    <x v="1"/>
    <s v="Q4"/>
    <x v="289"/>
    <n v="4"/>
    <n v="4"/>
    <n v="323000"/>
    <x v="471"/>
    <n v="1"/>
    <x v="1"/>
    <n v="35"/>
    <x v="2"/>
  </r>
  <r>
    <n v="1480"/>
    <x v="0"/>
    <x v="0"/>
    <x v="2"/>
    <s v="Q2"/>
    <x v="230"/>
    <n v="4"/>
    <n v="4"/>
    <n v="355000"/>
    <x v="472"/>
    <n v="2"/>
    <x v="2"/>
    <n v="39"/>
    <x v="0"/>
  </r>
  <r>
    <n v="1481"/>
    <x v="11"/>
    <x v="1"/>
    <x v="0"/>
    <s v="Q1"/>
    <x v="207"/>
    <n v="4"/>
    <n v="4"/>
    <n v="931000"/>
    <x v="473"/>
    <n v="0"/>
    <x v="0"/>
    <n v="72"/>
    <x v="0"/>
  </r>
  <r>
    <n v="1482"/>
    <x v="7"/>
    <x v="2"/>
    <x v="2"/>
    <s v="Q2"/>
    <x v="256"/>
    <n v="5"/>
    <n v="5"/>
    <n v="1442000"/>
    <x v="474"/>
    <n v="4"/>
    <x v="0"/>
    <n v="7"/>
    <x v="2"/>
  </r>
  <r>
    <n v="1483"/>
    <x v="16"/>
    <x v="2"/>
    <x v="3"/>
    <s v="Q3"/>
    <x v="8"/>
    <n v="4"/>
    <n v="4"/>
    <n v="3009000"/>
    <x v="475"/>
    <n v="2"/>
    <x v="0"/>
    <n v="57"/>
    <x v="1"/>
  </r>
  <r>
    <n v="1484"/>
    <x v="5"/>
    <x v="0"/>
    <x v="0"/>
    <s v="Q3"/>
    <x v="290"/>
    <n v="2"/>
    <n v="2"/>
    <n v="540000"/>
    <x v="476"/>
    <n v="2"/>
    <x v="0"/>
    <n v="97"/>
    <x v="1"/>
  </r>
  <r>
    <n v="1485"/>
    <x v="2"/>
    <x v="2"/>
    <x v="3"/>
    <s v="Q2"/>
    <x v="291"/>
    <n v="5"/>
    <n v="5"/>
    <n v="2409000"/>
    <x v="477"/>
    <n v="0"/>
    <x v="0"/>
    <n v="90"/>
    <x v="0"/>
  </r>
  <r>
    <n v="1486"/>
    <x v="17"/>
    <x v="0"/>
    <x v="0"/>
    <s v="Q2"/>
    <x v="104"/>
    <n v="3"/>
    <n v="3"/>
    <n v="414000"/>
    <x v="478"/>
    <n v="10"/>
    <x v="2"/>
    <n v="165"/>
    <x v="0"/>
  </r>
  <r>
    <n v="1487"/>
    <x v="19"/>
    <x v="2"/>
    <x v="3"/>
    <s v="Q2"/>
    <x v="292"/>
    <n v="6"/>
    <n v="6"/>
    <n v="2169000"/>
    <x v="479"/>
    <n v="15"/>
    <x v="0"/>
    <n v="59"/>
    <x v="2"/>
  </r>
  <r>
    <n v="1488"/>
    <x v="0"/>
    <x v="4"/>
    <x v="1"/>
    <s v="Q2"/>
    <x v="24"/>
    <n v="0"/>
    <n v="1"/>
    <n v="275000"/>
    <x v="480"/>
    <n v="15"/>
    <x v="1"/>
    <n v="56"/>
    <x v="0"/>
  </r>
  <r>
    <n v="1489"/>
    <x v="1"/>
    <x v="1"/>
    <x v="2"/>
    <s v="Q3"/>
    <x v="131"/>
    <n v="3"/>
    <n v="3"/>
    <n v="1016000"/>
    <x v="481"/>
    <n v="10"/>
    <x v="0"/>
    <n v="5"/>
    <x v="1"/>
  </r>
  <r>
    <n v="1490"/>
    <x v="15"/>
    <x v="2"/>
    <x v="1"/>
    <s v="Q3"/>
    <x v="11"/>
    <n v="5"/>
    <n v="5"/>
    <n v="1593000"/>
    <x v="482"/>
    <n v="4"/>
    <x v="2"/>
    <n v="121"/>
    <x v="0"/>
  </r>
  <r>
    <n v="1491"/>
    <x v="8"/>
    <x v="0"/>
    <x v="0"/>
    <s v="Q1"/>
    <x v="293"/>
    <n v="2"/>
    <n v="2"/>
    <n v="448000"/>
    <x v="483"/>
    <n v="2"/>
    <x v="0"/>
    <n v="26"/>
    <x v="0"/>
  </r>
  <r>
    <n v="1492"/>
    <x v="15"/>
    <x v="2"/>
    <x v="1"/>
    <s v="Q1"/>
    <x v="11"/>
    <n v="6"/>
    <n v="6"/>
    <n v="1550000"/>
    <x v="484"/>
    <n v="0"/>
    <x v="0"/>
    <n v="122"/>
    <x v="0"/>
  </r>
  <r>
    <n v="1493"/>
    <x v="0"/>
    <x v="0"/>
    <x v="2"/>
    <s v="Q4"/>
    <x v="294"/>
    <n v="4"/>
    <n v="4"/>
    <n v="648000"/>
    <x v="485"/>
    <n v="2"/>
    <x v="0"/>
    <n v="36"/>
    <x v="0"/>
  </r>
  <r>
    <n v="1494"/>
    <x v="5"/>
    <x v="0"/>
    <x v="3"/>
    <s v="Q2"/>
    <x v="220"/>
    <n v="2"/>
    <n v="2"/>
    <n v="592000"/>
    <x v="486"/>
    <n v="2"/>
    <x v="0"/>
    <n v="138"/>
    <x v="1"/>
  </r>
  <r>
    <n v="1495"/>
    <x v="14"/>
    <x v="0"/>
    <x v="1"/>
    <s v="Q2"/>
    <x v="295"/>
    <n v="3"/>
    <n v="3"/>
    <n v="492000"/>
    <x v="487"/>
    <n v="7"/>
    <x v="0"/>
    <n v="142"/>
    <x v="2"/>
  </r>
  <r>
    <n v="1496"/>
    <x v="6"/>
    <x v="2"/>
    <x v="2"/>
    <s v="Q1"/>
    <x v="296"/>
    <n v="5"/>
    <n v="5"/>
    <n v="1377000"/>
    <x v="488"/>
    <n v="4"/>
    <x v="1"/>
    <n v="139"/>
    <x v="0"/>
  </r>
  <r>
    <n v="1497"/>
    <x v="3"/>
    <x v="2"/>
    <x v="2"/>
    <s v="Q4"/>
    <x v="216"/>
    <n v="4"/>
    <n v="4"/>
    <n v="1628000"/>
    <x v="489"/>
    <n v="4"/>
    <x v="0"/>
    <n v="75"/>
    <x v="2"/>
  </r>
  <r>
    <n v="1498"/>
    <x v="3"/>
    <x v="0"/>
    <x v="1"/>
    <s v="Q4"/>
    <x v="297"/>
    <n v="4"/>
    <n v="4"/>
    <n v="436000"/>
    <x v="490"/>
    <n v="10"/>
    <x v="0"/>
    <n v="142"/>
    <x v="2"/>
  </r>
  <r>
    <n v="1499"/>
    <x v="13"/>
    <x v="2"/>
    <x v="0"/>
    <s v="Q2"/>
    <x v="298"/>
    <n v="6"/>
    <n v="6"/>
    <n v="4253000"/>
    <x v="491"/>
    <n v="5"/>
    <x v="0"/>
    <n v="100"/>
    <x v="1"/>
  </r>
  <r>
    <n v="1500"/>
    <x v="19"/>
    <x v="0"/>
    <x v="3"/>
    <s v="Q1"/>
    <x v="15"/>
    <n v="2"/>
    <n v="2"/>
    <n v="446000"/>
    <x v="492"/>
    <n v="7"/>
    <x v="1"/>
    <n v="40"/>
    <x v="2"/>
  </r>
  <r>
    <n v="1501"/>
    <x v="16"/>
    <x v="4"/>
    <x v="2"/>
    <s v="Q2"/>
    <x v="299"/>
    <n v="0"/>
    <n v="1"/>
    <n v="255000"/>
    <x v="167"/>
    <n v="5"/>
    <x v="0"/>
    <n v="38"/>
    <x v="1"/>
  </r>
  <r>
    <n v="1502"/>
    <x v="6"/>
    <x v="0"/>
    <x v="0"/>
    <s v="Q4"/>
    <x v="82"/>
    <n v="3"/>
    <n v="3"/>
    <n v="465000"/>
    <x v="493"/>
    <n v="20"/>
    <x v="0"/>
    <n v="23"/>
    <x v="0"/>
  </r>
  <r>
    <n v="1503"/>
    <x v="15"/>
    <x v="0"/>
    <x v="2"/>
    <s v="Q1"/>
    <x v="49"/>
    <n v="3"/>
    <n v="3"/>
    <n v="430000"/>
    <x v="494"/>
    <n v="1"/>
    <x v="0"/>
    <n v="71"/>
    <x v="0"/>
  </r>
  <r>
    <n v="1504"/>
    <x v="6"/>
    <x v="1"/>
    <x v="3"/>
    <s v="Q4"/>
    <x v="37"/>
    <n v="4"/>
    <n v="4"/>
    <n v="972000"/>
    <x v="495"/>
    <n v="0"/>
    <x v="0"/>
    <n v="152"/>
    <x v="0"/>
  </r>
  <r>
    <n v="1505"/>
    <x v="4"/>
    <x v="4"/>
    <x v="1"/>
    <s v="Q3"/>
    <x v="143"/>
    <n v="0"/>
    <n v="1"/>
    <n v="168000"/>
    <x v="496"/>
    <n v="7"/>
    <x v="1"/>
    <n v="160"/>
    <x v="2"/>
  </r>
  <r>
    <n v="1506"/>
    <x v="13"/>
    <x v="3"/>
    <x v="1"/>
    <s v="Q1"/>
    <x v="39"/>
    <n v="5"/>
    <n v="5"/>
    <n v="1078000"/>
    <x v="497"/>
    <n v="5"/>
    <x v="0"/>
    <n v="33"/>
    <x v="1"/>
  </r>
  <r>
    <n v="1507"/>
    <x v="9"/>
    <x v="2"/>
    <x v="3"/>
    <s v="Q4"/>
    <x v="298"/>
    <n v="5"/>
    <n v="5"/>
    <n v="3767000"/>
    <x v="498"/>
    <n v="5"/>
    <x v="0"/>
    <n v="153"/>
    <x v="2"/>
  </r>
  <r>
    <n v="1508"/>
    <x v="17"/>
    <x v="1"/>
    <x v="0"/>
    <s v="Q4"/>
    <x v="173"/>
    <n v="3"/>
    <n v="3"/>
    <n v="1086000"/>
    <x v="499"/>
    <n v="4"/>
    <x v="0"/>
    <n v="105"/>
    <x v="0"/>
  </r>
  <r>
    <n v="1509"/>
    <x v="10"/>
    <x v="0"/>
    <x v="0"/>
    <s v="Q4"/>
    <x v="165"/>
    <n v="2"/>
    <n v="2"/>
    <n v="607000"/>
    <x v="500"/>
    <n v="7"/>
    <x v="0"/>
    <n v="121"/>
    <x v="1"/>
  </r>
  <r>
    <n v="1510"/>
    <x v="5"/>
    <x v="1"/>
    <x v="0"/>
    <s v="Q1"/>
    <x v="300"/>
    <n v="3"/>
    <n v="3"/>
    <n v="1441000"/>
    <x v="501"/>
    <n v="4"/>
    <x v="0"/>
    <n v="133"/>
    <x v="1"/>
  </r>
  <r>
    <n v="1511"/>
    <x v="13"/>
    <x v="0"/>
    <x v="0"/>
    <s v="Q3"/>
    <x v="293"/>
    <n v="3"/>
    <n v="3"/>
    <n v="589000"/>
    <x v="502"/>
    <n v="10"/>
    <x v="1"/>
    <n v="114"/>
    <x v="1"/>
  </r>
  <r>
    <n v="1512"/>
    <x v="7"/>
    <x v="0"/>
    <x v="2"/>
    <s v="Q3"/>
    <x v="109"/>
    <n v="2"/>
    <n v="2"/>
    <n v="368000"/>
    <x v="503"/>
    <n v="0"/>
    <x v="1"/>
    <n v="142"/>
    <x v="2"/>
  </r>
  <r>
    <n v="1513"/>
    <x v="8"/>
    <x v="0"/>
    <x v="0"/>
    <s v="Q3"/>
    <x v="252"/>
    <n v="3"/>
    <n v="3"/>
    <n v="776000"/>
    <x v="504"/>
    <n v="1"/>
    <x v="0"/>
    <n v="28"/>
    <x v="0"/>
  </r>
  <r>
    <n v="1514"/>
    <x v="19"/>
    <x v="0"/>
    <x v="1"/>
    <s v="Q3"/>
    <x v="31"/>
    <n v="3"/>
    <n v="3"/>
    <n v="495000"/>
    <x v="505"/>
    <n v="15"/>
    <x v="0"/>
    <n v="16"/>
    <x v="2"/>
  </r>
  <r>
    <n v="1515"/>
    <x v="16"/>
    <x v="2"/>
    <x v="1"/>
    <s v="Q4"/>
    <x v="301"/>
    <n v="5"/>
    <n v="5"/>
    <n v="3128000"/>
    <x v="506"/>
    <n v="3"/>
    <x v="0"/>
    <n v="38"/>
    <x v="1"/>
  </r>
  <r>
    <n v="1516"/>
    <x v="4"/>
    <x v="0"/>
    <x v="0"/>
    <s v="Q1"/>
    <x v="19"/>
    <n v="2"/>
    <n v="2"/>
    <n v="535000"/>
    <x v="507"/>
    <n v="4"/>
    <x v="0"/>
    <n v="171"/>
    <x v="2"/>
  </r>
  <r>
    <n v="1517"/>
    <x v="5"/>
    <x v="0"/>
    <x v="3"/>
    <s v="Q4"/>
    <x v="0"/>
    <n v="3"/>
    <n v="3"/>
    <n v="503000"/>
    <x v="508"/>
    <n v="2"/>
    <x v="2"/>
    <n v="69"/>
    <x v="1"/>
  </r>
  <r>
    <n v="1518"/>
    <x v="6"/>
    <x v="3"/>
    <x v="2"/>
    <s v="Q1"/>
    <x v="302"/>
    <n v="4"/>
    <n v="4"/>
    <n v="794000"/>
    <x v="509"/>
    <n v="2"/>
    <x v="2"/>
    <n v="46"/>
    <x v="0"/>
  </r>
  <r>
    <n v="1519"/>
    <x v="7"/>
    <x v="0"/>
    <x v="1"/>
    <s v="Q2"/>
    <x v="93"/>
    <n v="3"/>
    <n v="3"/>
    <n v="435000"/>
    <x v="510"/>
    <n v="0"/>
    <x v="1"/>
    <n v="13"/>
    <x v="2"/>
  </r>
  <r>
    <n v="1520"/>
    <x v="13"/>
    <x v="0"/>
    <x v="2"/>
    <s v="Q4"/>
    <x v="161"/>
    <n v="3"/>
    <n v="3"/>
    <n v="545000"/>
    <x v="511"/>
    <n v="1"/>
    <x v="1"/>
    <n v="17"/>
    <x v="1"/>
  </r>
  <r>
    <n v="1521"/>
    <x v="3"/>
    <x v="1"/>
    <x v="1"/>
    <s v="Q1"/>
    <x v="303"/>
    <n v="3"/>
    <n v="3"/>
    <n v="852000"/>
    <x v="512"/>
    <n v="7"/>
    <x v="2"/>
    <n v="102"/>
    <x v="2"/>
  </r>
  <r>
    <n v="1522"/>
    <x v="2"/>
    <x v="4"/>
    <x v="1"/>
    <s v="Q3"/>
    <x v="304"/>
    <n v="0"/>
    <n v="1"/>
    <n v="282000"/>
    <x v="513"/>
    <n v="3"/>
    <x v="2"/>
    <n v="139"/>
    <x v="0"/>
  </r>
  <r>
    <n v="1523"/>
    <x v="6"/>
    <x v="0"/>
    <x v="2"/>
    <s v="Q3"/>
    <x v="225"/>
    <n v="2"/>
    <n v="2"/>
    <n v="336000"/>
    <x v="514"/>
    <n v="20"/>
    <x v="1"/>
    <n v="147"/>
    <x v="0"/>
  </r>
  <r>
    <n v="1524"/>
    <x v="2"/>
    <x v="2"/>
    <x v="3"/>
    <s v="Q2"/>
    <x v="305"/>
    <n v="6"/>
    <n v="6"/>
    <n v="2669000"/>
    <x v="515"/>
    <n v="0"/>
    <x v="2"/>
    <n v="40"/>
    <x v="0"/>
  </r>
  <r>
    <n v="1525"/>
    <x v="0"/>
    <x v="4"/>
    <x v="0"/>
    <s v="Q1"/>
    <x v="182"/>
    <n v="0"/>
    <n v="1"/>
    <n v="272000"/>
    <x v="516"/>
    <n v="10"/>
    <x v="2"/>
    <n v="4"/>
    <x v="0"/>
  </r>
  <r>
    <n v="1526"/>
    <x v="14"/>
    <x v="0"/>
    <x v="2"/>
    <s v="Q1"/>
    <x v="93"/>
    <n v="4"/>
    <n v="4"/>
    <n v="645000"/>
    <x v="517"/>
    <n v="2"/>
    <x v="0"/>
    <n v="1"/>
    <x v="2"/>
  </r>
  <r>
    <n v="1527"/>
    <x v="14"/>
    <x v="2"/>
    <x v="3"/>
    <s v="Q1"/>
    <x v="306"/>
    <n v="6"/>
    <n v="6"/>
    <n v="3946000"/>
    <x v="518"/>
    <n v="10"/>
    <x v="0"/>
    <n v="103"/>
    <x v="2"/>
  </r>
  <r>
    <n v="1528"/>
    <x v="4"/>
    <x v="0"/>
    <x v="0"/>
    <s v="Q4"/>
    <x v="165"/>
    <n v="2"/>
    <n v="2"/>
    <n v="498000"/>
    <x v="519"/>
    <n v="15"/>
    <x v="0"/>
    <n v="152"/>
    <x v="2"/>
  </r>
  <r>
    <n v="1529"/>
    <x v="15"/>
    <x v="2"/>
    <x v="1"/>
    <s v="Q1"/>
    <x v="4"/>
    <n v="5"/>
    <n v="5"/>
    <n v="2405000"/>
    <x v="520"/>
    <n v="3"/>
    <x v="1"/>
    <n v="124"/>
    <x v="0"/>
  </r>
  <r>
    <n v="1530"/>
    <x v="14"/>
    <x v="0"/>
    <x v="3"/>
    <s v="Q2"/>
    <x v="31"/>
    <n v="3"/>
    <n v="3"/>
    <n v="713000"/>
    <x v="521"/>
    <n v="7"/>
    <x v="0"/>
    <n v="89"/>
    <x v="2"/>
  </r>
  <r>
    <n v="1531"/>
    <x v="10"/>
    <x v="1"/>
    <x v="0"/>
    <s v="Q4"/>
    <x v="266"/>
    <n v="3"/>
    <n v="3"/>
    <n v="1448000"/>
    <x v="522"/>
    <n v="0"/>
    <x v="2"/>
    <n v="8"/>
    <x v="1"/>
  </r>
  <r>
    <n v="1532"/>
    <x v="0"/>
    <x v="0"/>
    <x v="3"/>
    <s v="Q2"/>
    <x v="307"/>
    <n v="3"/>
    <n v="3"/>
    <n v="528000"/>
    <x v="523"/>
    <n v="0"/>
    <x v="0"/>
    <n v="85"/>
    <x v="0"/>
  </r>
  <r>
    <n v="1533"/>
    <x v="3"/>
    <x v="0"/>
    <x v="1"/>
    <s v="Q1"/>
    <x v="22"/>
    <n v="3"/>
    <n v="3"/>
    <n v="381000"/>
    <x v="524"/>
    <n v="3"/>
    <x v="1"/>
    <n v="107"/>
    <x v="2"/>
  </r>
  <r>
    <n v="1534"/>
    <x v="0"/>
    <x v="0"/>
    <x v="1"/>
    <s v="Q1"/>
    <x v="146"/>
    <n v="3"/>
    <n v="3"/>
    <n v="523000"/>
    <x v="525"/>
    <n v="7"/>
    <x v="0"/>
    <n v="176"/>
    <x v="0"/>
  </r>
  <r>
    <n v="1535"/>
    <x v="7"/>
    <x v="2"/>
    <x v="0"/>
    <s v="Q2"/>
    <x v="308"/>
    <n v="5"/>
    <n v="5"/>
    <n v="1530000"/>
    <x v="526"/>
    <n v="0"/>
    <x v="1"/>
    <n v="75"/>
    <x v="2"/>
  </r>
  <r>
    <n v="1536"/>
    <x v="4"/>
    <x v="2"/>
    <x v="3"/>
    <s v="Q2"/>
    <x v="70"/>
    <n v="4"/>
    <n v="4"/>
    <n v="1920000"/>
    <x v="527"/>
    <n v="5"/>
    <x v="2"/>
    <n v="3"/>
    <x v="2"/>
  </r>
  <r>
    <n v="1537"/>
    <x v="14"/>
    <x v="0"/>
    <x v="2"/>
    <s v="Q2"/>
    <x v="199"/>
    <n v="2"/>
    <n v="2"/>
    <n v="543000"/>
    <x v="528"/>
    <n v="10"/>
    <x v="2"/>
    <n v="125"/>
    <x v="2"/>
  </r>
  <r>
    <n v="1538"/>
    <x v="11"/>
    <x v="0"/>
    <x v="0"/>
    <s v="Q4"/>
    <x v="43"/>
    <n v="4"/>
    <n v="4"/>
    <n v="703000"/>
    <x v="529"/>
    <n v="7"/>
    <x v="0"/>
    <n v="130"/>
    <x v="0"/>
  </r>
  <r>
    <n v="1539"/>
    <x v="3"/>
    <x v="3"/>
    <x v="0"/>
    <s v="Q3"/>
    <x v="309"/>
    <n v="3"/>
    <n v="3"/>
    <n v="698000"/>
    <x v="530"/>
    <n v="0"/>
    <x v="0"/>
    <n v="18"/>
    <x v="2"/>
  </r>
  <r>
    <n v="1540"/>
    <x v="4"/>
    <x v="4"/>
    <x v="1"/>
    <s v="Q4"/>
    <x v="56"/>
    <n v="0"/>
    <n v="1"/>
    <n v="144000"/>
    <x v="531"/>
    <n v="0"/>
    <x v="1"/>
    <n v="152"/>
    <x v="2"/>
  </r>
  <r>
    <n v="1541"/>
    <x v="14"/>
    <x v="2"/>
    <x v="1"/>
    <s v="Q1"/>
    <x v="310"/>
    <n v="5"/>
    <n v="5"/>
    <n v="1580000"/>
    <x v="532"/>
    <n v="3"/>
    <x v="0"/>
    <n v="145"/>
    <x v="2"/>
  </r>
  <r>
    <n v="1542"/>
    <x v="19"/>
    <x v="0"/>
    <x v="2"/>
    <s v="Q2"/>
    <x v="128"/>
    <n v="3"/>
    <n v="3"/>
    <n v="283000"/>
    <x v="533"/>
    <n v="0"/>
    <x v="2"/>
    <n v="130"/>
    <x v="2"/>
  </r>
  <r>
    <n v="1543"/>
    <x v="7"/>
    <x v="2"/>
    <x v="3"/>
    <s v="Q2"/>
    <x v="96"/>
    <n v="4"/>
    <n v="4"/>
    <n v="2144000"/>
    <x v="534"/>
    <n v="1"/>
    <x v="1"/>
    <n v="75"/>
    <x v="2"/>
  </r>
  <r>
    <n v="1544"/>
    <x v="11"/>
    <x v="0"/>
    <x v="1"/>
    <s v="Q1"/>
    <x v="311"/>
    <n v="4"/>
    <n v="4"/>
    <n v="377000"/>
    <x v="535"/>
    <n v="0"/>
    <x v="2"/>
    <n v="82"/>
    <x v="0"/>
  </r>
  <r>
    <n v="1545"/>
    <x v="18"/>
    <x v="0"/>
    <x v="3"/>
    <s v="Q2"/>
    <x v="120"/>
    <n v="3"/>
    <n v="3"/>
    <n v="539000"/>
    <x v="536"/>
    <n v="0"/>
    <x v="0"/>
    <n v="11"/>
    <x v="1"/>
  </r>
  <r>
    <n v="1546"/>
    <x v="16"/>
    <x v="0"/>
    <x v="3"/>
    <s v="Q4"/>
    <x v="109"/>
    <n v="4"/>
    <n v="4"/>
    <n v="714000"/>
    <x v="537"/>
    <n v="15"/>
    <x v="0"/>
    <n v="143"/>
    <x v="1"/>
  </r>
  <r>
    <n v="1547"/>
    <x v="3"/>
    <x v="4"/>
    <x v="1"/>
    <s v="Q1"/>
    <x v="97"/>
    <n v="0"/>
    <n v="1"/>
    <n v="178000"/>
    <x v="538"/>
    <n v="4"/>
    <x v="0"/>
    <n v="3"/>
    <x v="2"/>
  </r>
  <r>
    <n v="1548"/>
    <x v="13"/>
    <x v="1"/>
    <x v="1"/>
    <s v="Q2"/>
    <x v="312"/>
    <n v="5"/>
    <n v="5"/>
    <n v="1111000"/>
    <x v="539"/>
    <n v="20"/>
    <x v="2"/>
    <n v="162"/>
    <x v="1"/>
  </r>
  <r>
    <n v="1549"/>
    <x v="13"/>
    <x v="3"/>
    <x v="2"/>
    <s v="Q4"/>
    <x v="68"/>
    <n v="4"/>
    <n v="4"/>
    <n v="933000"/>
    <x v="540"/>
    <n v="10"/>
    <x v="0"/>
    <n v="18"/>
    <x v="1"/>
  </r>
  <r>
    <n v="1550"/>
    <x v="14"/>
    <x v="0"/>
    <x v="2"/>
    <s v="Q4"/>
    <x v="3"/>
    <n v="3"/>
    <n v="3"/>
    <n v="496000"/>
    <x v="541"/>
    <n v="1"/>
    <x v="2"/>
    <n v="3"/>
    <x v="2"/>
  </r>
  <r>
    <n v="1551"/>
    <x v="15"/>
    <x v="0"/>
    <x v="3"/>
    <s v="Q1"/>
    <x v="199"/>
    <n v="4"/>
    <n v="4"/>
    <n v="492000"/>
    <x v="542"/>
    <n v="3"/>
    <x v="2"/>
    <n v="67"/>
    <x v="0"/>
  </r>
  <r>
    <n v="1552"/>
    <x v="19"/>
    <x v="1"/>
    <x v="2"/>
    <s v="Q1"/>
    <x v="313"/>
    <n v="4"/>
    <n v="4"/>
    <n v="717000"/>
    <x v="543"/>
    <n v="3"/>
    <x v="1"/>
    <n v="171"/>
    <x v="2"/>
  </r>
  <r>
    <n v="1553"/>
    <x v="5"/>
    <x v="2"/>
    <x v="1"/>
    <s v="Q1"/>
    <x v="314"/>
    <n v="5"/>
    <n v="5"/>
    <n v="2158000"/>
    <x v="544"/>
    <n v="0"/>
    <x v="0"/>
    <n v="112"/>
    <x v="1"/>
  </r>
  <r>
    <n v="1554"/>
    <x v="4"/>
    <x v="0"/>
    <x v="2"/>
    <s v="Q2"/>
    <x v="49"/>
    <n v="3"/>
    <n v="3"/>
    <n v="422000"/>
    <x v="545"/>
    <n v="0"/>
    <x v="0"/>
    <n v="170"/>
    <x v="2"/>
  </r>
  <r>
    <n v="1555"/>
    <x v="7"/>
    <x v="4"/>
    <x v="1"/>
    <s v="Q2"/>
    <x v="132"/>
    <n v="0"/>
    <n v="1"/>
    <n v="209000"/>
    <x v="546"/>
    <n v="7"/>
    <x v="1"/>
    <n v="12"/>
    <x v="2"/>
  </r>
  <r>
    <n v="1556"/>
    <x v="4"/>
    <x v="2"/>
    <x v="2"/>
    <s v="Q4"/>
    <x v="216"/>
    <n v="5"/>
    <n v="5"/>
    <n v="1757000"/>
    <x v="547"/>
    <n v="20"/>
    <x v="2"/>
    <n v="170"/>
    <x v="2"/>
  </r>
  <r>
    <n v="1557"/>
    <x v="10"/>
    <x v="0"/>
    <x v="3"/>
    <s v="Q1"/>
    <x v="315"/>
    <n v="2"/>
    <n v="2"/>
    <n v="725000"/>
    <x v="548"/>
    <n v="20"/>
    <x v="1"/>
    <n v="30"/>
    <x v="1"/>
  </r>
  <r>
    <n v="1558"/>
    <x v="0"/>
    <x v="1"/>
    <x v="3"/>
    <s v="Q2"/>
    <x v="280"/>
    <n v="3"/>
    <n v="3"/>
    <n v="1470000"/>
    <x v="549"/>
    <n v="20"/>
    <x v="0"/>
    <n v="24"/>
    <x v="0"/>
  </r>
  <r>
    <n v="1559"/>
    <x v="4"/>
    <x v="2"/>
    <x v="2"/>
    <s v="Q3"/>
    <x v="96"/>
    <n v="4"/>
    <n v="4"/>
    <n v="1885000"/>
    <x v="550"/>
    <n v="15"/>
    <x v="0"/>
    <n v="61"/>
    <x v="2"/>
  </r>
  <r>
    <n v="1560"/>
    <x v="7"/>
    <x v="0"/>
    <x v="0"/>
    <s v="Q4"/>
    <x v="30"/>
    <n v="4"/>
    <n v="4"/>
    <n v="323000"/>
    <x v="551"/>
    <n v="0"/>
    <x v="2"/>
    <n v="31"/>
    <x v="2"/>
  </r>
  <r>
    <n v="1561"/>
    <x v="8"/>
    <x v="0"/>
    <x v="0"/>
    <s v="Q3"/>
    <x v="214"/>
    <n v="2"/>
    <n v="2"/>
    <n v="727000"/>
    <x v="552"/>
    <n v="3"/>
    <x v="1"/>
    <n v="167"/>
    <x v="0"/>
  </r>
  <r>
    <n v="1562"/>
    <x v="5"/>
    <x v="0"/>
    <x v="1"/>
    <s v="Q2"/>
    <x v="146"/>
    <n v="3"/>
    <n v="3"/>
    <n v="382000"/>
    <x v="553"/>
    <n v="20"/>
    <x v="0"/>
    <n v="80"/>
    <x v="1"/>
  </r>
  <r>
    <n v="1563"/>
    <x v="4"/>
    <x v="0"/>
    <x v="2"/>
    <s v="Q3"/>
    <x v="30"/>
    <n v="3"/>
    <n v="3"/>
    <n v="341000"/>
    <x v="554"/>
    <n v="4"/>
    <x v="1"/>
    <n v="55"/>
    <x v="2"/>
  </r>
  <r>
    <n v="1564"/>
    <x v="12"/>
    <x v="2"/>
    <x v="3"/>
    <s v="Q2"/>
    <x v="183"/>
    <n v="5"/>
    <n v="5"/>
    <n v="2804000"/>
    <x v="555"/>
    <n v="20"/>
    <x v="0"/>
    <n v="92"/>
    <x v="1"/>
  </r>
  <r>
    <n v="1565"/>
    <x v="15"/>
    <x v="2"/>
    <x v="0"/>
    <s v="Q2"/>
    <x v="159"/>
    <n v="4"/>
    <n v="4"/>
    <n v="1227000"/>
    <x v="556"/>
    <n v="4"/>
    <x v="1"/>
    <n v="123"/>
    <x v="0"/>
  </r>
  <r>
    <n v="1566"/>
    <x v="0"/>
    <x v="0"/>
    <x v="3"/>
    <s v="Q2"/>
    <x v="6"/>
    <n v="4"/>
    <n v="4"/>
    <n v="550000"/>
    <x v="557"/>
    <n v="0"/>
    <x v="0"/>
    <n v="106"/>
    <x v="0"/>
  </r>
  <r>
    <n v="1567"/>
    <x v="17"/>
    <x v="1"/>
    <x v="0"/>
    <s v="Q2"/>
    <x v="95"/>
    <n v="3"/>
    <n v="3"/>
    <n v="622000"/>
    <x v="558"/>
    <n v="7"/>
    <x v="1"/>
    <n v="93"/>
    <x v="0"/>
  </r>
  <r>
    <n v="1568"/>
    <x v="11"/>
    <x v="2"/>
    <x v="2"/>
    <s v="Q3"/>
    <x v="316"/>
    <n v="6"/>
    <n v="6"/>
    <n v="2334000"/>
    <x v="559"/>
    <n v="3"/>
    <x v="1"/>
    <n v="63"/>
    <x v="0"/>
  </r>
  <r>
    <n v="1569"/>
    <x v="15"/>
    <x v="3"/>
    <x v="2"/>
    <s v="Q2"/>
    <x v="296"/>
    <n v="4"/>
    <n v="4"/>
    <n v="737000"/>
    <x v="560"/>
    <n v="1"/>
    <x v="0"/>
    <n v="162"/>
    <x v="0"/>
  </r>
  <r>
    <n v="1570"/>
    <x v="13"/>
    <x v="0"/>
    <x v="2"/>
    <s v="Q2"/>
    <x v="86"/>
    <n v="3"/>
    <n v="3"/>
    <n v="445000"/>
    <x v="561"/>
    <n v="20"/>
    <x v="1"/>
    <n v="173"/>
    <x v="1"/>
  </r>
  <r>
    <n v="1571"/>
    <x v="18"/>
    <x v="0"/>
    <x v="3"/>
    <s v="Q3"/>
    <x v="42"/>
    <n v="4"/>
    <n v="4"/>
    <n v="518000"/>
    <x v="562"/>
    <n v="5"/>
    <x v="2"/>
    <n v="36"/>
    <x v="1"/>
  </r>
  <r>
    <n v="1572"/>
    <x v="18"/>
    <x v="0"/>
    <x v="3"/>
    <s v="Q1"/>
    <x v="17"/>
    <n v="3"/>
    <n v="3"/>
    <n v="494000"/>
    <x v="563"/>
    <n v="10"/>
    <x v="1"/>
    <n v="143"/>
    <x v="1"/>
  </r>
  <r>
    <n v="1573"/>
    <x v="16"/>
    <x v="0"/>
    <x v="3"/>
    <s v="Q1"/>
    <x v="317"/>
    <n v="3"/>
    <n v="3"/>
    <n v="498000"/>
    <x v="564"/>
    <n v="15"/>
    <x v="0"/>
    <n v="6"/>
    <x v="1"/>
  </r>
  <r>
    <n v="1574"/>
    <x v="8"/>
    <x v="2"/>
    <x v="2"/>
    <s v="Q3"/>
    <x v="318"/>
    <n v="5"/>
    <n v="5"/>
    <n v="1859000"/>
    <x v="565"/>
    <n v="7"/>
    <x v="2"/>
    <n v="148"/>
    <x v="0"/>
  </r>
  <r>
    <n v="1575"/>
    <x v="4"/>
    <x v="2"/>
    <x v="2"/>
    <s v="Q3"/>
    <x v="166"/>
    <n v="5"/>
    <n v="5"/>
    <n v="1678000"/>
    <x v="566"/>
    <n v="4"/>
    <x v="0"/>
    <n v="65"/>
    <x v="2"/>
  </r>
  <r>
    <n v="1576"/>
    <x v="1"/>
    <x v="0"/>
    <x v="3"/>
    <s v="Q3"/>
    <x v="3"/>
    <n v="2"/>
    <n v="2"/>
    <n v="449000"/>
    <x v="567"/>
    <n v="7"/>
    <x v="1"/>
    <n v="35"/>
    <x v="1"/>
  </r>
  <r>
    <n v="1577"/>
    <x v="2"/>
    <x v="1"/>
    <x v="1"/>
    <s v="Q3"/>
    <x v="319"/>
    <n v="4"/>
    <n v="4"/>
    <n v="925000"/>
    <x v="568"/>
    <n v="7"/>
    <x v="0"/>
    <n v="97"/>
    <x v="0"/>
  </r>
  <r>
    <n v="1578"/>
    <x v="4"/>
    <x v="4"/>
    <x v="2"/>
    <s v="Q2"/>
    <x v="237"/>
    <n v="0"/>
    <n v="1"/>
    <n v="156000"/>
    <x v="569"/>
    <n v="2"/>
    <x v="2"/>
    <n v="19"/>
    <x v="2"/>
  </r>
  <r>
    <n v="1579"/>
    <x v="16"/>
    <x v="2"/>
    <x v="1"/>
    <s v="Q1"/>
    <x v="194"/>
    <n v="4"/>
    <n v="4"/>
    <n v="2380000"/>
    <x v="570"/>
    <n v="10"/>
    <x v="2"/>
    <n v="87"/>
    <x v="1"/>
  </r>
  <r>
    <n v="1580"/>
    <x v="15"/>
    <x v="1"/>
    <x v="1"/>
    <s v="Q4"/>
    <x v="140"/>
    <n v="4"/>
    <n v="4"/>
    <n v="827000"/>
    <x v="571"/>
    <n v="10"/>
    <x v="1"/>
    <n v="24"/>
    <x v="0"/>
  </r>
  <r>
    <n v="1581"/>
    <x v="16"/>
    <x v="1"/>
    <x v="0"/>
    <s v="Q2"/>
    <x v="137"/>
    <n v="4"/>
    <n v="4"/>
    <n v="1402000"/>
    <x v="572"/>
    <n v="7"/>
    <x v="2"/>
    <n v="14"/>
    <x v="1"/>
  </r>
  <r>
    <n v="1582"/>
    <x v="14"/>
    <x v="1"/>
    <x v="2"/>
    <s v="Q2"/>
    <x v="320"/>
    <n v="3"/>
    <n v="3"/>
    <n v="1428000"/>
    <x v="573"/>
    <n v="0"/>
    <x v="1"/>
    <n v="12"/>
    <x v="2"/>
  </r>
  <r>
    <n v="1583"/>
    <x v="12"/>
    <x v="1"/>
    <x v="2"/>
    <s v="Q2"/>
    <x v="321"/>
    <n v="4"/>
    <n v="4"/>
    <n v="1716000"/>
    <x v="574"/>
    <n v="0"/>
    <x v="2"/>
    <n v="170"/>
    <x v="1"/>
  </r>
  <r>
    <n v="1584"/>
    <x v="7"/>
    <x v="0"/>
    <x v="1"/>
    <s v="Q2"/>
    <x v="103"/>
    <n v="2"/>
    <n v="2"/>
    <n v="380000"/>
    <x v="575"/>
    <n v="1"/>
    <x v="1"/>
    <n v="51"/>
    <x v="2"/>
  </r>
  <r>
    <n v="1585"/>
    <x v="5"/>
    <x v="0"/>
    <x v="2"/>
    <s v="Q2"/>
    <x v="208"/>
    <n v="4"/>
    <n v="4"/>
    <n v="329000"/>
    <x v="576"/>
    <n v="7"/>
    <x v="1"/>
    <n v="151"/>
    <x v="1"/>
  </r>
  <r>
    <n v="1586"/>
    <x v="18"/>
    <x v="2"/>
    <x v="1"/>
    <s v="Q4"/>
    <x v="322"/>
    <n v="4"/>
    <n v="4"/>
    <n v="2121000"/>
    <x v="577"/>
    <n v="0"/>
    <x v="1"/>
    <n v="138"/>
    <x v="1"/>
  </r>
  <r>
    <n v="1587"/>
    <x v="15"/>
    <x v="2"/>
    <x v="2"/>
    <s v="Q1"/>
    <x v="216"/>
    <n v="4"/>
    <n v="4"/>
    <n v="2070000"/>
    <x v="578"/>
    <n v="2"/>
    <x v="0"/>
    <n v="57"/>
    <x v="0"/>
  </r>
  <r>
    <n v="1588"/>
    <x v="19"/>
    <x v="0"/>
    <x v="3"/>
    <s v="Q3"/>
    <x v="315"/>
    <n v="4"/>
    <n v="4"/>
    <n v="607000"/>
    <x v="579"/>
    <n v="20"/>
    <x v="0"/>
    <n v="3"/>
    <x v="2"/>
  </r>
  <r>
    <n v="1589"/>
    <x v="14"/>
    <x v="1"/>
    <x v="3"/>
    <s v="Q4"/>
    <x v="280"/>
    <n v="3"/>
    <n v="3"/>
    <n v="1623000"/>
    <x v="580"/>
    <n v="3"/>
    <x v="0"/>
    <n v="19"/>
    <x v="2"/>
  </r>
  <r>
    <n v="1590"/>
    <x v="2"/>
    <x v="0"/>
    <x v="1"/>
    <s v="Q3"/>
    <x v="217"/>
    <n v="3"/>
    <n v="3"/>
    <n v="633000"/>
    <x v="581"/>
    <n v="15"/>
    <x v="0"/>
    <n v="51"/>
    <x v="0"/>
  </r>
  <r>
    <n v="1591"/>
    <x v="7"/>
    <x v="2"/>
    <x v="3"/>
    <s v="Q3"/>
    <x v="255"/>
    <n v="6"/>
    <n v="6"/>
    <n v="1771000"/>
    <x v="582"/>
    <n v="2"/>
    <x v="2"/>
    <n v="20"/>
    <x v="2"/>
  </r>
  <r>
    <n v="1592"/>
    <x v="8"/>
    <x v="2"/>
    <x v="1"/>
    <s v="Q2"/>
    <x v="41"/>
    <n v="4"/>
    <n v="4"/>
    <n v="2003000"/>
    <x v="12"/>
    <n v="4"/>
    <x v="1"/>
    <n v="33"/>
    <x v="0"/>
  </r>
  <r>
    <n v="1593"/>
    <x v="3"/>
    <x v="1"/>
    <x v="1"/>
    <s v="Q3"/>
    <x v="36"/>
    <n v="3"/>
    <n v="3"/>
    <n v="699000"/>
    <x v="583"/>
    <n v="1"/>
    <x v="0"/>
    <n v="89"/>
    <x v="2"/>
  </r>
  <r>
    <n v="1594"/>
    <x v="8"/>
    <x v="2"/>
    <x v="2"/>
    <s v="Q1"/>
    <x v="323"/>
    <n v="6"/>
    <n v="6"/>
    <n v="2254000"/>
    <x v="584"/>
    <n v="2"/>
    <x v="0"/>
    <n v="83"/>
    <x v="0"/>
  </r>
  <r>
    <n v="1595"/>
    <x v="1"/>
    <x v="0"/>
    <x v="0"/>
    <s v="Q2"/>
    <x v="295"/>
    <n v="4"/>
    <n v="4"/>
    <n v="425000"/>
    <x v="585"/>
    <n v="7"/>
    <x v="0"/>
    <n v="20"/>
    <x v="1"/>
  </r>
  <r>
    <n v="1596"/>
    <x v="14"/>
    <x v="1"/>
    <x v="3"/>
    <s v="Q4"/>
    <x v="81"/>
    <n v="3"/>
    <n v="3"/>
    <n v="1915000"/>
    <x v="586"/>
    <n v="4"/>
    <x v="2"/>
    <n v="112"/>
    <x v="2"/>
  </r>
  <r>
    <n v="1597"/>
    <x v="4"/>
    <x v="1"/>
    <x v="0"/>
    <s v="Q3"/>
    <x v="126"/>
    <n v="3"/>
    <n v="3"/>
    <n v="1165000"/>
    <x v="587"/>
    <n v="15"/>
    <x v="0"/>
    <n v="134"/>
    <x v="2"/>
  </r>
  <r>
    <n v="1598"/>
    <x v="12"/>
    <x v="1"/>
    <x v="0"/>
    <s v="Q4"/>
    <x v="117"/>
    <n v="5"/>
    <n v="5"/>
    <n v="1545000"/>
    <x v="588"/>
    <n v="3"/>
    <x v="1"/>
    <n v="44"/>
    <x v="1"/>
  </r>
  <r>
    <n v="1599"/>
    <x v="17"/>
    <x v="2"/>
    <x v="2"/>
    <s v="Q1"/>
    <x v="185"/>
    <n v="5"/>
    <n v="5"/>
    <n v="1988000"/>
    <x v="589"/>
    <n v="0"/>
    <x v="0"/>
    <n v="83"/>
    <x v="0"/>
  </r>
  <r>
    <n v="1600"/>
    <x v="13"/>
    <x v="2"/>
    <x v="3"/>
    <s v="Q3"/>
    <x v="324"/>
    <n v="4"/>
    <n v="4"/>
    <n v="3185000"/>
    <x v="590"/>
    <n v="3"/>
    <x v="0"/>
    <n v="104"/>
    <x v="1"/>
  </r>
  <r>
    <n v="1601"/>
    <x v="14"/>
    <x v="0"/>
    <x v="1"/>
    <s v="Q3"/>
    <x v="246"/>
    <n v="4"/>
    <n v="4"/>
    <n v="400000"/>
    <x v="591"/>
    <n v="2"/>
    <x v="2"/>
    <n v="37"/>
    <x v="2"/>
  </r>
  <r>
    <n v="1602"/>
    <x v="10"/>
    <x v="4"/>
    <x v="1"/>
    <s v="Q3"/>
    <x v="205"/>
    <n v="0"/>
    <n v="1"/>
    <n v="237000"/>
    <x v="592"/>
    <n v="3"/>
    <x v="1"/>
    <n v="134"/>
    <x v="1"/>
  </r>
  <r>
    <n v="1603"/>
    <x v="10"/>
    <x v="1"/>
    <x v="2"/>
    <s v="Q3"/>
    <x v="325"/>
    <n v="3"/>
    <n v="3"/>
    <n v="1408000"/>
    <x v="593"/>
    <n v="1"/>
    <x v="2"/>
    <n v="118"/>
    <x v="1"/>
  </r>
  <r>
    <n v="1604"/>
    <x v="15"/>
    <x v="2"/>
    <x v="0"/>
    <s v="Q4"/>
    <x v="326"/>
    <n v="6"/>
    <n v="6"/>
    <n v="2123000"/>
    <x v="594"/>
    <n v="1"/>
    <x v="0"/>
    <n v="121"/>
    <x v="0"/>
  </r>
  <r>
    <n v="1605"/>
    <x v="5"/>
    <x v="0"/>
    <x v="2"/>
    <s v="Q2"/>
    <x v="32"/>
    <n v="4"/>
    <n v="4"/>
    <n v="449000"/>
    <x v="595"/>
    <n v="20"/>
    <x v="0"/>
    <n v="111"/>
    <x v="1"/>
  </r>
  <r>
    <n v="1606"/>
    <x v="13"/>
    <x v="3"/>
    <x v="2"/>
    <s v="Q2"/>
    <x v="200"/>
    <n v="3"/>
    <n v="3"/>
    <n v="1358000"/>
    <x v="596"/>
    <n v="1"/>
    <x v="0"/>
    <n v="55"/>
    <x v="1"/>
  </r>
  <r>
    <n v="1607"/>
    <x v="13"/>
    <x v="2"/>
    <x v="2"/>
    <s v="Q2"/>
    <x v="256"/>
    <n v="5"/>
    <n v="5"/>
    <n v="2503000"/>
    <x v="597"/>
    <n v="1"/>
    <x v="0"/>
    <n v="43"/>
    <x v="1"/>
  </r>
  <r>
    <n v="1608"/>
    <x v="17"/>
    <x v="0"/>
    <x v="1"/>
    <s v="Q1"/>
    <x v="109"/>
    <n v="3"/>
    <n v="3"/>
    <n v="561000"/>
    <x v="598"/>
    <n v="5"/>
    <x v="0"/>
    <n v="117"/>
    <x v="0"/>
  </r>
  <r>
    <n v="1609"/>
    <x v="1"/>
    <x v="0"/>
    <x v="0"/>
    <s v="Q2"/>
    <x v="327"/>
    <n v="2"/>
    <n v="2"/>
    <n v="310000"/>
    <x v="599"/>
    <n v="5"/>
    <x v="0"/>
    <n v="8"/>
    <x v="1"/>
  </r>
  <r>
    <n v="1610"/>
    <x v="14"/>
    <x v="1"/>
    <x v="2"/>
    <s v="Q1"/>
    <x v="72"/>
    <n v="4"/>
    <n v="4"/>
    <n v="1620000"/>
    <x v="600"/>
    <n v="15"/>
    <x v="0"/>
    <n v="160"/>
    <x v="2"/>
  </r>
  <r>
    <n v="1611"/>
    <x v="18"/>
    <x v="3"/>
    <x v="1"/>
    <s v="Q2"/>
    <x v="302"/>
    <n v="4"/>
    <n v="4"/>
    <n v="912000"/>
    <x v="601"/>
    <n v="15"/>
    <x v="1"/>
    <n v="23"/>
    <x v="1"/>
  </r>
  <r>
    <n v="1612"/>
    <x v="6"/>
    <x v="0"/>
    <x v="3"/>
    <s v="Q2"/>
    <x v="0"/>
    <n v="4"/>
    <n v="4"/>
    <n v="474000"/>
    <x v="602"/>
    <n v="1"/>
    <x v="2"/>
    <n v="80"/>
    <x v="0"/>
  </r>
  <r>
    <n v="1613"/>
    <x v="8"/>
    <x v="4"/>
    <x v="2"/>
    <s v="Q4"/>
    <x v="28"/>
    <n v="0"/>
    <n v="1"/>
    <n v="229000"/>
    <x v="603"/>
    <n v="3"/>
    <x v="0"/>
    <n v="174"/>
    <x v="0"/>
  </r>
  <r>
    <n v="1614"/>
    <x v="16"/>
    <x v="0"/>
    <x v="0"/>
    <s v="Q3"/>
    <x v="42"/>
    <n v="2"/>
    <n v="2"/>
    <n v="571000"/>
    <x v="604"/>
    <n v="15"/>
    <x v="0"/>
    <n v="46"/>
    <x v="1"/>
  </r>
  <r>
    <n v="1615"/>
    <x v="18"/>
    <x v="0"/>
    <x v="0"/>
    <s v="Q1"/>
    <x v="150"/>
    <n v="3"/>
    <n v="3"/>
    <n v="601000"/>
    <x v="605"/>
    <n v="15"/>
    <x v="0"/>
    <n v="177"/>
    <x v="1"/>
  </r>
  <r>
    <n v="1616"/>
    <x v="8"/>
    <x v="0"/>
    <x v="1"/>
    <s v="Q3"/>
    <x v="5"/>
    <n v="3"/>
    <n v="3"/>
    <n v="555000"/>
    <x v="606"/>
    <n v="2"/>
    <x v="2"/>
    <n v="116"/>
    <x v="0"/>
  </r>
  <r>
    <n v="1617"/>
    <x v="1"/>
    <x v="0"/>
    <x v="2"/>
    <s v="Q4"/>
    <x v="132"/>
    <n v="4"/>
    <n v="4"/>
    <n v="173000"/>
    <x v="607"/>
    <n v="3"/>
    <x v="2"/>
    <n v="19"/>
    <x v="1"/>
  </r>
  <r>
    <n v="1618"/>
    <x v="2"/>
    <x v="1"/>
    <x v="2"/>
    <s v="Q3"/>
    <x v="328"/>
    <n v="4"/>
    <n v="4"/>
    <n v="1051000"/>
    <x v="608"/>
    <n v="0"/>
    <x v="1"/>
    <n v="116"/>
    <x v="0"/>
  </r>
  <r>
    <n v="1619"/>
    <x v="19"/>
    <x v="1"/>
    <x v="1"/>
    <s v="Q1"/>
    <x v="329"/>
    <n v="4"/>
    <n v="4"/>
    <n v="726000"/>
    <x v="609"/>
    <n v="5"/>
    <x v="1"/>
    <n v="45"/>
    <x v="2"/>
  </r>
  <r>
    <n v="1620"/>
    <x v="16"/>
    <x v="4"/>
    <x v="3"/>
    <s v="Q3"/>
    <x v="330"/>
    <n v="0"/>
    <n v="1"/>
    <n v="253000"/>
    <x v="610"/>
    <n v="1"/>
    <x v="0"/>
    <n v="59"/>
    <x v="1"/>
  </r>
  <r>
    <n v="1621"/>
    <x v="15"/>
    <x v="0"/>
    <x v="3"/>
    <s v="Q3"/>
    <x v="150"/>
    <n v="3"/>
    <n v="3"/>
    <n v="578000"/>
    <x v="611"/>
    <n v="1"/>
    <x v="2"/>
    <n v="167"/>
    <x v="0"/>
  </r>
  <r>
    <n v="1622"/>
    <x v="3"/>
    <x v="2"/>
    <x v="2"/>
    <s v="Q4"/>
    <x v="251"/>
    <n v="5"/>
    <n v="5"/>
    <n v="1369000"/>
    <x v="612"/>
    <n v="3"/>
    <x v="0"/>
    <n v="47"/>
    <x v="2"/>
  </r>
  <r>
    <n v="1623"/>
    <x v="10"/>
    <x v="3"/>
    <x v="1"/>
    <s v="Q1"/>
    <x v="286"/>
    <n v="5"/>
    <n v="5"/>
    <n v="1003000"/>
    <x v="613"/>
    <n v="4"/>
    <x v="1"/>
    <n v="37"/>
    <x v="1"/>
  </r>
  <r>
    <n v="1624"/>
    <x v="8"/>
    <x v="0"/>
    <x v="3"/>
    <s v="Q4"/>
    <x v="103"/>
    <n v="3"/>
    <n v="3"/>
    <n v="555000"/>
    <x v="614"/>
    <n v="1"/>
    <x v="2"/>
    <n v="131"/>
    <x v="0"/>
  </r>
  <r>
    <n v="1625"/>
    <x v="11"/>
    <x v="2"/>
    <x v="3"/>
    <s v="Q2"/>
    <x v="13"/>
    <n v="5"/>
    <n v="5"/>
    <n v="1914000"/>
    <x v="615"/>
    <n v="5"/>
    <x v="2"/>
    <n v="67"/>
    <x v="0"/>
  </r>
  <r>
    <n v="1626"/>
    <x v="19"/>
    <x v="0"/>
    <x v="3"/>
    <s v="Q2"/>
    <x v="327"/>
    <n v="3"/>
    <n v="3"/>
    <n v="330000"/>
    <x v="616"/>
    <n v="3"/>
    <x v="0"/>
    <n v="108"/>
    <x v="2"/>
  </r>
  <r>
    <n v="1627"/>
    <x v="10"/>
    <x v="0"/>
    <x v="2"/>
    <s v="Q1"/>
    <x v="307"/>
    <n v="3"/>
    <n v="3"/>
    <n v="466000"/>
    <x v="617"/>
    <n v="20"/>
    <x v="2"/>
    <n v="175"/>
    <x v="1"/>
  </r>
  <r>
    <n v="1628"/>
    <x v="3"/>
    <x v="1"/>
    <x v="2"/>
    <s v="Q1"/>
    <x v="331"/>
    <n v="5"/>
    <n v="5"/>
    <n v="644000"/>
    <x v="618"/>
    <n v="7"/>
    <x v="1"/>
    <n v="161"/>
    <x v="2"/>
  </r>
  <r>
    <n v="1629"/>
    <x v="1"/>
    <x v="2"/>
    <x v="0"/>
    <s v="Q2"/>
    <x v="332"/>
    <n v="6"/>
    <n v="6"/>
    <n v="2055000"/>
    <x v="619"/>
    <n v="0"/>
    <x v="0"/>
    <n v="78"/>
    <x v="1"/>
  </r>
  <r>
    <n v="1630"/>
    <x v="8"/>
    <x v="0"/>
    <x v="2"/>
    <s v="Q2"/>
    <x v="228"/>
    <n v="4"/>
    <n v="4"/>
    <n v="446000"/>
    <x v="620"/>
    <n v="2"/>
    <x v="2"/>
    <n v="111"/>
    <x v="0"/>
  </r>
  <r>
    <n v="1631"/>
    <x v="8"/>
    <x v="2"/>
    <x v="3"/>
    <s v="Q2"/>
    <x v="333"/>
    <n v="5"/>
    <n v="5"/>
    <n v="3626000"/>
    <x v="621"/>
    <n v="15"/>
    <x v="0"/>
    <n v="144"/>
    <x v="0"/>
  </r>
  <r>
    <n v="1632"/>
    <x v="1"/>
    <x v="0"/>
    <x v="2"/>
    <s v="Q2"/>
    <x v="32"/>
    <n v="3"/>
    <n v="3"/>
    <n v="476000"/>
    <x v="622"/>
    <n v="1"/>
    <x v="0"/>
    <n v="21"/>
    <x v="1"/>
  </r>
  <r>
    <n v="1633"/>
    <x v="14"/>
    <x v="0"/>
    <x v="0"/>
    <s v="Q4"/>
    <x v="165"/>
    <n v="4"/>
    <n v="4"/>
    <n v="628000"/>
    <x v="623"/>
    <n v="15"/>
    <x v="1"/>
    <n v="17"/>
    <x v="2"/>
  </r>
  <r>
    <n v="1634"/>
    <x v="15"/>
    <x v="0"/>
    <x v="1"/>
    <s v="Q3"/>
    <x v="61"/>
    <n v="3"/>
    <n v="3"/>
    <n v="427000"/>
    <x v="624"/>
    <n v="20"/>
    <x v="1"/>
    <n v="90"/>
    <x v="0"/>
  </r>
  <r>
    <n v="1635"/>
    <x v="0"/>
    <x v="4"/>
    <x v="2"/>
    <s v="Q3"/>
    <x v="182"/>
    <n v="0"/>
    <n v="1"/>
    <n v="258000"/>
    <x v="625"/>
    <n v="20"/>
    <x v="1"/>
    <n v="59"/>
    <x v="0"/>
  </r>
  <r>
    <n v="1636"/>
    <x v="12"/>
    <x v="0"/>
    <x v="3"/>
    <s v="Q4"/>
    <x v="334"/>
    <n v="3"/>
    <n v="3"/>
    <n v="844000"/>
    <x v="626"/>
    <n v="7"/>
    <x v="2"/>
    <n v="59"/>
    <x v="1"/>
  </r>
  <r>
    <n v="1637"/>
    <x v="7"/>
    <x v="0"/>
    <x v="2"/>
    <s v="Q3"/>
    <x v="61"/>
    <n v="3"/>
    <n v="3"/>
    <n v="332000"/>
    <x v="627"/>
    <n v="20"/>
    <x v="0"/>
    <n v="72"/>
    <x v="2"/>
  </r>
  <r>
    <n v="1638"/>
    <x v="2"/>
    <x v="0"/>
    <x v="3"/>
    <s v="Q1"/>
    <x v="48"/>
    <n v="2"/>
    <n v="2"/>
    <n v="675000"/>
    <x v="628"/>
    <n v="10"/>
    <x v="1"/>
    <n v="136"/>
    <x v="0"/>
  </r>
  <r>
    <n v="1639"/>
    <x v="16"/>
    <x v="0"/>
    <x v="3"/>
    <s v="Q4"/>
    <x v="49"/>
    <n v="3"/>
    <n v="3"/>
    <n v="681000"/>
    <x v="629"/>
    <n v="0"/>
    <x v="0"/>
    <n v="36"/>
    <x v="1"/>
  </r>
  <r>
    <n v="1640"/>
    <x v="19"/>
    <x v="4"/>
    <x v="3"/>
    <s v="Q3"/>
    <x v="335"/>
    <n v="0"/>
    <n v="1"/>
    <n v="312000"/>
    <x v="630"/>
    <n v="5"/>
    <x v="0"/>
    <n v="77"/>
    <x v="2"/>
  </r>
  <r>
    <n v="1641"/>
    <x v="1"/>
    <x v="2"/>
    <x v="3"/>
    <s v="Q2"/>
    <x v="336"/>
    <n v="4"/>
    <n v="4"/>
    <n v="2025000"/>
    <x v="631"/>
    <n v="4"/>
    <x v="1"/>
    <n v="145"/>
    <x v="1"/>
  </r>
  <r>
    <n v="1642"/>
    <x v="15"/>
    <x v="0"/>
    <x v="1"/>
    <s v="Q3"/>
    <x v="229"/>
    <n v="3"/>
    <n v="3"/>
    <n v="504000"/>
    <x v="632"/>
    <n v="0"/>
    <x v="1"/>
    <n v="9"/>
    <x v="0"/>
  </r>
  <r>
    <n v="1643"/>
    <x v="0"/>
    <x v="2"/>
    <x v="3"/>
    <s v="Q1"/>
    <x v="337"/>
    <n v="5"/>
    <n v="5"/>
    <n v="2175000"/>
    <x v="633"/>
    <n v="5"/>
    <x v="2"/>
    <n v="3"/>
    <x v="0"/>
  </r>
  <r>
    <n v="1644"/>
    <x v="19"/>
    <x v="0"/>
    <x v="1"/>
    <s v="Q4"/>
    <x v="208"/>
    <n v="2"/>
    <n v="2"/>
    <n v="384000"/>
    <x v="634"/>
    <n v="2"/>
    <x v="0"/>
    <n v="82"/>
    <x v="2"/>
  </r>
  <r>
    <n v="1645"/>
    <x v="19"/>
    <x v="2"/>
    <x v="0"/>
    <s v="Q3"/>
    <x v="338"/>
    <n v="5"/>
    <n v="5"/>
    <n v="2576000"/>
    <x v="635"/>
    <n v="10"/>
    <x v="0"/>
    <n v="157"/>
    <x v="2"/>
  </r>
  <r>
    <n v="1646"/>
    <x v="0"/>
    <x v="2"/>
    <x v="2"/>
    <s v="Q1"/>
    <x v="227"/>
    <n v="4"/>
    <n v="4"/>
    <n v="2659000"/>
    <x v="636"/>
    <n v="7"/>
    <x v="0"/>
    <n v="73"/>
    <x v="0"/>
  </r>
  <r>
    <n v="1647"/>
    <x v="3"/>
    <x v="1"/>
    <x v="0"/>
    <s v="Q3"/>
    <x v="131"/>
    <n v="4"/>
    <n v="4"/>
    <n v="972000"/>
    <x v="637"/>
    <n v="0"/>
    <x v="1"/>
    <n v="147"/>
    <x v="2"/>
  </r>
  <r>
    <n v="1648"/>
    <x v="11"/>
    <x v="4"/>
    <x v="1"/>
    <s v="Q4"/>
    <x v="339"/>
    <n v="0"/>
    <n v="1"/>
    <n v="362000"/>
    <x v="638"/>
    <n v="15"/>
    <x v="0"/>
    <n v="16"/>
    <x v="0"/>
  </r>
  <r>
    <n v="1649"/>
    <x v="19"/>
    <x v="0"/>
    <x v="3"/>
    <s v="Q1"/>
    <x v="61"/>
    <n v="2"/>
    <n v="2"/>
    <n v="478000"/>
    <x v="639"/>
    <n v="7"/>
    <x v="2"/>
    <n v="85"/>
    <x v="2"/>
  </r>
  <r>
    <n v="1650"/>
    <x v="19"/>
    <x v="2"/>
    <x v="1"/>
    <s v="Q3"/>
    <x v="340"/>
    <n v="5"/>
    <n v="5"/>
    <n v="2122000"/>
    <x v="640"/>
    <n v="0"/>
    <x v="2"/>
    <n v="78"/>
    <x v="2"/>
  </r>
  <r>
    <n v="1651"/>
    <x v="13"/>
    <x v="4"/>
    <x v="0"/>
    <s v="Q1"/>
    <x v="177"/>
    <n v="0"/>
    <n v="1"/>
    <n v="424000"/>
    <x v="641"/>
    <n v="5"/>
    <x v="0"/>
    <n v="123"/>
    <x v="1"/>
  </r>
  <r>
    <n v="1652"/>
    <x v="14"/>
    <x v="0"/>
    <x v="2"/>
    <s v="Q1"/>
    <x v="341"/>
    <n v="4"/>
    <n v="4"/>
    <n v="685000"/>
    <x v="642"/>
    <n v="15"/>
    <x v="0"/>
    <n v="86"/>
    <x v="2"/>
  </r>
  <r>
    <n v="1653"/>
    <x v="14"/>
    <x v="2"/>
    <x v="0"/>
    <s v="Q4"/>
    <x v="342"/>
    <n v="5"/>
    <n v="5"/>
    <n v="2253000"/>
    <x v="643"/>
    <n v="10"/>
    <x v="0"/>
    <n v="79"/>
    <x v="2"/>
  </r>
  <r>
    <n v="1654"/>
    <x v="9"/>
    <x v="0"/>
    <x v="0"/>
    <s v="Q4"/>
    <x v="61"/>
    <n v="3"/>
    <n v="3"/>
    <n v="657000"/>
    <x v="644"/>
    <n v="15"/>
    <x v="0"/>
    <n v="133"/>
    <x v="2"/>
  </r>
  <r>
    <n v="1655"/>
    <x v="14"/>
    <x v="1"/>
    <x v="1"/>
    <s v="Q2"/>
    <x v="343"/>
    <n v="3"/>
    <n v="3"/>
    <n v="1474000"/>
    <x v="645"/>
    <n v="1"/>
    <x v="1"/>
    <n v="89"/>
    <x v="2"/>
  </r>
  <r>
    <n v="1656"/>
    <x v="13"/>
    <x v="3"/>
    <x v="3"/>
    <s v="Q3"/>
    <x v="174"/>
    <n v="3"/>
    <n v="3"/>
    <n v="1808000"/>
    <x v="646"/>
    <n v="2"/>
    <x v="1"/>
    <n v="122"/>
    <x v="1"/>
  </r>
  <r>
    <n v="1657"/>
    <x v="2"/>
    <x v="4"/>
    <x v="2"/>
    <s v="Q1"/>
    <x v="132"/>
    <n v="0"/>
    <n v="1"/>
    <n v="248000"/>
    <x v="647"/>
    <n v="1"/>
    <x v="0"/>
    <n v="88"/>
    <x v="0"/>
  </r>
  <r>
    <n v="1658"/>
    <x v="6"/>
    <x v="1"/>
    <x v="2"/>
    <s v="Q3"/>
    <x v="344"/>
    <n v="3"/>
    <n v="3"/>
    <n v="1050000"/>
    <x v="648"/>
    <n v="10"/>
    <x v="2"/>
    <n v="137"/>
    <x v="0"/>
  </r>
  <r>
    <n v="1659"/>
    <x v="0"/>
    <x v="1"/>
    <x v="2"/>
    <s v="Q1"/>
    <x v="345"/>
    <n v="4"/>
    <n v="4"/>
    <n v="890000"/>
    <x v="649"/>
    <n v="15"/>
    <x v="1"/>
    <n v="53"/>
    <x v="0"/>
  </r>
  <r>
    <n v="1660"/>
    <x v="19"/>
    <x v="1"/>
    <x v="3"/>
    <s v="Q1"/>
    <x v="45"/>
    <n v="4"/>
    <n v="4"/>
    <n v="1078000"/>
    <x v="650"/>
    <n v="0"/>
    <x v="1"/>
    <n v="175"/>
    <x v="2"/>
  </r>
  <r>
    <n v="1661"/>
    <x v="12"/>
    <x v="0"/>
    <x v="3"/>
    <s v="Q3"/>
    <x v="179"/>
    <n v="3"/>
    <n v="3"/>
    <n v="910000"/>
    <x v="651"/>
    <n v="3"/>
    <x v="2"/>
    <n v="65"/>
    <x v="1"/>
  </r>
  <r>
    <n v="1662"/>
    <x v="17"/>
    <x v="0"/>
    <x v="3"/>
    <s v="Q2"/>
    <x v="161"/>
    <n v="3"/>
    <n v="3"/>
    <n v="499000"/>
    <x v="652"/>
    <n v="15"/>
    <x v="2"/>
    <n v="93"/>
    <x v="0"/>
  </r>
  <r>
    <n v="1663"/>
    <x v="4"/>
    <x v="3"/>
    <x v="3"/>
    <s v="Q2"/>
    <x v="91"/>
    <n v="4"/>
    <n v="4"/>
    <n v="854000"/>
    <x v="653"/>
    <n v="2"/>
    <x v="2"/>
    <n v="30"/>
    <x v="2"/>
  </r>
  <r>
    <n v="1664"/>
    <x v="1"/>
    <x v="0"/>
    <x v="2"/>
    <s v="Q2"/>
    <x v="244"/>
    <n v="2"/>
    <n v="2"/>
    <n v="538000"/>
    <x v="654"/>
    <n v="15"/>
    <x v="0"/>
    <n v="158"/>
    <x v="1"/>
  </r>
  <r>
    <n v="1665"/>
    <x v="6"/>
    <x v="4"/>
    <x v="2"/>
    <s v="Q3"/>
    <x v="143"/>
    <n v="0"/>
    <n v="1"/>
    <n v="155000"/>
    <x v="655"/>
    <n v="1"/>
    <x v="0"/>
    <n v="142"/>
    <x v="0"/>
  </r>
  <r>
    <n v="1666"/>
    <x v="19"/>
    <x v="1"/>
    <x v="3"/>
    <s v="Q2"/>
    <x v="346"/>
    <n v="3"/>
    <n v="3"/>
    <n v="918000"/>
    <x v="656"/>
    <n v="2"/>
    <x v="0"/>
    <n v="134"/>
    <x v="2"/>
  </r>
  <r>
    <n v="1667"/>
    <x v="16"/>
    <x v="2"/>
    <x v="0"/>
    <s v="Q2"/>
    <x v="347"/>
    <n v="5"/>
    <n v="5"/>
    <n v="1839000"/>
    <x v="657"/>
    <n v="1"/>
    <x v="1"/>
    <n v="144"/>
    <x v="1"/>
  </r>
  <r>
    <n v="1668"/>
    <x v="7"/>
    <x v="0"/>
    <x v="0"/>
    <s v="Q4"/>
    <x v="341"/>
    <n v="2"/>
    <n v="2"/>
    <n v="536000"/>
    <x v="658"/>
    <n v="7"/>
    <x v="0"/>
    <n v="9"/>
    <x v="2"/>
  </r>
  <r>
    <n v="1669"/>
    <x v="0"/>
    <x v="2"/>
    <x v="2"/>
    <s v="Q4"/>
    <x v="218"/>
    <n v="5"/>
    <n v="5"/>
    <n v="2523000"/>
    <x v="659"/>
    <n v="2"/>
    <x v="0"/>
    <n v="147"/>
    <x v="0"/>
  </r>
  <r>
    <n v="1670"/>
    <x v="7"/>
    <x v="1"/>
    <x v="3"/>
    <s v="Q2"/>
    <x v="270"/>
    <n v="4"/>
    <n v="4"/>
    <n v="1111000"/>
    <x v="660"/>
    <n v="3"/>
    <x v="1"/>
    <n v="77"/>
    <x v="2"/>
  </r>
  <r>
    <n v="1671"/>
    <x v="13"/>
    <x v="0"/>
    <x v="2"/>
    <s v="Q4"/>
    <x v="228"/>
    <n v="3"/>
    <n v="3"/>
    <n v="538000"/>
    <x v="661"/>
    <n v="0"/>
    <x v="0"/>
    <n v="73"/>
    <x v="1"/>
  </r>
  <r>
    <n v="1672"/>
    <x v="5"/>
    <x v="2"/>
    <x v="3"/>
    <s v="Q3"/>
    <x v="137"/>
    <n v="6"/>
    <n v="6"/>
    <n v="1453000"/>
    <x v="662"/>
    <n v="20"/>
    <x v="0"/>
    <n v="176"/>
    <x v="1"/>
  </r>
  <r>
    <n v="1673"/>
    <x v="2"/>
    <x v="0"/>
    <x v="1"/>
    <s v="Q4"/>
    <x v="348"/>
    <n v="4"/>
    <n v="4"/>
    <n v="332000"/>
    <x v="663"/>
    <n v="1"/>
    <x v="0"/>
    <n v="135"/>
    <x v="0"/>
  </r>
  <r>
    <n v="1674"/>
    <x v="5"/>
    <x v="0"/>
    <x v="2"/>
    <s v="Q4"/>
    <x v="67"/>
    <n v="2"/>
    <n v="2"/>
    <n v="483000"/>
    <x v="664"/>
    <n v="2"/>
    <x v="0"/>
    <n v="22"/>
    <x v="1"/>
  </r>
  <r>
    <n v="1675"/>
    <x v="15"/>
    <x v="3"/>
    <x v="0"/>
    <s v="Q3"/>
    <x v="183"/>
    <n v="3"/>
    <n v="3"/>
    <n v="984000"/>
    <x v="665"/>
    <n v="10"/>
    <x v="0"/>
    <n v="169"/>
    <x v="0"/>
  </r>
  <r>
    <n v="1676"/>
    <x v="15"/>
    <x v="4"/>
    <x v="1"/>
    <s v="Q2"/>
    <x v="75"/>
    <n v="0"/>
    <n v="1"/>
    <n v="237000"/>
    <x v="666"/>
    <n v="2"/>
    <x v="2"/>
    <n v="76"/>
    <x v="0"/>
  </r>
  <r>
    <n v="1677"/>
    <x v="7"/>
    <x v="0"/>
    <x v="3"/>
    <s v="Q3"/>
    <x v="55"/>
    <n v="4"/>
    <n v="4"/>
    <n v="470000"/>
    <x v="667"/>
    <n v="4"/>
    <x v="0"/>
    <n v="81"/>
    <x v="2"/>
  </r>
  <r>
    <n v="1678"/>
    <x v="19"/>
    <x v="0"/>
    <x v="0"/>
    <s v="Q1"/>
    <x v="169"/>
    <n v="4"/>
    <n v="4"/>
    <n v="380000"/>
    <x v="668"/>
    <n v="2"/>
    <x v="1"/>
    <n v="121"/>
    <x v="2"/>
  </r>
  <r>
    <n v="1679"/>
    <x v="19"/>
    <x v="1"/>
    <x v="2"/>
    <s v="Q2"/>
    <x v="349"/>
    <n v="4"/>
    <n v="4"/>
    <n v="798000"/>
    <x v="428"/>
    <n v="5"/>
    <x v="1"/>
    <n v="112"/>
    <x v="2"/>
  </r>
  <r>
    <n v="1680"/>
    <x v="7"/>
    <x v="1"/>
    <x v="1"/>
    <s v="Q4"/>
    <x v="350"/>
    <n v="3"/>
    <n v="3"/>
    <n v="710000"/>
    <x v="669"/>
    <n v="2"/>
    <x v="1"/>
    <n v="150"/>
    <x v="2"/>
  </r>
  <r>
    <n v="1681"/>
    <x v="7"/>
    <x v="2"/>
    <x v="0"/>
    <s v="Q4"/>
    <x v="351"/>
    <n v="4"/>
    <n v="4"/>
    <n v="1377000"/>
    <x v="670"/>
    <n v="3"/>
    <x v="0"/>
    <n v="155"/>
    <x v="2"/>
  </r>
  <r>
    <n v="1682"/>
    <x v="6"/>
    <x v="0"/>
    <x v="2"/>
    <s v="Q1"/>
    <x v="122"/>
    <n v="2"/>
    <n v="2"/>
    <n v="451000"/>
    <x v="671"/>
    <n v="1"/>
    <x v="2"/>
    <n v="28"/>
    <x v="0"/>
  </r>
  <r>
    <n v="1683"/>
    <x v="13"/>
    <x v="1"/>
    <x v="2"/>
    <s v="Q3"/>
    <x v="175"/>
    <n v="3"/>
    <n v="3"/>
    <n v="907000"/>
    <x v="672"/>
    <n v="3"/>
    <x v="0"/>
    <n v="75"/>
    <x v="1"/>
  </r>
  <r>
    <n v="1684"/>
    <x v="6"/>
    <x v="0"/>
    <x v="2"/>
    <s v="Q1"/>
    <x v="86"/>
    <n v="3"/>
    <n v="3"/>
    <n v="277000"/>
    <x v="673"/>
    <n v="4"/>
    <x v="0"/>
    <n v="171"/>
    <x v="0"/>
  </r>
  <r>
    <n v="1685"/>
    <x v="8"/>
    <x v="0"/>
    <x v="3"/>
    <s v="Q4"/>
    <x v="3"/>
    <n v="2"/>
    <n v="2"/>
    <n v="551000"/>
    <x v="674"/>
    <n v="7"/>
    <x v="2"/>
    <n v="4"/>
    <x v="0"/>
  </r>
  <r>
    <n v="1686"/>
    <x v="5"/>
    <x v="3"/>
    <x v="2"/>
    <s v="Q2"/>
    <x v="352"/>
    <n v="4"/>
    <n v="4"/>
    <n v="697000"/>
    <x v="675"/>
    <n v="0"/>
    <x v="0"/>
    <n v="37"/>
    <x v="1"/>
  </r>
  <r>
    <n v="1687"/>
    <x v="16"/>
    <x v="0"/>
    <x v="1"/>
    <s v="Q2"/>
    <x v="21"/>
    <n v="4"/>
    <n v="4"/>
    <n v="376000"/>
    <x v="676"/>
    <n v="10"/>
    <x v="2"/>
    <n v="112"/>
    <x v="1"/>
  </r>
  <r>
    <n v="1688"/>
    <x v="2"/>
    <x v="0"/>
    <x v="3"/>
    <s v="Q3"/>
    <x v="77"/>
    <n v="3"/>
    <n v="3"/>
    <n v="412000"/>
    <x v="677"/>
    <n v="1"/>
    <x v="2"/>
    <n v="51"/>
    <x v="0"/>
  </r>
  <r>
    <n v="1689"/>
    <x v="2"/>
    <x v="1"/>
    <x v="2"/>
    <s v="Q3"/>
    <x v="126"/>
    <n v="5"/>
    <n v="5"/>
    <n v="1124000"/>
    <x v="678"/>
    <n v="10"/>
    <x v="2"/>
    <n v="159"/>
    <x v="0"/>
  </r>
  <r>
    <n v="1690"/>
    <x v="11"/>
    <x v="2"/>
    <x v="0"/>
    <s v="Q3"/>
    <x v="326"/>
    <n v="5"/>
    <n v="5"/>
    <n v="2197000"/>
    <x v="679"/>
    <n v="7"/>
    <x v="0"/>
    <n v="38"/>
    <x v="0"/>
  </r>
  <r>
    <n v="1691"/>
    <x v="3"/>
    <x v="0"/>
    <x v="1"/>
    <s v="Q1"/>
    <x v="179"/>
    <n v="4"/>
    <n v="4"/>
    <n v="464000"/>
    <x v="680"/>
    <n v="1"/>
    <x v="0"/>
    <n v="126"/>
    <x v="2"/>
  </r>
  <r>
    <n v="1692"/>
    <x v="14"/>
    <x v="1"/>
    <x v="2"/>
    <s v="Q1"/>
    <x v="353"/>
    <n v="5"/>
    <n v="5"/>
    <n v="1326000"/>
    <x v="681"/>
    <n v="20"/>
    <x v="0"/>
    <n v="109"/>
    <x v="2"/>
  </r>
  <r>
    <n v="1693"/>
    <x v="18"/>
    <x v="0"/>
    <x v="2"/>
    <s v="Q1"/>
    <x v="7"/>
    <n v="4"/>
    <n v="4"/>
    <n v="460000"/>
    <x v="682"/>
    <n v="0"/>
    <x v="0"/>
    <n v="137"/>
    <x v="1"/>
  </r>
  <r>
    <n v="1694"/>
    <x v="4"/>
    <x v="0"/>
    <x v="0"/>
    <s v="Q2"/>
    <x v="52"/>
    <n v="3"/>
    <n v="3"/>
    <n v="385000"/>
    <x v="683"/>
    <n v="2"/>
    <x v="2"/>
    <n v="128"/>
    <x v="2"/>
  </r>
  <r>
    <n v="1695"/>
    <x v="11"/>
    <x v="0"/>
    <x v="3"/>
    <s v="Q1"/>
    <x v="30"/>
    <n v="3"/>
    <n v="3"/>
    <n v="465000"/>
    <x v="684"/>
    <n v="1"/>
    <x v="0"/>
    <n v="121"/>
    <x v="0"/>
  </r>
  <r>
    <n v="1696"/>
    <x v="3"/>
    <x v="2"/>
    <x v="2"/>
    <s v="Q2"/>
    <x v="262"/>
    <n v="5"/>
    <n v="5"/>
    <n v="1149000"/>
    <x v="685"/>
    <n v="15"/>
    <x v="2"/>
    <n v="132"/>
    <x v="2"/>
  </r>
  <r>
    <n v="1697"/>
    <x v="8"/>
    <x v="0"/>
    <x v="2"/>
    <s v="Q3"/>
    <x v="52"/>
    <n v="4"/>
    <n v="4"/>
    <n v="374000"/>
    <x v="686"/>
    <n v="7"/>
    <x v="0"/>
    <n v="154"/>
    <x v="0"/>
  </r>
  <r>
    <n v="1698"/>
    <x v="6"/>
    <x v="2"/>
    <x v="3"/>
    <s v="Q3"/>
    <x v="354"/>
    <n v="6"/>
    <n v="6"/>
    <n v="1932000"/>
    <x v="584"/>
    <n v="4"/>
    <x v="1"/>
    <n v="130"/>
    <x v="0"/>
  </r>
  <r>
    <n v="1699"/>
    <x v="1"/>
    <x v="0"/>
    <x v="3"/>
    <s v="Q4"/>
    <x v="355"/>
    <n v="3"/>
    <n v="3"/>
    <n v="599000"/>
    <x v="687"/>
    <n v="2"/>
    <x v="2"/>
    <n v="146"/>
    <x v="1"/>
  </r>
  <r>
    <n v="1700"/>
    <x v="17"/>
    <x v="3"/>
    <x v="3"/>
    <s v="Q1"/>
    <x v="226"/>
    <n v="4"/>
    <n v="4"/>
    <n v="857000"/>
    <x v="688"/>
    <n v="2"/>
    <x v="0"/>
    <n v="18"/>
    <x v="0"/>
  </r>
  <r>
    <n v="1701"/>
    <x v="14"/>
    <x v="2"/>
    <x v="2"/>
    <s v="Q3"/>
    <x v="356"/>
    <n v="4"/>
    <n v="4"/>
    <n v="3210000"/>
    <x v="689"/>
    <n v="1"/>
    <x v="0"/>
    <n v="10"/>
    <x v="2"/>
  </r>
  <r>
    <n v="1702"/>
    <x v="6"/>
    <x v="2"/>
    <x v="1"/>
    <s v="Q1"/>
    <x v="216"/>
    <n v="6"/>
    <n v="6"/>
    <n v="1861000"/>
    <x v="690"/>
    <n v="0"/>
    <x v="2"/>
    <n v="166"/>
    <x v="0"/>
  </r>
  <r>
    <n v="1703"/>
    <x v="18"/>
    <x v="0"/>
    <x v="2"/>
    <s v="Q2"/>
    <x v="89"/>
    <n v="2"/>
    <n v="2"/>
    <n v="396000"/>
    <x v="691"/>
    <n v="5"/>
    <x v="0"/>
    <n v="19"/>
    <x v="1"/>
  </r>
  <r>
    <n v="1704"/>
    <x v="1"/>
    <x v="2"/>
    <x v="0"/>
    <s v="Q4"/>
    <x v="215"/>
    <n v="6"/>
    <n v="6"/>
    <n v="2178000"/>
    <x v="692"/>
    <n v="15"/>
    <x v="2"/>
    <n v="113"/>
    <x v="1"/>
  </r>
  <r>
    <n v="1705"/>
    <x v="19"/>
    <x v="0"/>
    <x v="3"/>
    <s v="Q1"/>
    <x v="1"/>
    <n v="3"/>
    <n v="3"/>
    <n v="469000"/>
    <x v="693"/>
    <n v="2"/>
    <x v="1"/>
    <n v="19"/>
    <x v="2"/>
  </r>
  <r>
    <n v="1706"/>
    <x v="3"/>
    <x v="1"/>
    <x v="1"/>
    <s v="Q2"/>
    <x v="144"/>
    <n v="4"/>
    <n v="4"/>
    <n v="731000"/>
    <x v="694"/>
    <n v="10"/>
    <x v="0"/>
    <n v="44"/>
    <x v="2"/>
  </r>
  <r>
    <n v="1707"/>
    <x v="1"/>
    <x v="0"/>
    <x v="0"/>
    <s v="Q4"/>
    <x v="357"/>
    <n v="3"/>
    <n v="3"/>
    <n v="345000"/>
    <x v="695"/>
    <n v="4"/>
    <x v="0"/>
    <n v="53"/>
    <x v="1"/>
  </r>
  <r>
    <n v="1708"/>
    <x v="12"/>
    <x v="2"/>
    <x v="1"/>
    <s v="Q1"/>
    <x v="352"/>
    <n v="6"/>
    <n v="6"/>
    <n v="2427000"/>
    <x v="696"/>
    <n v="1"/>
    <x v="1"/>
    <n v="164"/>
    <x v="1"/>
  </r>
  <r>
    <n v="1709"/>
    <x v="10"/>
    <x v="0"/>
    <x v="3"/>
    <s v="Q4"/>
    <x v="341"/>
    <n v="3"/>
    <n v="3"/>
    <n v="851000"/>
    <x v="697"/>
    <n v="2"/>
    <x v="1"/>
    <n v="158"/>
    <x v="1"/>
  </r>
  <r>
    <n v="1710"/>
    <x v="1"/>
    <x v="2"/>
    <x v="2"/>
    <s v="Q2"/>
    <x v="206"/>
    <n v="5"/>
    <n v="5"/>
    <n v="1939000"/>
    <x v="698"/>
    <n v="4"/>
    <x v="2"/>
    <n v="147"/>
    <x v="1"/>
  </r>
  <r>
    <n v="1711"/>
    <x v="18"/>
    <x v="0"/>
    <x v="1"/>
    <s v="Q1"/>
    <x v="341"/>
    <n v="3"/>
    <n v="3"/>
    <n v="526000"/>
    <x v="699"/>
    <n v="0"/>
    <x v="1"/>
    <n v="53"/>
    <x v="1"/>
  </r>
  <r>
    <n v="1712"/>
    <x v="11"/>
    <x v="2"/>
    <x v="0"/>
    <s v="Q1"/>
    <x v="358"/>
    <n v="5"/>
    <n v="5"/>
    <n v="1930000"/>
    <x v="700"/>
    <n v="1"/>
    <x v="2"/>
    <n v="130"/>
    <x v="0"/>
  </r>
  <r>
    <n v="1713"/>
    <x v="6"/>
    <x v="4"/>
    <x v="1"/>
    <s v="Q2"/>
    <x v="237"/>
    <n v="0"/>
    <n v="1"/>
    <n v="158000"/>
    <x v="701"/>
    <n v="15"/>
    <x v="1"/>
    <n v="122"/>
    <x v="0"/>
  </r>
  <r>
    <n v="1714"/>
    <x v="18"/>
    <x v="1"/>
    <x v="2"/>
    <s v="Q3"/>
    <x v="117"/>
    <n v="4"/>
    <n v="4"/>
    <n v="828000"/>
    <x v="702"/>
    <n v="2"/>
    <x v="0"/>
    <n v="31"/>
    <x v="1"/>
  </r>
  <r>
    <n v="1715"/>
    <x v="9"/>
    <x v="3"/>
    <x v="3"/>
    <s v="Q1"/>
    <x v="110"/>
    <n v="3"/>
    <n v="3"/>
    <n v="1127000"/>
    <x v="703"/>
    <n v="1"/>
    <x v="0"/>
    <n v="68"/>
    <x v="2"/>
  </r>
  <r>
    <n v="1716"/>
    <x v="3"/>
    <x v="2"/>
    <x v="1"/>
    <s v="Q1"/>
    <x v="8"/>
    <n v="5"/>
    <n v="5"/>
    <n v="1728000"/>
    <x v="704"/>
    <n v="1"/>
    <x v="0"/>
    <n v="51"/>
    <x v="2"/>
  </r>
  <r>
    <n v="1717"/>
    <x v="16"/>
    <x v="4"/>
    <x v="3"/>
    <s v="Q2"/>
    <x v="71"/>
    <n v="0"/>
    <n v="1"/>
    <n v="231000"/>
    <x v="705"/>
    <n v="4"/>
    <x v="2"/>
    <n v="117"/>
    <x v="1"/>
  </r>
  <r>
    <n v="1718"/>
    <x v="9"/>
    <x v="0"/>
    <x v="3"/>
    <s v="Q2"/>
    <x v="359"/>
    <n v="3"/>
    <n v="3"/>
    <n v="380000"/>
    <x v="706"/>
    <n v="20"/>
    <x v="0"/>
    <n v="105"/>
    <x v="2"/>
  </r>
  <r>
    <n v="1719"/>
    <x v="7"/>
    <x v="2"/>
    <x v="1"/>
    <s v="Q2"/>
    <x v="360"/>
    <n v="5"/>
    <n v="5"/>
    <n v="1759000"/>
    <x v="707"/>
    <n v="1"/>
    <x v="0"/>
    <n v="68"/>
    <x v="2"/>
  </r>
  <r>
    <n v="1720"/>
    <x v="2"/>
    <x v="3"/>
    <x v="0"/>
    <s v="Q3"/>
    <x v="360"/>
    <n v="4"/>
    <n v="4"/>
    <n v="1283000"/>
    <x v="708"/>
    <n v="3"/>
    <x v="0"/>
    <n v="106"/>
    <x v="0"/>
  </r>
  <r>
    <n v="1721"/>
    <x v="19"/>
    <x v="2"/>
    <x v="0"/>
    <s v="Q4"/>
    <x v="361"/>
    <n v="6"/>
    <n v="6"/>
    <n v="2001000"/>
    <x v="709"/>
    <n v="2"/>
    <x v="0"/>
    <n v="50"/>
    <x v="2"/>
  </r>
  <r>
    <n v="1722"/>
    <x v="12"/>
    <x v="0"/>
    <x v="1"/>
    <s v="Q3"/>
    <x v="362"/>
    <n v="2"/>
    <n v="2"/>
    <n v="697000"/>
    <x v="710"/>
    <n v="15"/>
    <x v="0"/>
    <n v="116"/>
    <x v="1"/>
  </r>
  <r>
    <n v="1723"/>
    <x v="8"/>
    <x v="3"/>
    <x v="2"/>
    <s v="Q1"/>
    <x v="171"/>
    <n v="5"/>
    <n v="5"/>
    <n v="880000"/>
    <x v="711"/>
    <n v="1"/>
    <x v="1"/>
    <n v="60"/>
    <x v="0"/>
  </r>
  <r>
    <n v="1724"/>
    <x v="15"/>
    <x v="1"/>
    <x v="0"/>
    <s v="Q2"/>
    <x v="265"/>
    <n v="4"/>
    <n v="4"/>
    <n v="1016000"/>
    <x v="712"/>
    <n v="2"/>
    <x v="0"/>
    <n v="180"/>
    <x v="0"/>
  </r>
  <r>
    <n v="1725"/>
    <x v="18"/>
    <x v="4"/>
    <x v="2"/>
    <s v="Q4"/>
    <x v="56"/>
    <n v="0"/>
    <n v="1"/>
    <n v="144000"/>
    <x v="531"/>
    <n v="10"/>
    <x v="1"/>
    <n v="43"/>
    <x v="1"/>
  </r>
  <r>
    <n v="1726"/>
    <x v="7"/>
    <x v="1"/>
    <x v="3"/>
    <s v="Q4"/>
    <x v="232"/>
    <n v="3"/>
    <n v="3"/>
    <n v="839000"/>
    <x v="713"/>
    <n v="3"/>
    <x v="2"/>
    <n v="76"/>
    <x v="2"/>
  </r>
  <r>
    <n v="1727"/>
    <x v="19"/>
    <x v="2"/>
    <x v="2"/>
    <s v="Q3"/>
    <x v="181"/>
    <n v="5"/>
    <n v="5"/>
    <n v="2203000"/>
    <x v="714"/>
    <n v="0"/>
    <x v="2"/>
    <n v="151"/>
    <x v="2"/>
  </r>
  <r>
    <n v="1728"/>
    <x v="6"/>
    <x v="0"/>
    <x v="3"/>
    <s v="Q4"/>
    <x v="253"/>
    <n v="3"/>
    <n v="3"/>
    <n v="378000"/>
    <x v="715"/>
    <n v="10"/>
    <x v="2"/>
    <n v="28"/>
    <x v="0"/>
  </r>
  <r>
    <n v="1729"/>
    <x v="6"/>
    <x v="2"/>
    <x v="3"/>
    <s v="Q4"/>
    <x v="35"/>
    <n v="4"/>
    <n v="4"/>
    <n v="2005000"/>
    <x v="716"/>
    <n v="3"/>
    <x v="0"/>
    <n v="60"/>
    <x v="0"/>
  </r>
  <r>
    <n v="1730"/>
    <x v="19"/>
    <x v="2"/>
    <x v="0"/>
    <s v="Q1"/>
    <x v="363"/>
    <n v="5"/>
    <n v="5"/>
    <n v="2459000"/>
    <x v="717"/>
    <n v="15"/>
    <x v="0"/>
    <n v="5"/>
    <x v="2"/>
  </r>
  <r>
    <n v="1731"/>
    <x v="11"/>
    <x v="0"/>
    <x v="3"/>
    <s v="Q3"/>
    <x v="146"/>
    <n v="3"/>
    <n v="3"/>
    <n v="573000"/>
    <x v="718"/>
    <n v="4"/>
    <x v="0"/>
    <n v="67"/>
    <x v="0"/>
  </r>
  <r>
    <n v="1732"/>
    <x v="12"/>
    <x v="0"/>
    <x v="3"/>
    <s v="Q4"/>
    <x v="22"/>
    <n v="3"/>
    <n v="3"/>
    <n v="740000"/>
    <x v="719"/>
    <n v="3"/>
    <x v="0"/>
    <n v="71"/>
    <x v="1"/>
  </r>
  <r>
    <n v="1733"/>
    <x v="11"/>
    <x v="0"/>
    <x v="1"/>
    <s v="Q3"/>
    <x v="16"/>
    <n v="4"/>
    <n v="4"/>
    <n v="470000"/>
    <x v="720"/>
    <n v="5"/>
    <x v="0"/>
    <n v="37"/>
    <x v="0"/>
  </r>
  <r>
    <n v="1734"/>
    <x v="19"/>
    <x v="0"/>
    <x v="2"/>
    <s v="Q2"/>
    <x v="276"/>
    <n v="4"/>
    <n v="4"/>
    <n v="410000"/>
    <x v="721"/>
    <n v="10"/>
    <x v="0"/>
    <n v="164"/>
    <x v="2"/>
  </r>
  <r>
    <n v="1735"/>
    <x v="14"/>
    <x v="2"/>
    <x v="2"/>
    <s v="Q1"/>
    <x v="88"/>
    <n v="5"/>
    <n v="5"/>
    <n v="2756000"/>
    <x v="722"/>
    <n v="15"/>
    <x v="2"/>
    <n v="71"/>
    <x v="2"/>
  </r>
  <r>
    <n v="1736"/>
    <x v="2"/>
    <x v="2"/>
    <x v="1"/>
    <s v="Q4"/>
    <x v="74"/>
    <n v="5"/>
    <n v="5"/>
    <n v="1745000"/>
    <x v="723"/>
    <n v="5"/>
    <x v="0"/>
    <n v="171"/>
    <x v="0"/>
  </r>
  <r>
    <n v="1737"/>
    <x v="17"/>
    <x v="4"/>
    <x v="1"/>
    <s v="Q3"/>
    <x v="330"/>
    <n v="0"/>
    <n v="1"/>
    <n v="189000"/>
    <x v="724"/>
    <n v="3"/>
    <x v="2"/>
    <n v="22"/>
    <x v="0"/>
  </r>
  <r>
    <n v="1738"/>
    <x v="4"/>
    <x v="0"/>
    <x v="2"/>
    <s v="Q3"/>
    <x v="271"/>
    <n v="4"/>
    <n v="4"/>
    <n v="231000"/>
    <x v="725"/>
    <n v="1"/>
    <x v="1"/>
    <n v="5"/>
    <x v="2"/>
  </r>
  <r>
    <n v="1739"/>
    <x v="19"/>
    <x v="0"/>
    <x v="3"/>
    <s v="Q2"/>
    <x v="0"/>
    <n v="4"/>
    <n v="4"/>
    <n v="524000"/>
    <x v="726"/>
    <n v="0"/>
    <x v="2"/>
    <n v="59"/>
    <x v="2"/>
  </r>
  <r>
    <n v="1740"/>
    <x v="19"/>
    <x v="2"/>
    <x v="2"/>
    <s v="Q1"/>
    <x v="292"/>
    <n v="5"/>
    <n v="5"/>
    <n v="1950000"/>
    <x v="727"/>
    <n v="15"/>
    <x v="2"/>
    <n v="31"/>
    <x v="2"/>
  </r>
  <r>
    <n v="1741"/>
    <x v="12"/>
    <x v="2"/>
    <x v="1"/>
    <s v="Q3"/>
    <x v="364"/>
    <n v="5"/>
    <n v="5"/>
    <n v="4268000"/>
    <x v="728"/>
    <n v="7"/>
    <x v="1"/>
    <n v="50"/>
    <x v="1"/>
  </r>
  <r>
    <n v="1742"/>
    <x v="19"/>
    <x v="0"/>
    <x v="1"/>
    <s v="Q1"/>
    <x v="103"/>
    <n v="3"/>
    <n v="3"/>
    <n v="415000"/>
    <x v="729"/>
    <n v="10"/>
    <x v="0"/>
    <n v="129"/>
    <x v="2"/>
  </r>
  <r>
    <n v="1743"/>
    <x v="0"/>
    <x v="0"/>
    <x v="0"/>
    <s v="Q4"/>
    <x v="25"/>
    <n v="2"/>
    <n v="2"/>
    <n v="587000"/>
    <x v="730"/>
    <n v="10"/>
    <x v="2"/>
    <n v="68"/>
    <x v="0"/>
  </r>
  <r>
    <n v="1744"/>
    <x v="17"/>
    <x v="0"/>
    <x v="2"/>
    <s v="Q4"/>
    <x v="55"/>
    <n v="2"/>
    <n v="2"/>
    <n v="473000"/>
    <x v="731"/>
    <n v="7"/>
    <x v="1"/>
    <n v="173"/>
    <x v="0"/>
  </r>
  <r>
    <n v="1745"/>
    <x v="0"/>
    <x v="1"/>
    <x v="1"/>
    <s v="Q2"/>
    <x v="343"/>
    <n v="5"/>
    <n v="5"/>
    <n v="1208000"/>
    <x v="732"/>
    <n v="2"/>
    <x v="0"/>
    <n v="113"/>
    <x v="0"/>
  </r>
  <r>
    <n v="1746"/>
    <x v="5"/>
    <x v="0"/>
    <x v="3"/>
    <s v="Q1"/>
    <x v="161"/>
    <n v="3"/>
    <n v="3"/>
    <n v="405000"/>
    <x v="733"/>
    <n v="2"/>
    <x v="1"/>
    <n v="118"/>
    <x v="1"/>
  </r>
  <r>
    <n v="1747"/>
    <x v="12"/>
    <x v="0"/>
    <x v="3"/>
    <s v="Q2"/>
    <x v="169"/>
    <n v="2"/>
    <n v="2"/>
    <n v="655000"/>
    <x v="734"/>
    <n v="0"/>
    <x v="1"/>
    <n v="55"/>
    <x v="1"/>
  </r>
  <r>
    <n v="1748"/>
    <x v="3"/>
    <x v="2"/>
    <x v="2"/>
    <s v="Q2"/>
    <x v="166"/>
    <n v="5"/>
    <n v="5"/>
    <n v="1483000"/>
    <x v="735"/>
    <n v="7"/>
    <x v="0"/>
    <n v="176"/>
    <x v="2"/>
  </r>
  <r>
    <n v="1749"/>
    <x v="16"/>
    <x v="0"/>
    <x v="0"/>
    <s v="Q4"/>
    <x v="17"/>
    <n v="2"/>
    <n v="2"/>
    <n v="630000"/>
    <x v="736"/>
    <n v="15"/>
    <x v="0"/>
    <n v="92"/>
    <x v="1"/>
  </r>
  <r>
    <n v="1750"/>
    <x v="17"/>
    <x v="2"/>
    <x v="2"/>
    <s v="Q2"/>
    <x v="145"/>
    <n v="5"/>
    <n v="5"/>
    <n v="1910000"/>
    <x v="737"/>
    <n v="10"/>
    <x v="2"/>
    <n v="112"/>
    <x v="0"/>
  </r>
  <r>
    <n v="1751"/>
    <x v="1"/>
    <x v="0"/>
    <x v="3"/>
    <s v="Q3"/>
    <x v="19"/>
    <n v="3"/>
    <n v="3"/>
    <n v="624000"/>
    <x v="738"/>
    <n v="7"/>
    <x v="1"/>
    <n v="131"/>
    <x v="1"/>
  </r>
  <r>
    <n v="1752"/>
    <x v="19"/>
    <x v="1"/>
    <x v="0"/>
    <s v="Q2"/>
    <x v="231"/>
    <n v="4"/>
    <n v="4"/>
    <n v="1010000"/>
    <x v="739"/>
    <n v="10"/>
    <x v="0"/>
    <n v="147"/>
    <x v="2"/>
  </r>
  <r>
    <n v="1753"/>
    <x v="12"/>
    <x v="0"/>
    <x v="0"/>
    <s v="Q3"/>
    <x v="248"/>
    <n v="3"/>
    <n v="3"/>
    <n v="491000"/>
    <x v="740"/>
    <n v="20"/>
    <x v="2"/>
    <n v="126"/>
    <x v="1"/>
  </r>
  <r>
    <n v="1754"/>
    <x v="17"/>
    <x v="2"/>
    <x v="3"/>
    <s v="Q3"/>
    <x v="365"/>
    <n v="4"/>
    <n v="4"/>
    <n v="1910000"/>
    <x v="741"/>
    <n v="15"/>
    <x v="1"/>
    <n v="35"/>
    <x v="0"/>
  </r>
  <r>
    <n v="1755"/>
    <x v="16"/>
    <x v="3"/>
    <x v="1"/>
    <s v="Q1"/>
    <x v="344"/>
    <n v="5"/>
    <n v="5"/>
    <n v="937000"/>
    <x v="742"/>
    <n v="0"/>
    <x v="0"/>
    <n v="57"/>
    <x v="1"/>
  </r>
  <r>
    <n v="1756"/>
    <x v="11"/>
    <x v="0"/>
    <x v="1"/>
    <s v="Q2"/>
    <x v="103"/>
    <n v="3"/>
    <n v="3"/>
    <n v="519000"/>
    <x v="743"/>
    <n v="1"/>
    <x v="2"/>
    <n v="87"/>
    <x v="0"/>
  </r>
  <r>
    <n v="1757"/>
    <x v="4"/>
    <x v="0"/>
    <x v="1"/>
    <s v="Q4"/>
    <x v="7"/>
    <n v="4"/>
    <n v="4"/>
    <n v="448000"/>
    <x v="744"/>
    <n v="10"/>
    <x v="2"/>
    <n v="4"/>
    <x v="2"/>
  </r>
  <r>
    <n v="1758"/>
    <x v="18"/>
    <x v="2"/>
    <x v="2"/>
    <s v="Q3"/>
    <x v="62"/>
    <n v="5"/>
    <n v="5"/>
    <n v="1724000"/>
    <x v="745"/>
    <n v="4"/>
    <x v="0"/>
    <n v="68"/>
    <x v="1"/>
  </r>
  <r>
    <n v="1759"/>
    <x v="3"/>
    <x v="2"/>
    <x v="0"/>
    <s v="Q2"/>
    <x v="328"/>
    <n v="5"/>
    <n v="5"/>
    <n v="987000"/>
    <x v="746"/>
    <n v="0"/>
    <x v="2"/>
    <n v="132"/>
    <x v="2"/>
  </r>
  <r>
    <n v="1760"/>
    <x v="4"/>
    <x v="2"/>
    <x v="3"/>
    <s v="Q4"/>
    <x v="366"/>
    <n v="6"/>
    <n v="6"/>
    <n v="1618000"/>
    <x v="747"/>
    <n v="7"/>
    <x v="0"/>
    <n v="74"/>
    <x v="2"/>
  </r>
  <r>
    <n v="1761"/>
    <x v="1"/>
    <x v="3"/>
    <x v="2"/>
    <s v="Q4"/>
    <x v="57"/>
    <n v="4"/>
    <n v="4"/>
    <n v="863000"/>
    <x v="748"/>
    <n v="10"/>
    <x v="2"/>
    <n v="63"/>
    <x v="1"/>
  </r>
  <r>
    <n v="1762"/>
    <x v="14"/>
    <x v="2"/>
    <x v="0"/>
    <s v="Q1"/>
    <x v="291"/>
    <n v="5"/>
    <n v="5"/>
    <n v="2509000"/>
    <x v="749"/>
    <n v="4"/>
    <x v="2"/>
    <n v="66"/>
    <x v="2"/>
  </r>
  <r>
    <n v="1763"/>
    <x v="12"/>
    <x v="1"/>
    <x v="1"/>
    <s v="Q3"/>
    <x v="171"/>
    <n v="4"/>
    <n v="4"/>
    <n v="2036000"/>
    <x v="750"/>
    <n v="5"/>
    <x v="2"/>
    <n v="152"/>
    <x v="1"/>
  </r>
  <r>
    <n v="1764"/>
    <x v="12"/>
    <x v="0"/>
    <x v="2"/>
    <s v="Q4"/>
    <x v="146"/>
    <n v="4"/>
    <n v="4"/>
    <n v="674000"/>
    <x v="751"/>
    <n v="1"/>
    <x v="0"/>
    <n v="125"/>
    <x v="1"/>
  </r>
  <r>
    <n v="1765"/>
    <x v="9"/>
    <x v="3"/>
    <x v="3"/>
    <s v="Q3"/>
    <x v="242"/>
    <n v="5"/>
    <n v="5"/>
    <n v="1119000"/>
    <x v="752"/>
    <n v="5"/>
    <x v="2"/>
    <n v="147"/>
    <x v="2"/>
  </r>
  <r>
    <n v="1766"/>
    <x v="8"/>
    <x v="1"/>
    <x v="3"/>
    <s v="Q3"/>
    <x v="139"/>
    <n v="4"/>
    <n v="4"/>
    <n v="1166000"/>
    <x v="753"/>
    <n v="0"/>
    <x v="2"/>
    <n v="76"/>
    <x v="0"/>
  </r>
  <r>
    <n v="1767"/>
    <x v="13"/>
    <x v="1"/>
    <x v="3"/>
    <s v="Q2"/>
    <x v="45"/>
    <n v="4"/>
    <n v="4"/>
    <n v="1431000"/>
    <x v="754"/>
    <n v="0"/>
    <x v="0"/>
    <n v="91"/>
    <x v="1"/>
  </r>
  <r>
    <n v="1768"/>
    <x v="0"/>
    <x v="2"/>
    <x v="1"/>
    <s v="Q2"/>
    <x v="302"/>
    <n v="5"/>
    <n v="5"/>
    <n v="2488000"/>
    <x v="755"/>
    <n v="1"/>
    <x v="2"/>
    <n v="74"/>
    <x v="0"/>
  </r>
  <r>
    <n v="1769"/>
    <x v="3"/>
    <x v="0"/>
    <x v="1"/>
    <s v="Q1"/>
    <x v="17"/>
    <n v="3"/>
    <n v="3"/>
    <n v="360000"/>
    <x v="756"/>
    <n v="2"/>
    <x v="0"/>
    <n v="106"/>
    <x v="2"/>
  </r>
  <r>
    <n v="1770"/>
    <x v="14"/>
    <x v="2"/>
    <x v="2"/>
    <s v="Q1"/>
    <x v="367"/>
    <n v="4"/>
    <n v="4"/>
    <n v="2852000"/>
    <x v="757"/>
    <n v="5"/>
    <x v="2"/>
    <n v="18"/>
    <x v="2"/>
  </r>
  <r>
    <n v="1771"/>
    <x v="9"/>
    <x v="1"/>
    <x v="3"/>
    <s v="Q3"/>
    <x v="368"/>
    <n v="5"/>
    <n v="5"/>
    <n v="1096000"/>
    <x v="758"/>
    <n v="3"/>
    <x v="0"/>
    <n v="161"/>
    <x v="2"/>
  </r>
  <r>
    <n v="1772"/>
    <x v="6"/>
    <x v="4"/>
    <x v="0"/>
    <s v="Q4"/>
    <x v="56"/>
    <n v="0"/>
    <n v="1"/>
    <n v="156000"/>
    <x v="759"/>
    <n v="10"/>
    <x v="1"/>
    <n v="157"/>
    <x v="0"/>
  </r>
  <r>
    <n v="1773"/>
    <x v="18"/>
    <x v="1"/>
    <x v="1"/>
    <s v="Q1"/>
    <x v="159"/>
    <n v="4"/>
    <n v="4"/>
    <n v="904000"/>
    <x v="760"/>
    <n v="3"/>
    <x v="0"/>
    <n v="157"/>
    <x v="1"/>
  </r>
  <r>
    <n v="1774"/>
    <x v="9"/>
    <x v="2"/>
    <x v="1"/>
    <s v="Q1"/>
    <x v="369"/>
    <n v="5"/>
    <n v="5"/>
    <n v="2941000"/>
    <x v="761"/>
    <n v="20"/>
    <x v="0"/>
    <n v="123"/>
    <x v="2"/>
  </r>
  <r>
    <n v="1775"/>
    <x v="17"/>
    <x v="2"/>
    <x v="3"/>
    <s v="Q1"/>
    <x v="370"/>
    <n v="6"/>
    <n v="6"/>
    <n v="2470000"/>
    <x v="762"/>
    <n v="15"/>
    <x v="2"/>
    <n v="133"/>
    <x v="0"/>
  </r>
  <r>
    <n v="1776"/>
    <x v="15"/>
    <x v="2"/>
    <x v="1"/>
    <s v="Q1"/>
    <x v="59"/>
    <n v="4"/>
    <n v="4"/>
    <n v="1560000"/>
    <x v="763"/>
    <n v="15"/>
    <x v="2"/>
    <n v="178"/>
    <x v="0"/>
  </r>
  <r>
    <n v="1777"/>
    <x v="19"/>
    <x v="0"/>
    <x v="3"/>
    <s v="Q1"/>
    <x v="177"/>
    <n v="4"/>
    <n v="4"/>
    <n v="213000"/>
    <x v="764"/>
    <n v="1"/>
    <x v="2"/>
    <n v="126"/>
    <x v="2"/>
  </r>
  <r>
    <n v="1778"/>
    <x v="0"/>
    <x v="2"/>
    <x v="2"/>
    <s v="Q2"/>
    <x v="296"/>
    <n v="5"/>
    <n v="5"/>
    <n v="1915000"/>
    <x v="765"/>
    <n v="7"/>
    <x v="0"/>
    <n v="172"/>
    <x v="0"/>
  </r>
  <r>
    <n v="1779"/>
    <x v="0"/>
    <x v="1"/>
    <x v="3"/>
    <s v="Q1"/>
    <x v="226"/>
    <n v="4"/>
    <n v="4"/>
    <n v="1385000"/>
    <x v="766"/>
    <n v="2"/>
    <x v="2"/>
    <n v="134"/>
    <x v="0"/>
  </r>
  <r>
    <n v="1780"/>
    <x v="18"/>
    <x v="1"/>
    <x v="3"/>
    <s v="Q2"/>
    <x v="193"/>
    <n v="4"/>
    <n v="4"/>
    <n v="1023000"/>
    <x v="78"/>
    <n v="0"/>
    <x v="1"/>
    <n v="134"/>
    <x v="1"/>
  </r>
  <r>
    <n v="1781"/>
    <x v="11"/>
    <x v="1"/>
    <x v="2"/>
    <s v="Q3"/>
    <x v="137"/>
    <n v="4"/>
    <n v="4"/>
    <n v="1109000"/>
    <x v="767"/>
    <n v="10"/>
    <x v="0"/>
    <n v="107"/>
    <x v="0"/>
  </r>
  <r>
    <n v="1782"/>
    <x v="11"/>
    <x v="4"/>
    <x v="3"/>
    <s v="Q3"/>
    <x v="177"/>
    <n v="0"/>
    <n v="1"/>
    <n v="312000"/>
    <x v="768"/>
    <n v="3"/>
    <x v="0"/>
    <n v="83"/>
    <x v="0"/>
  </r>
  <r>
    <n v="1783"/>
    <x v="16"/>
    <x v="4"/>
    <x v="0"/>
    <s v="Q2"/>
    <x v="111"/>
    <n v="0"/>
    <n v="1"/>
    <n v="288000"/>
    <x v="769"/>
    <n v="2"/>
    <x v="0"/>
    <n v="153"/>
    <x v="1"/>
  </r>
  <r>
    <n v="1784"/>
    <x v="1"/>
    <x v="2"/>
    <x v="0"/>
    <s v="Q1"/>
    <x v="371"/>
    <n v="5"/>
    <n v="5"/>
    <n v="2018000"/>
    <x v="770"/>
    <n v="2"/>
    <x v="2"/>
    <n v="11"/>
    <x v="1"/>
  </r>
  <r>
    <n v="1785"/>
    <x v="6"/>
    <x v="0"/>
    <x v="1"/>
    <s v="Q2"/>
    <x v="127"/>
    <n v="2"/>
    <n v="2"/>
    <n v="320000"/>
    <x v="771"/>
    <n v="3"/>
    <x v="2"/>
    <n v="119"/>
    <x v="0"/>
  </r>
  <r>
    <n v="1786"/>
    <x v="2"/>
    <x v="3"/>
    <x v="3"/>
    <s v="Q3"/>
    <x v="2"/>
    <n v="4"/>
    <n v="4"/>
    <n v="809000"/>
    <x v="772"/>
    <n v="3"/>
    <x v="0"/>
    <n v="51"/>
    <x v="0"/>
  </r>
  <r>
    <n v="1787"/>
    <x v="11"/>
    <x v="1"/>
    <x v="3"/>
    <s v="Q1"/>
    <x v="214"/>
    <n v="4"/>
    <n v="4"/>
    <n v="919000"/>
    <x v="773"/>
    <n v="2"/>
    <x v="0"/>
    <n v="104"/>
    <x v="0"/>
  </r>
  <r>
    <n v="1788"/>
    <x v="19"/>
    <x v="1"/>
    <x v="0"/>
    <s v="Q2"/>
    <x v="372"/>
    <n v="4"/>
    <n v="4"/>
    <n v="929000"/>
    <x v="774"/>
    <n v="7"/>
    <x v="0"/>
    <n v="155"/>
    <x v="2"/>
  </r>
  <r>
    <n v="1789"/>
    <x v="0"/>
    <x v="1"/>
    <x v="1"/>
    <s v="Q4"/>
    <x v="351"/>
    <n v="4"/>
    <n v="4"/>
    <n v="1385000"/>
    <x v="775"/>
    <n v="2"/>
    <x v="0"/>
    <n v="171"/>
    <x v="0"/>
  </r>
  <r>
    <n v="1790"/>
    <x v="0"/>
    <x v="3"/>
    <x v="0"/>
    <s v="Q4"/>
    <x v="373"/>
    <n v="3"/>
    <n v="3"/>
    <n v="1086000"/>
    <x v="776"/>
    <n v="0"/>
    <x v="0"/>
    <n v="55"/>
    <x v="0"/>
  </r>
  <r>
    <n v="1791"/>
    <x v="3"/>
    <x v="3"/>
    <x v="3"/>
    <s v="Q1"/>
    <x v="136"/>
    <n v="5"/>
    <n v="5"/>
    <n v="736000"/>
    <x v="777"/>
    <n v="7"/>
    <x v="0"/>
    <n v="22"/>
    <x v="2"/>
  </r>
  <r>
    <n v="1792"/>
    <x v="10"/>
    <x v="0"/>
    <x v="1"/>
    <s v="Q1"/>
    <x v="158"/>
    <n v="4"/>
    <n v="4"/>
    <n v="795000"/>
    <x v="778"/>
    <n v="1"/>
    <x v="0"/>
    <n v="117"/>
    <x v="1"/>
  </r>
  <r>
    <n v="1793"/>
    <x v="13"/>
    <x v="0"/>
    <x v="1"/>
    <s v="Q1"/>
    <x v="15"/>
    <n v="3"/>
    <n v="3"/>
    <n v="583000"/>
    <x v="779"/>
    <n v="10"/>
    <x v="1"/>
    <n v="101"/>
    <x v="1"/>
  </r>
  <r>
    <n v="1794"/>
    <x v="5"/>
    <x v="1"/>
    <x v="3"/>
    <s v="Q1"/>
    <x v="374"/>
    <n v="4"/>
    <n v="4"/>
    <n v="1148000"/>
    <x v="780"/>
    <n v="15"/>
    <x v="0"/>
    <n v="1"/>
    <x v="1"/>
  </r>
  <r>
    <n v="1795"/>
    <x v="19"/>
    <x v="4"/>
    <x v="2"/>
    <s v="Q1"/>
    <x v="135"/>
    <n v="0"/>
    <n v="1"/>
    <n v="250000"/>
    <x v="781"/>
    <n v="5"/>
    <x v="2"/>
    <n v="7"/>
    <x v="2"/>
  </r>
  <r>
    <n v="1796"/>
    <x v="0"/>
    <x v="2"/>
    <x v="0"/>
    <s v="Q2"/>
    <x v="375"/>
    <n v="5"/>
    <n v="5"/>
    <n v="2714000"/>
    <x v="782"/>
    <n v="0"/>
    <x v="2"/>
    <n v="163"/>
    <x v="0"/>
  </r>
  <r>
    <n v="1797"/>
    <x v="15"/>
    <x v="1"/>
    <x v="3"/>
    <s v="Q2"/>
    <x v="319"/>
    <n v="4"/>
    <n v="4"/>
    <n v="1012000"/>
    <x v="783"/>
    <n v="4"/>
    <x v="1"/>
    <n v="18"/>
    <x v="0"/>
  </r>
  <r>
    <n v="1798"/>
    <x v="1"/>
    <x v="0"/>
    <x v="1"/>
    <s v="Q2"/>
    <x v="261"/>
    <n v="3"/>
    <n v="3"/>
    <n v="383000"/>
    <x v="784"/>
    <n v="5"/>
    <x v="0"/>
    <n v="50"/>
    <x v="1"/>
  </r>
  <r>
    <n v="1799"/>
    <x v="3"/>
    <x v="2"/>
    <x v="0"/>
    <s v="Q3"/>
    <x v="305"/>
    <n v="6"/>
    <n v="6"/>
    <n v="1612000"/>
    <x v="785"/>
    <n v="0"/>
    <x v="1"/>
    <n v="77"/>
    <x v="2"/>
  </r>
  <r>
    <n v="1800"/>
    <x v="16"/>
    <x v="2"/>
    <x v="2"/>
    <s v="Q3"/>
    <x v="376"/>
    <n v="5"/>
    <n v="5"/>
    <n v="1636000"/>
    <x v="786"/>
    <n v="15"/>
    <x v="0"/>
    <n v="142"/>
    <x v="1"/>
  </r>
  <r>
    <n v="1801"/>
    <x v="18"/>
    <x v="0"/>
    <x v="1"/>
    <s v="Q1"/>
    <x v="86"/>
    <n v="3"/>
    <n v="3"/>
    <n v="352000"/>
    <x v="787"/>
    <n v="5"/>
    <x v="1"/>
    <n v="116"/>
    <x v="1"/>
  </r>
  <r>
    <n v="1802"/>
    <x v="4"/>
    <x v="4"/>
    <x v="0"/>
    <s v="Q2"/>
    <x v="237"/>
    <n v="0"/>
    <n v="1"/>
    <n v="171000"/>
    <x v="343"/>
    <n v="3"/>
    <x v="2"/>
    <n v="69"/>
    <x v="2"/>
  </r>
  <r>
    <n v="1803"/>
    <x v="0"/>
    <x v="1"/>
    <x v="2"/>
    <s v="Q2"/>
    <x v="147"/>
    <n v="5"/>
    <n v="5"/>
    <n v="1121000"/>
    <x v="788"/>
    <n v="2"/>
    <x v="0"/>
    <n v="51"/>
    <x v="0"/>
  </r>
  <r>
    <n v="1804"/>
    <x v="8"/>
    <x v="2"/>
    <x v="2"/>
    <s v="Q2"/>
    <x v="377"/>
    <n v="5"/>
    <n v="5"/>
    <n v="2358000"/>
    <x v="789"/>
    <n v="10"/>
    <x v="0"/>
    <n v="142"/>
    <x v="0"/>
  </r>
  <r>
    <n v="1805"/>
    <x v="5"/>
    <x v="2"/>
    <x v="3"/>
    <s v="Q4"/>
    <x v="243"/>
    <n v="4"/>
    <n v="4"/>
    <n v="2049000"/>
    <x v="790"/>
    <n v="4"/>
    <x v="1"/>
    <n v="23"/>
    <x v="1"/>
  </r>
  <r>
    <n v="1806"/>
    <x v="18"/>
    <x v="2"/>
    <x v="0"/>
    <s v="Q1"/>
    <x v="378"/>
    <n v="6"/>
    <n v="6"/>
    <n v="2444000"/>
    <x v="723"/>
    <n v="3"/>
    <x v="0"/>
    <n v="64"/>
    <x v="1"/>
  </r>
  <r>
    <n v="1807"/>
    <x v="19"/>
    <x v="2"/>
    <x v="0"/>
    <s v="Q4"/>
    <x v="325"/>
    <n v="4"/>
    <n v="4"/>
    <n v="1670000"/>
    <x v="791"/>
    <n v="3"/>
    <x v="0"/>
    <n v="17"/>
    <x v="2"/>
  </r>
  <r>
    <n v="1808"/>
    <x v="10"/>
    <x v="0"/>
    <x v="1"/>
    <s v="Q1"/>
    <x v="228"/>
    <n v="3"/>
    <n v="3"/>
    <n v="508000"/>
    <x v="792"/>
    <n v="2"/>
    <x v="2"/>
    <n v="146"/>
    <x v="1"/>
  </r>
  <r>
    <n v="1809"/>
    <x v="12"/>
    <x v="3"/>
    <x v="3"/>
    <s v="Q2"/>
    <x v="379"/>
    <n v="4"/>
    <n v="4"/>
    <n v="1401000"/>
    <x v="793"/>
    <n v="0"/>
    <x v="1"/>
    <n v="150"/>
    <x v="1"/>
  </r>
  <r>
    <n v="1810"/>
    <x v="12"/>
    <x v="1"/>
    <x v="0"/>
    <s v="Q2"/>
    <x v="380"/>
    <n v="5"/>
    <n v="5"/>
    <n v="1616000"/>
    <x v="794"/>
    <n v="20"/>
    <x v="2"/>
    <n v="163"/>
    <x v="1"/>
  </r>
  <r>
    <n v="1811"/>
    <x v="2"/>
    <x v="0"/>
    <x v="1"/>
    <s v="Q3"/>
    <x v="158"/>
    <n v="2"/>
    <n v="2"/>
    <n v="777000"/>
    <x v="117"/>
    <n v="1"/>
    <x v="2"/>
    <n v="61"/>
    <x v="0"/>
  </r>
  <r>
    <n v="1812"/>
    <x v="17"/>
    <x v="4"/>
    <x v="2"/>
    <s v="Q3"/>
    <x v="155"/>
    <n v="0"/>
    <n v="1"/>
    <n v="205000"/>
    <x v="795"/>
    <n v="1"/>
    <x v="0"/>
    <n v="103"/>
    <x v="0"/>
  </r>
  <r>
    <n v="1813"/>
    <x v="11"/>
    <x v="3"/>
    <x v="2"/>
    <s v="Q4"/>
    <x v="300"/>
    <n v="3"/>
    <n v="3"/>
    <n v="966000"/>
    <x v="796"/>
    <n v="5"/>
    <x v="0"/>
    <n v="64"/>
    <x v="0"/>
  </r>
  <r>
    <n v="1814"/>
    <x v="12"/>
    <x v="0"/>
    <x v="1"/>
    <s v="Q4"/>
    <x v="297"/>
    <n v="3"/>
    <n v="3"/>
    <n v="910000"/>
    <x v="797"/>
    <n v="4"/>
    <x v="1"/>
    <n v="93"/>
    <x v="1"/>
  </r>
  <r>
    <n v="1815"/>
    <x v="16"/>
    <x v="2"/>
    <x v="3"/>
    <s v="Q1"/>
    <x v="186"/>
    <n v="5"/>
    <n v="5"/>
    <n v="3149000"/>
    <x v="798"/>
    <n v="3"/>
    <x v="1"/>
    <n v="78"/>
    <x v="1"/>
  </r>
  <r>
    <n v="1816"/>
    <x v="2"/>
    <x v="2"/>
    <x v="0"/>
    <s v="Q1"/>
    <x v="373"/>
    <n v="5"/>
    <n v="5"/>
    <n v="2368000"/>
    <x v="799"/>
    <n v="2"/>
    <x v="0"/>
    <n v="65"/>
    <x v="0"/>
  </r>
  <r>
    <n v="1817"/>
    <x v="11"/>
    <x v="0"/>
    <x v="0"/>
    <s v="Q1"/>
    <x v="34"/>
    <n v="3"/>
    <n v="3"/>
    <n v="408000"/>
    <x v="598"/>
    <n v="2"/>
    <x v="1"/>
    <n v="120"/>
    <x v="0"/>
  </r>
  <r>
    <n v="1818"/>
    <x v="14"/>
    <x v="3"/>
    <x v="0"/>
    <s v="Q1"/>
    <x v="303"/>
    <n v="5"/>
    <n v="5"/>
    <n v="963000"/>
    <x v="800"/>
    <n v="7"/>
    <x v="0"/>
    <n v="138"/>
    <x v="2"/>
  </r>
  <r>
    <n v="1819"/>
    <x v="18"/>
    <x v="2"/>
    <x v="3"/>
    <s v="Q2"/>
    <x v="331"/>
    <n v="4"/>
    <n v="4"/>
    <n v="1360000"/>
    <x v="801"/>
    <n v="1"/>
    <x v="0"/>
    <n v="139"/>
    <x v="1"/>
  </r>
  <r>
    <n v="1820"/>
    <x v="17"/>
    <x v="0"/>
    <x v="0"/>
    <s v="Q4"/>
    <x v="3"/>
    <n v="2"/>
    <n v="2"/>
    <n v="507000"/>
    <x v="802"/>
    <n v="2"/>
    <x v="1"/>
    <n v="78"/>
    <x v="0"/>
  </r>
  <r>
    <n v="1821"/>
    <x v="3"/>
    <x v="0"/>
    <x v="1"/>
    <s v="Q2"/>
    <x v="289"/>
    <n v="3"/>
    <n v="3"/>
    <n v="342000"/>
    <x v="803"/>
    <n v="1"/>
    <x v="2"/>
    <n v="36"/>
    <x v="2"/>
  </r>
  <r>
    <n v="1822"/>
    <x v="0"/>
    <x v="1"/>
    <x v="1"/>
    <s v="Q2"/>
    <x v="366"/>
    <n v="4"/>
    <n v="4"/>
    <n v="1440000"/>
    <x v="804"/>
    <n v="3"/>
    <x v="1"/>
    <n v="35"/>
    <x v="0"/>
  </r>
  <r>
    <n v="1823"/>
    <x v="16"/>
    <x v="2"/>
    <x v="1"/>
    <s v="Q1"/>
    <x v="358"/>
    <n v="6"/>
    <n v="6"/>
    <n v="2285000"/>
    <x v="805"/>
    <n v="2"/>
    <x v="0"/>
    <n v="42"/>
    <x v="1"/>
  </r>
  <r>
    <n v="1824"/>
    <x v="6"/>
    <x v="2"/>
    <x v="2"/>
    <s v="Q4"/>
    <x v="201"/>
    <n v="4"/>
    <n v="4"/>
    <n v="1623000"/>
    <x v="806"/>
    <n v="2"/>
    <x v="2"/>
    <n v="129"/>
    <x v="0"/>
  </r>
  <r>
    <n v="1825"/>
    <x v="17"/>
    <x v="0"/>
    <x v="2"/>
    <s v="Q2"/>
    <x v="55"/>
    <n v="2"/>
    <n v="2"/>
    <n v="449000"/>
    <x v="807"/>
    <n v="10"/>
    <x v="1"/>
    <n v="85"/>
    <x v="0"/>
  </r>
  <r>
    <n v="1826"/>
    <x v="3"/>
    <x v="0"/>
    <x v="1"/>
    <s v="Q3"/>
    <x v="0"/>
    <n v="4"/>
    <n v="4"/>
    <n v="408000"/>
    <x v="808"/>
    <n v="0"/>
    <x v="0"/>
    <n v="123"/>
    <x v="2"/>
  </r>
  <r>
    <n v="1827"/>
    <x v="16"/>
    <x v="0"/>
    <x v="0"/>
    <s v="Q3"/>
    <x v="334"/>
    <n v="3"/>
    <n v="3"/>
    <n v="708000"/>
    <x v="809"/>
    <n v="3"/>
    <x v="2"/>
    <n v="24"/>
    <x v="1"/>
  </r>
  <r>
    <n v="1828"/>
    <x v="3"/>
    <x v="0"/>
    <x v="1"/>
    <s v="Q2"/>
    <x v="102"/>
    <n v="4"/>
    <n v="4"/>
    <n v="394000"/>
    <x v="810"/>
    <n v="5"/>
    <x v="0"/>
    <n v="86"/>
    <x v="2"/>
  </r>
  <r>
    <n v="1829"/>
    <x v="11"/>
    <x v="2"/>
    <x v="1"/>
    <s v="Q1"/>
    <x v="381"/>
    <n v="6"/>
    <n v="6"/>
    <n v="1689000"/>
    <x v="811"/>
    <n v="7"/>
    <x v="2"/>
    <n v="137"/>
    <x v="0"/>
  </r>
  <r>
    <n v="1830"/>
    <x v="5"/>
    <x v="3"/>
    <x v="0"/>
    <s v="Q4"/>
    <x v="59"/>
    <n v="4"/>
    <n v="4"/>
    <n v="871000"/>
    <x v="812"/>
    <n v="3"/>
    <x v="2"/>
    <n v="91"/>
    <x v="1"/>
  </r>
  <r>
    <n v="1831"/>
    <x v="12"/>
    <x v="0"/>
    <x v="0"/>
    <s v="Q2"/>
    <x v="30"/>
    <n v="3"/>
    <n v="3"/>
    <n v="586000"/>
    <x v="813"/>
    <n v="1"/>
    <x v="2"/>
    <n v="90"/>
    <x v="1"/>
  </r>
  <r>
    <n v="1832"/>
    <x v="5"/>
    <x v="4"/>
    <x v="2"/>
    <s v="Q2"/>
    <x v="177"/>
    <n v="0"/>
    <n v="1"/>
    <n v="226000"/>
    <x v="814"/>
    <n v="5"/>
    <x v="1"/>
    <n v="1"/>
    <x v="1"/>
  </r>
  <r>
    <n v="1833"/>
    <x v="7"/>
    <x v="0"/>
    <x v="2"/>
    <s v="Q4"/>
    <x v="382"/>
    <n v="3"/>
    <n v="3"/>
    <n v="341000"/>
    <x v="815"/>
    <n v="7"/>
    <x v="0"/>
    <n v="31"/>
    <x v="2"/>
  </r>
  <r>
    <n v="1834"/>
    <x v="1"/>
    <x v="2"/>
    <x v="0"/>
    <s v="Q1"/>
    <x v="8"/>
    <n v="5"/>
    <n v="5"/>
    <n v="2145000"/>
    <x v="816"/>
    <n v="15"/>
    <x v="1"/>
    <n v="177"/>
    <x v="1"/>
  </r>
  <r>
    <n v="1835"/>
    <x v="11"/>
    <x v="2"/>
    <x v="2"/>
    <s v="Q3"/>
    <x v="383"/>
    <n v="4"/>
    <n v="4"/>
    <n v="2935000"/>
    <x v="817"/>
    <n v="15"/>
    <x v="1"/>
    <n v="25"/>
    <x v="0"/>
  </r>
  <r>
    <n v="1836"/>
    <x v="3"/>
    <x v="0"/>
    <x v="2"/>
    <s v="Q1"/>
    <x v="5"/>
    <n v="3"/>
    <n v="3"/>
    <n v="388000"/>
    <x v="818"/>
    <n v="1"/>
    <x v="1"/>
    <n v="119"/>
    <x v="2"/>
  </r>
  <r>
    <n v="1837"/>
    <x v="7"/>
    <x v="0"/>
    <x v="3"/>
    <s v="Q3"/>
    <x v="199"/>
    <n v="3"/>
    <n v="3"/>
    <n v="467000"/>
    <x v="819"/>
    <n v="1"/>
    <x v="0"/>
    <n v="146"/>
    <x v="2"/>
  </r>
  <r>
    <n v="1838"/>
    <x v="18"/>
    <x v="0"/>
    <x v="1"/>
    <s v="Q4"/>
    <x v="1"/>
    <n v="3"/>
    <n v="3"/>
    <n v="378000"/>
    <x v="820"/>
    <n v="4"/>
    <x v="0"/>
    <n v="147"/>
    <x v="1"/>
  </r>
  <r>
    <n v="1839"/>
    <x v="2"/>
    <x v="0"/>
    <x v="3"/>
    <s v="Q2"/>
    <x v="20"/>
    <n v="3"/>
    <n v="3"/>
    <n v="409000"/>
    <x v="821"/>
    <n v="15"/>
    <x v="2"/>
    <n v="124"/>
    <x v="0"/>
  </r>
  <r>
    <n v="1840"/>
    <x v="11"/>
    <x v="0"/>
    <x v="2"/>
    <s v="Q4"/>
    <x v="267"/>
    <n v="3"/>
    <n v="3"/>
    <n v="443000"/>
    <x v="822"/>
    <n v="10"/>
    <x v="1"/>
    <n v="136"/>
    <x v="0"/>
  </r>
  <r>
    <n v="1841"/>
    <x v="12"/>
    <x v="2"/>
    <x v="3"/>
    <s v="Q4"/>
    <x v="130"/>
    <n v="4"/>
    <n v="4"/>
    <n v="2656000"/>
    <x v="823"/>
    <n v="20"/>
    <x v="1"/>
    <n v="139"/>
    <x v="1"/>
  </r>
  <r>
    <n v="1842"/>
    <x v="8"/>
    <x v="0"/>
    <x v="2"/>
    <s v="Q1"/>
    <x v="197"/>
    <n v="2"/>
    <n v="2"/>
    <n v="621000"/>
    <x v="824"/>
    <n v="0"/>
    <x v="2"/>
    <n v="161"/>
    <x v="0"/>
  </r>
  <r>
    <n v="1843"/>
    <x v="2"/>
    <x v="0"/>
    <x v="3"/>
    <s v="Q2"/>
    <x v="89"/>
    <n v="3"/>
    <n v="3"/>
    <n v="589000"/>
    <x v="825"/>
    <n v="5"/>
    <x v="1"/>
    <n v="9"/>
    <x v="0"/>
  </r>
  <r>
    <n v="1844"/>
    <x v="5"/>
    <x v="0"/>
    <x v="3"/>
    <s v="Q2"/>
    <x v="294"/>
    <n v="2"/>
    <n v="2"/>
    <n v="557000"/>
    <x v="826"/>
    <n v="3"/>
    <x v="1"/>
    <n v="118"/>
    <x v="1"/>
  </r>
  <r>
    <n v="1845"/>
    <x v="17"/>
    <x v="3"/>
    <x v="3"/>
    <s v="Q1"/>
    <x v="384"/>
    <n v="3"/>
    <n v="3"/>
    <n v="812000"/>
    <x v="827"/>
    <n v="0"/>
    <x v="2"/>
    <n v="65"/>
    <x v="0"/>
  </r>
  <r>
    <n v="1846"/>
    <x v="3"/>
    <x v="0"/>
    <x v="0"/>
    <s v="Q1"/>
    <x v="46"/>
    <n v="2"/>
    <n v="2"/>
    <n v="343000"/>
    <x v="828"/>
    <n v="4"/>
    <x v="0"/>
    <n v="123"/>
    <x v="2"/>
  </r>
  <r>
    <n v="1847"/>
    <x v="16"/>
    <x v="4"/>
    <x v="0"/>
    <s v="Q3"/>
    <x v="184"/>
    <n v="0"/>
    <n v="1"/>
    <n v="325000"/>
    <x v="829"/>
    <n v="7"/>
    <x v="2"/>
    <n v="146"/>
    <x v="1"/>
  </r>
  <r>
    <n v="1848"/>
    <x v="10"/>
    <x v="1"/>
    <x v="1"/>
    <s v="Q2"/>
    <x v="385"/>
    <n v="4"/>
    <n v="4"/>
    <n v="989000"/>
    <x v="830"/>
    <n v="10"/>
    <x v="2"/>
    <n v="87"/>
    <x v="1"/>
  </r>
  <r>
    <n v="1849"/>
    <x v="10"/>
    <x v="0"/>
    <x v="3"/>
    <s v="Q3"/>
    <x v="307"/>
    <n v="3"/>
    <n v="3"/>
    <n v="593000"/>
    <x v="831"/>
    <n v="1"/>
    <x v="0"/>
    <n v="58"/>
    <x v="1"/>
  </r>
  <r>
    <n v="1850"/>
    <x v="13"/>
    <x v="2"/>
    <x v="3"/>
    <s v="Q3"/>
    <x v="386"/>
    <n v="6"/>
    <n v="6"/>
    <n v="4466000"/>
    <x v="832"/>
    <n v="5"/>
    <x v="0"/>
    <n v="89"/>
    <x v="1"/>
  </r>
  <r>
    <n v="1851"/>
    <x v="5"/>
    <x v="4"/>
    <x v="3"/>
    <s v="Q1"/>
    <x v="299"/>
    <n v="0"/>
    <n v="1"/>
    <n v="208000"/>
    <x v="833"/>
    <n v="2"/>
    <x v="1"/>
    <n v="154"/>
    <x v="1"/>
  </r>
  <r>
    <n v="1852"/>
    <x v="4"/>
    <x v="2"/>
    <x v="1"/>
    <s v="Q1"/>
    <x v="147"/>
    <n v="5"/>
    <n v="5"/>
    <n v="1356000"/>
    <x v="834"/>
    <n v="2"/>
    <x v="1"/>
    <n v="154"/>
    <x v="2"/>
  </r>
  <r>
    <n v="1853"/>
    <x v="13"/>
    <x v="0"/>
    <x v="1"/>
    <s v="Q1"/>
    <x v="240"/>
    <n v="3"/>
    <n v="3"/>
    <n v="366000"/>
    <x v="835"/>
    <n v="10"/>
    <x v="0"/>
    <n v="77"/>
    <x v="1"/>
  </r>
  <r>
    <n v="1854"/>
    <x v="1"/>
    <x v="1"/>
    <x v="2"/>
    <s v="Q4"/>
    <x v="312"/>
    <n v="3"/>
    <n v="3"/>
    <n v="710000"/>
    <x v="836"/>
    <n v="0"/>
    <x v="1"/>
    <n v="3"/>
    <x v="1"/>
  </r>
  <r>
    <n v="1855"/>
    <x v="13"/>
    <x v="0"/>
    <x v="1"/>
    <s v="Q4"/>
    <x v="284"/>
    <n v="3"/>
    <n v="3"/>
    <n v="739000"/>
    <x v="837"/>
    <n v="10"/>
    <x v="0"/>
    <n v="117"/>
    <x v="1"/>
  </r>
  <r>
    <n v="1856"/>
    <x v="12"/>
    <x v="0"/>
    <x v="1"/>
    <s v="Q1"/>
    <x v="295"/>
    <n v="2"/>
    <n v="2"/>
    <n v="594000"/>
    <x v="838"/>
    <n v="3"/>
    <x v="0"/>
    <n v="171"/>
    <x v="1"/>
  </r>
  <r>
    <n v="1857"/>
    <x v="19"/>
    <x v="2"/>
    <x v="0"/>
    <s v="Q3"/>
    <x v="387"/>
    <n v="5"/>
    <n v="5"/>
    <n v="2757000"/>
    <x v="839"/>
    <n v="20"/>
    <x v="0"/>
    <n v="177"/>
    <x v="2"/>
  </r>
  <r>
    <n v="1858"/>
    <x v="16"/>
    <x v="1"/>
    <x v="3"/>
    <s v="Q1"/>
    <x v="74"/>
    <n v="5"/>
    <n v="5"/>
    <n v="1850000"/>
    <x v="840"/>
    <n v="20"/>
    <x v="0"/>
    <n v="14"/>
    <x v="1"/>
  </r>
  <r>
    <n v="1859"/>
    <x v="19"/>
    <x v="2"/>
    <x v="3"/>
    <s v="Q4"/>
    <x v="388"/>
    <n v="5"/>
    <n v="5"/>
    <n v="2963000"/>
    <x v="841"/>
    <n v="3"/>
    <x v="1"/>
    <n v="19"/>
    <x v="2"/>
  </r>
  <r>
    <n v="1860"/>
    <x v="4"/>
    <x v="2"/>
    <x v="0"/>
    <s v="Q1"/>
    <x v="389"/>
    <n v="5"/>
    <n v="5"/>
    <n v="2243000"/>
    <x v="842"/>
    <n v="0"/>
    <x v="1"/>
    <n v="2"/>
    <x v="2"/>
  </r>
  <r>
    <n v="1861"/>
    <x v="15"/>
    <x v="0"/>
    <x v="1"/>
    <s v="Q1"/>
    <x v="31"/>
    <n v="3"/>
    <n v="3"/>
    <n v="510000"/>
    <x v="843"/>
    <n v="5"/>
    <x v="0"/>
    <n v="143"/>
    <x v="0"/>
  </r>
  <r>
    <n v="1862"/>
    <x v="1"/>
    <x v="0"/>
    <x v="2"/>
    <s v="Q3"/>
    <x v="34"/>
    <n v="2"/>
    <n v="2"/>
    <n v="317000"/>
    <x v="844"/>
    <n v="4"/>
    <x v="0"/>
    <n v="71"/>
    <x v="1"/>
  </r>
  <r>
    <n v="1863"/>
    <x v="4"/>
    <x v="3"/>
    <x v="2"/>
    <s v="Q3"/>
    <x v="320"/>
    <n v="3"/>
    <n v="3"/>
    <n v="683000"/>
    <x v="845"/>
    <n v="5"/>
    <x v="0"/>
    <n v="106"/>
    <x v="2"/>
  </r>
  <r>
    <n v="1864"/>
    <x v="1"/>
    <x v="0"/>
    <x v="1"/>
    <s v="Q4"/>
    <x v="276"/>
    <n v="2"/>
    <n v="2"/>
    <n v="532000"/>
    <x v="846"/>
    <n v="10"/>
    <x v="0"/>
    <n v="139"/>
    <x v="1"/>
  </r>
  <r>
    <n v="1865"/>
    <x v="2"/>
    <x v="3"/>
    <x v="0"/>
    <s v="Q4"/>
    <x v="201"/>
    <n v="4"/>
    <n v="4"/>
    <n v="1171000"/>
    <x v="847"/>
    <n v="7"/>
    <x v="2"/>
    <n v="8"/>
    <x v="0"/>
  </r>
  <r>
    <n v="1866"/>
    <x v="18"/>
    <x v="0"/>
    <x v="2"/>
    <s v="Q2"/>
    <x v="104"/>
    <n v="4"/>
    <n v="4"/>
    <n v="291000"/>
    <x v="848"/>
    <n v="10"/>
    <x v="0"/>
    <n v="157"/>
    <x v="1"/>
  </r>
  <r>
    <n v="1867"/>
    <x v="10"/>
    <x v="2"/>
    <x v="3"/>
    <s v="Q3"/>
    <x v="64"/>
    <n v="5"/>
    <n v="5"/>
    <n v="2583000"/>
    <x v="849"/>
    <n v="2"/>
    <x v="0"/>
    <n v="17"/>
    <x v="1"/>
  </r>
  <r>
    <n v="1868"/>
    <x v="2"/>
    <x v="1"/>
    <x v="3"/>
    <s v="Q3"/>
    <x v="277"/>
    <n v="4"/>
    <n v="4"/>
    <n v="1297000"/>
    <x v="850"/>
    <n v="20"/>
    <x v="2"/>
    <n v="175"/>
    <x v="0"/>
  </r>
  <r>
    <n v="1869"/>
    <x v="14"/>
    <x v="0"/>
    <x v="0"/>
    <s v="Q4"/>
    <x v="1"/>
    <n v="4"/>
    <n v="4"/>
    <n v="645000"/>
    <x v="851"/>
    <n v="4"/>
    <x v="0"/>
    <n v="57"/>
    <x v="2"/>
  </r>
  <r>
    <n v="1870"/>
    <x v="10"/>
    <x v="1"/>
    <x v="3"/>
    <s v="Q3"/>
    <x v="10"/>
    <n v="3"/>
    <n v="3"/>
    <n v="1162000"/>
    <x v="852"/>
    <n v="15"/>
    <x v="1"/>
    <n v="154"/>
    <x v="1"/>
  </r>
  <r>
    <n v="1871"/>
    <x v="15"/>
    <x v="0"/>
    <x v="3"/>
    <s v="Q1"/>
    <x v="175"/>
    <n v="3"/>
    <n v="3"/>
    <n v="717000"/>
    <x v="853"/>
    <n v="0"/>
    <x v="0"/>
    <n v="116"/>
    <x v="0"/>
  </r>
  <r>
    <n v="1872"/>
    <x v="19"/>
    <x v="0"/>
    <x v="1"/>
    <s v="Q1"/>
    <x v="3"/>
    <n v="4"/>
    <n v="4"/>
    <n v="419000"/>
    <x v="854"/>
    <n v="2"/>
    <x v="0"/>
    <n v="180"/>
    <x v="2"/>
  </r>
  <r>
    <n v="1873"/>
    <x v="14"/>
    <x v="0"/>
    <x v="3"/>
    <s v="Q1"/>
    <x v="86"/>
    <n v="3"/>
    <n v="3"/>
    <n v="532000"/>
    <x v="855"/>
    <n v="1"/>
    <x v="0"/>
    <n v="116"/>
    <x v="2"/>
  </r>
  <r>
    <n v="1874"/>
    <x v="6"/>
    <x v="2"/>
    <x v="3"/>
    <s v="Q1"/>
    <x v="390"/>
    <n v="6"/>
    <n v="6"/>
    <n v="2576000"/>
    <x v="856"/>
    <n v="0"/>
    <x v="2"/>
    <n v="172"/>
    <x v="0"/>
  </r>
  <r>
    <n v="1875"/>
    <x v="13"/>
    <x v="0"/>
    <x v="1"/>
    <s v="Q1"/>
    <x v="297"/>
    <n v="3"/>
    <n v="3"/>
    <n v="806000"/>
    <x v="857"/>
    <n v="0"/>
    <x v="2"/>
    <n v="82"/>
    <x v="1"/>
  </r>
  <r>
    <n v="1876"/>
    <x v="13"/>
    <x v="2"/>
    <x v="0"/>
    <s v="Q2"/>
    <x v="391"/>
    <n v="6"/>
    <n v="6"/>
    <n v="2967000"/>
    <x v="858"/>
    <n v="20"/>
    <x v="1"/>
    <n v="36"/>
    <x v="1"/>
  </r>
  <r>
    <n v="1877"/>
    <x v="13"/>
    <x v="2"/>
    <x v="1"/>
    <s v="Q4"/>
    <x v="193"/>
    <n v="4"/>
    <n v="4"/>
    <n v="1961000"/>
    <x v="859"/>
    <n v="10"/>
    <x v="0"/>
    <n v="15"/>
    <x v="1"/>
  </r>
  <r>
    <n v="1878"/>
    <x v="7"/>
    <x v="2"/>
    <x v="0"/>
    <s v="Q3"/>
    <x v="26"/>
    <n v="6"/>
    <n v="6"/>
    <n v="1673000"/>
    <x v="860"/>
    <n v="4"/>
    <x v="0"/>
    <n v="143"/>
    <x v="2"/>
  </r>
  <r>
    <n v="1879"/>
    <x v="13"/>
    <x v="0"/>
    <x v="2"/>
    <s v="Q4"/>
    <x v="77"/>
    <n v="3"/>
    <n v="3"/>
    <n v="409000"/>
    <x v="861"/>
    <n v="1"/>
    <x v="2"/>
    <n v="76"/>
    <x v="1"/>
  </r>
  <r>
    <n v="1880"/>
    <x v="5"/>
    <x v="1"/>
    <x v="3"/>
    <s v="Q2"/>
    <x v="106"/>
    <n v="4"/>
    <n v="4"/>
    <n v="1087000"/>
    <x v="862"/>
    <n v="5"/>
    <x v="1"/>
    <n v="147"/>
    <x v="1"/>
  </r>
  <r>
    <n v="1881"/>
    <x v="12"/>
    <x v="0"/>
    <x v="0"/>
    <s v="Q1"/>
    <x v="293"/>
    <n v="4"/>
    <n v="4"/>
    <n v="632000"/>
    <x v="863"/>
    <n v="2"/>
    <x v="2"/>
    <n v="77"/>
    <x v="1"/>
  </r>
  <r>
    <n v="1882"/>
    <x v="6"/>
    <x v="0"/>
    <x v="1"/>
    <s v="Q4"/>
    <x v="42"/>
    <n v="4"/>
    <n v="4"/>
    <n v="388000"/>
    <x v="864"/>
    <n v="5"/>
    <x v="0"/>
    <n v="69"/>
    <x v="0"/>
  </r>
  <r>
    <n v="1883"/>
    <x v="13"/>
    <x v="2"/>
    <x v="2"/>
    <s v="Q1"/>
    <x v="275"/>
    <n v="4"/>
    <n v="4"/>
    <n v="3542000"/>
    <x v="865"/>
    <n v="20"/>
    <x v="1"/>
    <n v="135"/>
    <x v="1"/>
  </r>
  <r>
    <n v="1884"/>
    <x v="3"/>
    <x v="3"/>
    <x v="2"/>
    <s v="Q4"/>
    <x v="347"/>
    <n v="3"/>
    <n v="3"/>
    <n v="555000"/>
    <x v="866"/>
    <n v="1"/>
    <x v="0"/>
    <n v="69"/>
    <x v="2"/>
  </r>
  <r>
    <n v="1885"/>
    <x v="11"/>
    <x v="4"/>
    <x v="2"/>
    <s v="Q3"/>
    <x v="132"/>
    <n v="0"/>
    <n v="1"/>
    <n v="227000"/>
    <x v="867"/>
    <n v="20"/>
    <x v="2"/>
    <n v="92"/>
    <x v="0"/>
  </r>
  <r>
    <n v="1886"/>
    <x v="8"/>
    <x v="4"/>
    <x v="0"/>
    <s v="Q3"/>
    <x v="75"/>
    <n v="0"/>
    <n v="1"/>
    <n v="326000"/>
    <x v="868"/>
    <n v="0"/>
    <x v="1"/>
    <n v="143"/>
    <x v="0"/>
  </r>
  <r>
    <n v="1887"/>
    <x v="9"/>
    <x v="4"/>
    <x v="0"/>
    <s v="Q3"/>
    <x v="177"/>
    <n v="0"/>
    <n v="1"/>
    <n v="357000"/>
    <x v="869"/>
    <n v="20"/>
    <x v="1"/>
    <n v="116"/>
    <x v="2"/>
  </r>
  <r>
    <n v="1888"/>
    <x v="1"/>
    <x v="4"/>
    <x v="3"/>
    <s v="Q2"/>
    <x v="97"/>
    <n v="0"/>
    <n v="1"/>
    <n v="241000"/>
    <x v="870"/>
    <n v="4"/>
    <x v="0"/>
    <n v="18"/>
    <x v="1"/>
  </r>
  <r>
    <n v="1889"/>
    <x v="16"/>
    <x v="2"/>
    <x v="3"/>
    <s v="Q3"/>
    <x v="221"/>
    <n v="5"/>
    <n v="5"/>
    <n v="2583000"/>
    <x v="871"/>
    <n v="0"/>
    <x v="0"/>
    <n v="114"/>
    <x v="1"/>
  </r>
  <r>
    <n v="1890"/>
    <x v="7"/>
    <x v="0"/>
    <x v="2"/>
    <s v="Q4"/>
    <x v="3"/>
    <n v="2"/>
    <n v="2"/>
    <n v="308000"/>
    <x v="872"/>
    <n v="7"/>
    <x v="0"/>
    <n v="44"/>
    <x v="2"/>
  </r>
  <r>
    <n v="1891"/>
    <x v="17"/>
    <x v="0"/>
    <x v="1"/>
    <s v="Q4"/>
    <x v="199"/>
    <n v="3"/>
    <n v="3"/>
    <n v="518000"/>
    <x v="873"/>
    <n v="20"/>
    <x v="0"/>
    <n v="115"/>
    <x v="0"/>
  </r>
  <r>
    <n v="1892"/>
    <x v="7"/>
    <x v="4"/>
    <x v="2"/>
    <s v="Q4"/>
    <x v="12"/>
    <n v="0"/>
    <n v="1"/>
    <n v="199000"/>
    <x v="874"/>
    <n v="1"/>
    <x v="1"/>
    <n v="14"/>
    <x v="2"/>
  </r>
  <r>
    <n v="1893"/>
    <x v="4"/>
    <x v="4"/>
    <x v="1"/>
    <s v="Q4"/>
    <x v="249"/>
    <n v="0"/>
    <n v="1"/>
    <n v="193000"/>
    <x v="875"/>
    <n v="0"/>
    <x v="2"/>
    <n v="14"/>
    <x v="2"/>
  </r>
  <r>
    <n v="1894"/>
    <x v="13"/>
    <x v="0"/>
    <x v="0"/>
    <s v="Q4"/>
    <x v="210"/>
    <n v="3"/>
    <n v="3"/>
    <n v="329000"/>
    <x v="737"/>
    <n v="15"/>
    <x v="0"/>
    <n v="114"/>
    <x v="1"/>
  </r>
  <r>
    <n v="1895"/>
    <x v="1"/>
    <x v="0"/>
    <x v="0"/>
    <s v="Q3"/>
    <x v="48"/>
    <n v="4"/>
    <n v="4"/>
    <n v="608000"/>
    <x v="876"/>
    <n v="10"/>
    <x v="2"/>
    <n v="35"/>
    <x v="1"/>
  </r>
  <r>
    <n v="1896"/>
    <x v="12"/>
    <x v="2"/>
    <x v="1"/>
    <s v="Q2"/>
    <x v="62"/>
    <n v="5"/>
    <n v="5"/>
    <n v="3136000"/>
    <x v="877"/>
    <n v="2"/>
    <x v="1"/>
    <n v="131"/>
    <x v="1"/>
  </r>
  <r>
    <n v="1897"/>
    <x v="16"/>
    <x v="0"/>
    <x v="3"/>
    <s v="Q2"/>
    <x v="0"/>
    <n v="2"/>
    <n v="2"/>
    <n v="651000"/>
    <x v="878"/>
    <n v="10"/>
    <x v="0"/>
    <n v="93"/>
    <x v="1"/>
  </r>
  <r>
    <n v="1898"/>
    <x v="18"/>
    <x v="3"/>
    <x v="0"/>
    <s v="Q2"/>
    <x v="36"/>
    <n v="3"/>
    <n v="3"/>
    <n v="644000"/>
    <x v="879"/>
    <n v="5"/>
    <x v="2"/>
    <n v="57"/>
    <x v="1"/>
  </r>
  <r>
    <n v="1899"/>
    <x v="11"/>
    <x v="3"/>
    <x v="3"/>
    <s v="Q4"/>
    <x v="268"/>
    <n v="4"/>
    <n v="4"/>
    <n v="994000"/>
    <x v="880"/>
    <n v="7"/>
    <x v="0"/>
    <n v="78"/>
    <x v="0"/>
  </r>
  <r>
    <n v="1900"/>
    <x v="7"/>
    <x v="0"/>
    <x v="2"/>
    <s v="Q4"/>
    <x v="151"/>
    <n v="3"/>
    <n v="3"/>
    <n v="373000"/>
    <x v="881"/>
    <n v="3"/>
    <x v="0"/>
    <n v="158"/>
    <x v="2"/>
  </r>
  <r>
    <n v="1901"/>
    <x v="9"/>
    <x v="0"/>
    <x v="2"/>
    <s v="Q1"/>
    <x v="311"/>
    <n v="3"/>
    <n v="3"/>
    <n v="401000"/>
    <x v="882"/>
    <n v="2"/>
    <x v="1"/>
    <n v="119"/>
    <x v="2"/>
  </r>
  <r>
    <n v="1902"/>
    <x v="4"/>
    <x v="0"/>
    <x v="0"/>
    <s v="Q1"/>
    <x v="95"/>
    <n v="2"/>
    <n v="2"/>
    <n v="493000"/>
    <x v="883"/>
    <n v="2"/>
    <x v="0"/>
    <n v="144"/>
    <x v="2"/>
  </r>
  <r>
    <n v="1903"/>
    <x v="17"/>
    <x v="2"/>
    <x v="3"/>
    <s v="Q3"/>
    <x v="256"/>
    <n v="4"/>
    <n v="4"/>
    <n v="2267000"/>
    <x v="884"/>
    <n v="2"/>
    <x v="0"/>
    <n v="160"/>
    <x v="0"/>
  </r>
  <r>
    <n v="1904"/>
    <x v="10"/>
    <x v="2"/>
    <x v="3"/>
    <s v="Q4"/>
    <x v="78"/>
    <n v="5"/>
    <n v="5"/>
    <n v="2457000"/>
    <x v="885"/>
    <n v="0"/>
    <x v="0"/>
    <n v="9"/>
    <x v="1"/>
  </r>
  <r>
    <n v="1905"/>
    <x v="8"/>
    <x v="2"/>
    <x v="2"/>
    <s v="Q4"/>
    <x v="171"/>
    <n v="6"/>
    <n v="6"/>
    <n v="1705000"/>
    <x v="886"/>
    <n v="5"/>
    <x v="1"/>
    <n v="116"/>
    <x v="0"/>
  </r>
  <r>
    <n v="1906"/>
    <x v="7"/>
    <x v="3"/>
    <x v="3"/>
    <s v="Q3"/>
    <x v="266"/>
    <n v="5"/>
    <n v="5"/>
    <n v="676000"/>
    <x v="887"/>
    <n v="15"/>
    <x v="1"/>
    <n v="117"/>
    <x v="2"/>
  </r>
  <r>
    <n v="1907"/>
    <x v="10"/>
    <x v="2"/>
    <x v="3"/>
    <s v="Q3"/>
    <x v="62"/>
    <n v="5"/>
    <n v="5"/>
    <n v="2837000"/>
    <x v="888"/>
    <n v="0"/>
    <x v="2"/>
    <n v="89"/>
    <x v="1"/>
  </r>
  <r>
    <n v="1908"/>
    <x v="1"/>
    <x v="0"/>
    <x v="3"/>
    <s v="Q4"/>
    <x v="102"/>
    <n v="2"/>
    <n v="2"/>
    <n v="532000"/>
    <x v="889"/>
    <n v="1"/>
    <x v="2"/>
    <n v="25"/>
    <x v="1"/>
  </r>
  <r>
    <n v="1909"/>
    <x v="6"/>
    <x v="4"/>
    <x v="3"/>
    <s v="Q2"/>
    <x v="299"/>
    <n v="0"/>
    <n v="1"/>
    <n v="196000"/>
    <x v="890"/>
    <n v="15"/>
    <x v="0"/>
    <n v="163"/>
    <x v="0"/>
  </r>
  <r>
    <n v="1910"/>
    <x v="12"/>
    <x v="3"/>
    <x v="2"/>
    <s v="Q3"/>
    <x v="353"/>
    <n v="4"/>
    <n v="4"/>
    <n v="875000"/>
    <x v="891"/>
    <n v="0"/>
    <x v="0"/>
    <n v="111"/>
    <x v="1"/>
  </r>
  <r>
    <n v="1911"/>
    <x v="18"/>
    <x v="0"/>
    <x v="1"/>
    <s v="Q2"/>
    <x v="24"/>
    <n v="4"/>
    <n v="4"/>
    <n v="178000"/>
    <x v="284"/>
    <n v="15"/>
    <x v="2"/>
    <n v="160"/>
    <x v="1"/>
  </r>
  <r>
    <n v="1912"/>
    <x v="13"/>
    <x v="2"/>
    <x v="2"/>
    <s v="Q2"/>
    <x v="392"/>
    <n v="5"/>
    <n v="5"/>
    <n v="2749000"/>
    <x v="892"/>
    <n v="10"/>
    <x v="0"/>
    <n v="17"/>
    <x v="1"/>
  </r>
  <r>
    <n v="1913"/>
    <x v="15"/>
    <x v="1"/>
    <x v="0"/>
    <s v="Q2"/>
    <x v="142"/>
    <n v="3"/>
    <n v="3"/>
    <n v="1208000"/>
    <x v="893"/>
    <n v="0"/>
    <x v="1"/>
    <n v="39"/>
    <x v="0"/>
  </r>
  <r>
    <n v="1914"/>
    <x v="18"/>
    <x v="0"/>
    <x v="2"/>
    <s v="Q3"/>
    <x v="93"/>
    <n v="3"/>
    <n v="3"/>
    <n v="411000"/>
    <x v="894"/>
    <n v="3"/>
    <x v="1"/>
    <n v="91"/>
    <x v="1"/>
  </r>
  <r>
    <n v="1915"/>
    <x v="16"/>
    <x v="0"/>
    <x v="0"/>
    <s v="Q4"/>
    <x v="393"/>
    <n v="4"/>
    <n v="4"/>
    <n v="858000"/>
    <x v="895"/>
    <n v="0"/>
    <x v="0"/>
    <n v="124"/>
    <x v="1"/>
  </r>
  <r>
    <n v="1916"/>
    <x v="7"/>
    <x v="2"/>
    <x v="1"/>
    <s v="Q4"/>
    <x v="64"/>
    <n v="5"/>
    <n v="5"/>
    <n v="1431000"/>
    <x v="896"/>
    <n v="15"/>
    <x v="1"/>
    <n v="6"/>
    <x v="2"/>
  </r>
  <r>
    <n v="1917"/>
    <x v="9"/>
    <x v="2"/>
    <x v="0"/>
    <s v="Q1"/>
    <x v="394"/>
    <n v="6"/>
    <n v="6"/>
    <n v="3656000"/>
    <x v="897"/>
    <n v="1"/>
    <x v="0"/>
    <n v="92"/>
    <x v="2"/>
  </r>
  <r>
    <n v="1918"/>
    <x v="1"/>
    <x v="2"/>
    <x v="0"/>
    <s v="Q1"/>
    <x v="41"/>
    <n v="6"/>
    <n v="6"/>
    <n v="1759000"/>
    <x v="898"/>
    <n v="2"/>
    <x v="0"/>
    <n v="107"/>
    <x v="1"/>
  </r>
  <r>
    <n v="1919"/>
    <x v="9"/>
    <x v="2"/>
    <x v="3"/>
    <s v="Q1"/>
    <x v="352"/>
    <n v="4"/>
    <n v="4"/>
    <n v="2421000"/>
    <x v="899"/>
    <n v="0"/>
    <x v="2"/>
    <n v="104"/>
    <x v="2"/>
  </r>
  <r>
    <n v="1920"/>
    <x v="17"/>
    <x v="0"/>
    <x v="2"/>
    <s v="Q3"/>
    <x v="146"/>
    <n v="3"/>
    <n v="3"/>
    <n v="419000"/>
    <x v="900"/>
    <n v="0"/>
    <x v="0"/>
    <n v="159"/>
    <x v="0"/>
  </r>
  <r>
    <n v="1921"/>
    <x v="8"/>
    <x v="2"/>
    <x v="1"/>
    <s v="Q2"/>
    <x v="195"/>
    <n v="5"/>
    <n v="5"/>
    <n v="2997000"/>
    <x v="901"/>
    <n v="0"/>
    <x v="1"/>
    <n v="164"/>
    <x v="0"/>
  </r>
  <r>
    <n v="1922"/>
    <x v="3"/>
    <x v="2"/>
    <x v="0"/>
    <s v="Q2"/>
    <x v="162"/>
    <n v="4"/>
    <n v="4"/>
    <n v="1720000"/>
    <x v="902"/>
    <n v="1"/>
    <x v="2"/>
    <n v="26"/>
    <x v="2"/>
  </r>
  <r>
    <n v="1923"/>
    <x v="12"/>
    <x v="1"/>
    <x v="3"/>
    <s v="Q3"/>
    <x v="211"/>
    <n v="4"/>
    <n v="4"/>
    <n v="1286000"/>
    <x v="903"/>
    <n v="1"/>
    <x v="2"/>
    <n v="2"/>
    <x v="1"/>
  </r>
  <r>
    <n v="1924"/>
    <x v="4"/>
    <x v="3"/>
    <x v="2"/>
    <s v="Q4"/>
    <x v="291"/>
    <n v="3"/>
    <n v="3"/>
    <n v="813000"/>
    <x v="904"/>
    <n v="10"/>
    <x v="0"/>
    <n v="179"/>
    <x v="2"/>
  </r>
  <r>
    <n v="1925"/>
    <x v="17"/>
    <x v="2"/>
    <x v="1"/>
    <s v="Q2"/>
    <x v="395"/>
    <n v="5"/>
    <n v="5"/>
    <n v="2008000"/>
    <x v="905"/>
    <n v="2"/>
    <x v="0"/>
    <n v="64"/>
    <x v="0"/>
  </r>
  <r>
    <n v="1926"/>
    <x v="5"/>
    <x v="0"/>
    <x v="3"/>
    <s v="Q3"/>
    <x v="82"/>
    <n v="3"/>
    <n v="3"/>
    <n v="494000"/>
    <x v="906"/>
    <n v="2"/>
    <x v="0"/>
    <n v="94"/>
    <x v="1"/>
  </r>
  <r>
    <n v="1927"/>
    <x v="3"/>
    <x v="2"/>
    <x v="0"/>
    <s v="Q1"/>
    <x v="90"/>
    <n v="5"/>
    <n v="5"/>
    <n v="1419000"/>
    <x v="907"/>
    <n v="20"/>
    <x v="0"/>
    <n v="6"/>
    <x v="2"/>
  </r>
  <r>
    <n v="1928"/>
    <x v="7"/>
    <x v="1"/>
    <x v="3"/>
    <s v="Q3"/>
    <x v="353"/>
    <n v="3"/>
    <n v="3"/>
    <n v="930000"/>
    <x v="908"/>
    <n v="7"/>
    <x v="2"/>
    <n v="158"/>
    <x v="2"/>
  </r>
  <r>
    <n v="1929"/>
    <x v="5"/>
    <x v="4"/>
    <x v="3"/>
    <s v="Q2"/>
    <x v="56"/>
    <n v="0"/>
    <n v="1"/>
    <n v="173000"/>
    <x v="909"/>
    <n v="5"/>
    <x v="2"/>
    <n v="50"/>
    <x v="1"/>
  </r>
  <r>
    <n v="1930"/>
    <x v="11"/>
    <x v="0"/>
    <x v="0"/>
    <s v="Q1"/>
    <x v="175"/>
    <n v="4"/>
    <n v="4"/>
    <n v="749000"/>
    <x v="910"/>
    <n v="0"/>
    <x v="1"/>
    <n v="167"/>
    <x v="0"/>
  </r>
  <r>
    <n v="1931"/>
    <x v="16"/>
    <x v="2"/>
    <x v="1"/>
    <s v="Q3"/>
    <x v="396"/>
    <n v="6"/>
    <n v="6"/>
    <n v="2888000"/>
    <x v="911"/>
    <n v="0"/>
    <x v="1"/>
    <n v="82"/>
    <x v="1"/>
  </r>
  <r>
    <n v="1932"/>
    <x v="11"/>
    <x v="0"/>
    <x v="2"/>
    <s v="Q1"/>
    <x v="103"/>
    <n v="4"/>
    <n v="4"/>
    <n v="423000"/>
    <x v="912"/>
    <n v="2"/>
    <x v="2"/>
    <n v="9"/>
    <x v="0"/>
  </r>
  <r>
    <n v="1933"/>
    <x v="16"/>
    <x v="0"/>
    <x v="0"/>
    <s v="Q2"/>
    <x v="120"/>
    <n v="2"/>
    <n v="2"/>
    <n v="729000"/>
    <x v="913"/>
    <n v="1"/>
    <x v="0"/>
    <n v="15"/>
    <x v="1"/>
  </r>
  <r>
    <n v="1934"/>
    <x v="17"/>
    <x v="0"/>
    <x v="0"/>
    <s v="Q2"/>
    <x v="208"/>
    <n v="4"/>
    <n v="4"/>
    <n v="460000"/>
    <x v="914"/>
    <n v="15"/>
    <x v="2"/>
    <n v="108"/>
    <x v="0"/>
  </r>
  <r>
    <n v="1935"/>
    <x v="2"/>
    <x v="2"/>
    <x v="0"/>
    <s v="Q2"/>
    <x v="389"/>
    <n v="5"/>
    <n v="5"/>
    <n v="3031000"/>
    <x v="915"/>
    <n v="5"/>
    <x v="0"/>
    <n v="16"/>
    <x v="0"/>
  </r>
  <r>
    <n v="1936"/>
    <x v="7"/>
    <x v="3"/>
    <x v="3"/>
    <s v="Q2"/>
    <x v="242"/>
    <n v="3"/>
    <n v="3"/>
    <n v="693000"/>
    <x v="916"/>
    <n v="4"/>
    <x v="0"/>
    <n v="91"/>
    <x v="2"/>
  </r>
  <r>
    <n v="1937"/>
    <x v="4"/>
    <x v="2"/>
    <x v="3"/>
    <s v="Q4"/>
    <x v="168"/>
    <n v="6"/>
    <n v="6"/>
    <n v="2028000"/>
    <x v="917"/>
    <n v="15"/>
    <x v="1"/>
    <n v="139"/>
    <x v="2"/>
  </r>
  <r>
    <n v="1938"/>
    <x v="10"/>
    <x v="1"/>
    <x v="0"/>
    <s v="Q2"/>
    <x v="397"/>
    <n v="4"/>
    <n v="4"/>
    <n v="1076000"/>
    <x v="918"/>
    <n v="10"/>
    <x v="0"/>
    <n v="73"/>
    <x v="1"/>
  </r>
  <r>
    <n v="1939"/>
    <x v="12"/>
    <x v="2"/>
    <x v="3"/>
    <s v="Q1"/>
    <x v="361"/>
    <n v="5"/>
    <n v="5"/>
    <n v="3662000"/>
    <x v="919"/>
    <n v="0"/>
    <x v="0"/>
    <n v="148"/>
    <x v="1"/>
  </r>
  <r>
    <n v="1940"/>
    <x v="7"/>
    <x v="2"/>
    <x v="0"/>
    <s v="Q1"/>
    <x v="166"/>
    <n v="5"/>
    <n v="5"/>
    <n v="1870000"/>
    <x v="920"/>
    <n v="0"/>
    <x v="0"/>
    <n v="90"/>
    <x v="2"/>
  </r>
  <r>
    <n v="1941"/>
    <x v="17"/>
    <x v="4"/>
    <x v="1"/>
    <s v="Q3"/>
    <x v="287"/>
    <n v="0"/>
    <n v="1"/>
    <n v="286000"/>
    <x v="895"/>
    <n v="7"/>
    <x v="1"/>
    <n v="1"/>
    <x v="0"/>
  </r>
  <r>
    <n v="1942"/>
    <x v="3"/>
    <x v="4"/>
    <x v="2"/>
    <s v="Q2"/>
    <x v="398"/>
    <n v="0"/>
    <n v="1"/>
    <n v="139000"/>
    <x v="921"/>
    <n v="15"/>
    <x v="0"/>
    <n v="11"/>
    <x v="2"/>
  </r>
  <r>
    <n v="1943"/>
    <x v="0"/>
    <x v="0"/>
    <x v="3"/>
    <s v="Q2"/>
    <x v="279"/>
    <n v="3"/>
    <n v="3"/>
    <n v="645000"/>
    <x v="922"/>
    <n v="5"/>
    <x v="0"/>
    <n v="115"/>
    <x v="0"/>
  </r>
  <r>
    <n v="1944"/>
    <x v="2"/>
    <x v="0"/>
    <x v="1"/>
    <s v="Q2"/>
    <x v="294"/>
    <n v="3"/>
    <n v="3"/>
    <n v="645000"/>
    <x v="923"/>
    <n v="2"/>
    <x v="1"/>
    <n v="106"/>
    <x v="0"/>
  </r>
  <r>
    <n v="1945"/>
    <x v="4"/>
    <x v="1"/>
    <x v="3"/>
    <s v="Q4"/>
    <x v="336"/>
    <n v="5"/>
    <n v="5"/>
    <n v="1645000"/>
    <x v="924"/>
    <n v="0"/>
    <x v="1"/>
    <n v="22"/>
    <x v="2"/>
  </r>
  <r>
    <n v="1946"/>
    <x v="18"/>
    <x v="0"/>
    <x v="0"/>
    <s v="Q1"/>
    <x v="22"/>
    <n v="4"/>
    <n v="4"/>
    <n v="452000"/>
    <x v="925"/>
    <n v="4"/>
    <x v="0"/>
    <n v="50"/>
    <x v="1"/>
  </r>
  <r>
    <n v="1947"/>
    <x v="2"/>
    <x v="0"/>
    <x v="1"/>
    <s v="Q3"/>
    <x v="261"/>
    <n v="4"/>
    <n v="4"/>
    <n v="488000"/>
    <x v="926"/>
    <n v="1"/>
    <x v="0"/>
    <n v="102"/>
    <x v="0"/>
  </r>
  <r>
    <n v="1948"/>
    <x v="19"/>
    <x v="1"/>
    <x v="1"/>
    <s v="Q3"/>
    <x v="265"/>
    <n v="5"/>
    <n v="5"/>
    <n v="1004000"/>
    <x v="927"/>
    <n v="4"/>
    <x v="2"/>
    <n v="110"/>
    <x v="2"/>
  </r>
  <r>
    <n v="1949"/>
    <x v="2"/>
    <x v="2"/>
    <x v="0"/>
    <s v="Q2"/>
    <x v="399"/>
    <n v="6"/>
    <n v="6"/>
    <n v="2888000"/>
    <x v="928"/>
    <n v="0"/>
    <x v="2"/>
    <n v="29"/>
    <x v="0"/>
  </r>
  <r>
    <n v="1950"/>
    <x v="0"/>
    <x v="1"/>
    <x v="3"/>
    <s v="Q4"/>
    <x v="309"/>
    <n v="4"/>
    <n v="4"/>
    <n v="1663000"/>
    <x v="929"/>
    <n v="15"/>
    <x v="1"/>
    <n v="161"/>
    <x v="0"/>
  </r>
  <r>
    <n v="1951"/>
    <x v="13"/>
    <x v="3"/>
    <x v="2"/>
    <s v="Q3"/>
    <x v="119"/>
    <n v="4"/>
    <n v="4"/>
    <n v="1031000"/>
    <x v="930"/>
    <n v="10"/>
    <x v="0"/>
    <n v="152"/>
    <x v="1"/>
  </r>
  <r>
    <n v="1952"/>
    <x v="2"/>
    <x v="0"/>
    <x v="3"/>
    <s v="Q4"/>
    <x v="9"/>
    <n v="3"/>
    <n v="3"/>
    <n v="708000"/>
    <x v="931"/>
    <n v="4"/>
    <x v="0"/>
    <n v="41"/>
    <x v="0"/>
  </r>
  <r>
    <n v="1953"/>
    <x v="2"/>
    <x v="2"/>
    <x v="1"/>
    <s v="Q1"/>
    <x v="145"/>
    <n v="5"/>
    <n v="5"/>
    <n v="2073000"/>
    <x v="932"/>
    <n v="10"/>
    <x v="2"/>
    <n v="65"/>
    <x v="0"/>
  </r>
  <r>
    <n v="1954"/>
    <x v="13"/>
    <x v="2"/>
    <x v="2"/>
    <s v="Q3"/>
    <x v="400"/>
    <n v="5"/>
    <n v="5"/>
    <n v="2771000"/>
    <x v="933"/>
    <n v="5"/>
    <x v="0"/>
    <n v="64"/>
    <x v="1"/>
  </r>
  <r>
    <n v="1955"/>
    <x v="3"/>
    <x v="4"/>
    <x v="1"/>
    <s v="Q1"/>
    <x v="132"/>
    <n v="0"/>
    <n v="1"/>
    <n v="185000"/>
    <x v="934"/>
    <n v="5"/>
    <x v="1"/>
    <n v="94"/>
    <x v="2"/>
  </r>
  <r>
    <n v="1956"/>
    <x v="0"/>
    <x v="0"/>
    <x v="1"/>
    <s v="Q1"/>
    <x v="225"/>
    <n v="3"/>
    <n v="3"/>
    <n v="475000"/>
    <x v="322"/>
    <n v="20"/>
    <x v="1"/>
    <n v="127"/>
    <x v="0"/>
  </r>
  <r>
    <n v="1957"/>
    <x v="10"/>
    <x v="4"/>
    <x v="1"/>
    <s v="Q3"/>
    <x v="401"/>
    <n v="0"/>
    <n v="1"/>
    <n v="233000"/>
    <x v="935"/>
    <n v="5"/>
    <x v="0"/>
    <n v="161"/>
    <x v="1"/>
  </r>
  <r>
    <n v="1958"/>
    <x v="7"/>
    <x v="2"/>
    <x v="0"/>
    <s v="Q1"/>
    <x v="363"/>
    <n v="6"/>
    <n v="6"/>
    <n v="2081000"/>
    <x v="936"/>
    <n v="1"/>
    <x v="2"/>
    <n v="11"/>
    <x v="2"/>
  </r>
  <r>
    <n v="1959"/>
    <x v="11"/>
    <x v="2"/>
    <x v="0"/>
    <s v="Q1"/>
    <x v="402"/>
    <n v="4"/>
    <n v="4"/>
    <n v="3093000"/>
    <x v="937"/>
    <n v="15"/>
    <x v="0"/>
    <n v="138"/>
    <x v="0"/>
  </r>
  <r>
    <n v="1960"/>
    <x v="1"/>
    <x v="0"/>
    <x v="2"/>
    <s v="Q4"/>
    <x v="89"/>
    <n v="2"/>
    <n v="2"/>
    <n v="455000"/>
    <x v="938"/>
    <n v="10"/>
    <x v="1"/>
    <n v="90"/>
    <x v="1"/>
  </r>
  <r>
    <n v="1961"/>
    <x v="17"/>
    <x v="1"/>
    <x v="3"/>
    <s v="Q4"/>
    <x v="193"/>
    <n v="4"/>
    <n v="4"/>
    <n v="1126000"/>
    <x v="939"/>
    <n v="0"/>
    <x v="2"/>
    <n v="36"/>
    <x v="0"/>
  </r>
  <r>
    <n v="1962"/>
    <x v="3"/>
    <x v="4"/>
    <x v="2"/>
    <s v="Q4"/>
    <x v="403"/>
    <n v="0"/>
    <n v="1"/>
    <n v="132000"/>
    <x v="940"/>
    <n v="0"/>
    <x v="0"/>
    <n v="99"/>
    <x v="2"/>
  </r>
  <r>
    <n v="1963"/>
    <x v="0"/>
    <x v="2"/>
    <x v="0"/>
    <s v="Q3"/>
    <x v="377"/>
    <n v="6"/>
    <n v="6"/>
    <n v="2842000"/>
    <x v="941"/>
    <n v="1"/>
    <x v="1"/>
    <n v="2"/>
    <x v="0"/>
  </r>
  <r>
    <n v="1964"/>
    <x v="13"/>
    <x v="1"/>
    <x v="2"/>
    <s v="Q1"/>
    <x v="404"/>
    <n v="3"/>
    <n v="3"/>
    <n v="1316000"/>
    <x v="942"/>
    <n v="0"/>
    <x v="1"/>
    <n v="8"/>
    <x v="1"/>
  </r>
  <r>
    <n v="1965"/>
    <x v="4"/>
    <x v="2"/>
    <x v="1"/>
    <s v="Q3"/>
    <x v="324"/>
    <n v="6"/>
    <n v="6"/>
    <n v="1800000"/>
    <x v="943"/>
    <n v="0"/>
    <x v="1"/>
    <n v="46"/>
    <x v="2"/>
  </r>
  <r>
    <n v="1966"/>
    <x v="5"/>
    <x v="0"/>
    <x v="0"/>
    <s v="Q2"/>
    <x v="120"/>
    <n v="4"/>
    <n v="4"/>
    <n v="508000"/>
    <x v="944"/>
    <n v="2"/>
    <x v="0"/>
    <n v="95"/>
    <x v="1"/>
  </r>
  <r>
    <n v="1967"/>
    <x v="8"/>
    <x v="0"/>
    <x v="2"/>
    <s v="Q1"/>
    <x v="21"/>
    <n v="3"/>
    <n v="3"/>
    <n v="329000"/>
    <x v="945"/>
    <n v="0"/>
    <x v="2"/>
    <n v="152"/>
    <x v="0"/>
  </r>
  <r>
    <n v="1968"/>
    <x v="9"/>
    <x v="0"/>
    <x v="1"/>
    <s v="Q1"/>
    <x v="230"/>
    <n v="3"/>
    <n v="3"/>
    <n v="426000"/>
    <x v="946"/>
    <n v="7"/>
    <x v="0"/>
    <n v="82"/>
    <x v="2"/>
  </r>
  <r>
    <n v="1969"/>
    <x v="0"/>
    <x v="0"/>
    <x v="2"/>
    <s v="Q3"/>
    <x v="30"/>
    <n v="3"/>
    <n v="3"/>
    <n v="403000"/>
    <x v="947"/>
    <n v="0"/>
    <x v="2"/>
    <n v="70"/>
    <x v="0"/>
  </r>
  <r>
    <n v="1970"/>
    <x v="12"/>
    <x v="4"/>
    <x v="3"/>
    <s v="Q4"/>
    <x v="132"/>
    <n v="0"/>
    <n v="1"/>
    <n v="436000"/>
    <x v="948"/>
    <n v="1"/>
    <x v="0"/>
    <n v="10"/>
    <x v="1"/>
  </r>
  <r>
    <n v="1971"/>
    <x v="15"/>
    <x v="0"/>
    <x v="0"/>
    <s v="Q1"/>
    <x v="102"/>
    <n v="3"/>
    <n v="3"/>
    <n v="503000"/>
    <x v="949"/>
    <n v="2"/>
    <x v="2"/>
    <n v="79"/>
    <x v="0"/>
  </r>
  <r>
    <n v="1972"/>
    <x v="13"/>
    <x v="1"/>
    <x v="2"/>
    <s v="Q1"/>
    <x v="376"/>
    <n v="4"/>
    <n v="4"/>
    <n v="1405000"/>
    <x v="950"/>
    <n v="5"/>
    <x v="0"/>
    <n v="94"/>
    <x v="1"/>
  </r>
  <r>
    <n v="1973"/>
    <x v="2"/>
    <x v="3"/>
    <x v="3"/>
    <s v="Q2"/>
    <x v="256"/>
    <n v="5"/>
    <n v="5"/>
    <n v="1350000"/>
    <x v="951"/>
    <n v="20"/>
    <x v="1"/>
    <n v="45"/>
    <x v="0"/>
  </r>
  <r>
    <n v="1974"/>
    <x v="5"/>
    <x v="0"/>
    <x v="3"/>
    <s v="Q1"/>
    <x v="109"/>
    <n v="3"/>
    <n v="3"/>
    <n v="472000"/>
    <x v="952"/>
    <n v="1"/>
    <x v="0"/>
    <n v="139"/>
    <x v="1"/>
  </r>
  <r>
    <n v="1975"/>
    <x v="12"/>
    <x v="0"/>
    <x v="0"/>
    <s v="Q3"/>
    <x v="211"/>
    <n v="3"/>
    <n v="3"/>
    <n v="984000"/>
    <x v="953"/>
    <n v="3"/>
    <x v="0"/>
    <n v="174"/>
    <x v="1"/>
  </r>
  <r>
    <n v="1976"/>
    <x v="14"/>
    <x v="2"/>
    <x v="1"/>
    <s v="Q4"/>
    <x v="301"/>
    <n v="5"/>
    <n v="5"/>
    <n v="3171000"/>
    <x v="954"/>
    <n v="5"/>
    <x v="2"/>
    <n v="80"/>
    <x v="2"/>
  </r>
  <r>
    <n v="1977"/>
    <x v="8"/>
    <x v="1"/>
    <x v="0"/>
    <s v="Q3"/>
    <x v="180"/>
    <n v="4"/>
    <n v="4"/>
    <n v="1152000"/>
    <x v="955"/>
    <n v="1"/>
    <x v="2"/>
    <n v="119"/>
    <x v="0"/>
  </r>
  <r>
    <n v="1978"/>
    <x v="17"/>
    <x v="0"/>
    <x v="2"/>
    <s v="Q2"/>
    <x v="293"/>
    <n v="4"/>
    <n v="4"/>
    <n v="396000"/>
    <x v="940"/>
    <n v="7"/>
    <x v="1"/>
    <n v="129"/>
    <x v="0"/>
  </r>
  <r>
    <n v="1979"/>
    <x v="8"/>
    <x v="3"/>
    <x v="2"/>
    <s v="Q3"/>
    <x v="374"/>
    <n v="3"/>
    <n v="3"/>
    <n v="886000"/>
    <x v="956"/>
    <n v="0"/>
    <x v="0"/>
    <n v="92"/>
    <x v="0"/>
  </r>
  <r>
    <n v="1980"/>
    <x v="17"/>
    <x v="0"/>
    <x v="0"/>
    <s v="Q4"/>
    <x v="276"/>
    <n v="2"/>
    <n v="2"/>
    <n v="555000"/>
    <x v="957"/>
    <n v="0"/>
    <x v="0"/>
    <n v="65"/>
    <x v="0"/>
  </r>
  <r>
    <n v="1981"/>
    <x v="13"/>
    <x v="4"/>
    <x v="0"/>
    <s v="Q4"/>
    <x v="299"/>
    <n v="0"/>
    <n v="1"/>
    <n v="335000"/>
    <x v="958"/>
    <n v="0"/>
    <x v="2"/>
    <n v="165"/>
    <x v="1"/>
  </r>
  <r>
    <n v="1982"/>
    <x v="12"/>
    <x v="0"/>
    <x v="1"/>
    <s v="Q3"/>
    <x v="334"/>
    <n v="3"/>
    <n v="3"/>
    <n v="699000"/>
    <x v="959"/>
    <n v="0"/>
    <x v="0"/>
    <n v="69"/>
    <x v="1"/>
  </r>
  <r>
    <n v="1983"/>
    <x v="10"/>
    <x v="3"/>
    <x v="1"/>
    <s v="Q4"/>
    <x v="405"/>
    <n v="5"/>
    <n v="5"/>
    <n v="1181000"/>
    <x v="960"/>
    <n v="4"/>
    <x v="0"/>
    <n v="49"/>
    <x v="1"/>
  </r>
  <r>
    <n v="1984"/>
    <x v="7"/>
    <x v="0"/>
    <x v="1"/>
    <s v="Q3"/>
    <x v="73"/>
    <n v="3"/>
    <n v="3"/>
    <n v="308000"/>
    <x v="961"/>
    <n v="2"/>
    <x v="2"/>
    <n v="125"/>
    <x v="2"/>
  </r>
  <r>
    <n v="1985"/>
    <x v="19"/>
    <x v="1"/>
    <x v="3"/>
    <s v="Q3"/>
    <x v="105"/>
    <n v="4"/>
    <n v="4"/>
    <n v="1248000"/>
    <x v="962"/>
    <n v="7"/>
    <x v="0"/>
    <n v="81"/>
    <x v="2"/>
  </r>
  <r>
    <n v="1986"/>
    <x v="13"/>
    <x v="0"/>
    <x v="1"/>
    <s v="Q2"/>
    <x v="199"/>
    <n v="4"/>
    <n v="4"/>
    <n v="630000"/>
    <x v="963"/>
    <n v="2"/>
    <x v="1"/>
    <n v="74"/>
    <x v="1"/>
  </r>
  <r>
    <n v="1987"/>
    <x v="9"/>
    <x v="3"/>
    <x v="3"/>
    <s v="Q2"/>
    <x v="167"/>
    <n v="3"/>
    <n v="3"/>
    <n v="1560000"/>
    <x v="964"/>
    <n v="0"/>
    <x v="1"/>
    <n v="100"/>
    <x v="2"/>
  </r>
  <r>
    <n v="1988"/>
    <x v="14"/>
    <x v="1"/>
    <x v="1"/>
    <s v="Q1"/>
    <x v="193"/>
    <n v="3"/>
    <n v="3"/>
    <n v="1287000"/>
    <x v="965"/>
    <n v="0"/>
    <x v="2"/>
    <n v="166"/>
    <x v="2"/>
  </r>
  <r>
    <n v="1989"/>
    <x v="13"/>
    <x v="0"/>
    <x v="3"/>
    <s v="Q2"/>
    <x v="16"/>
    <n v="3"/>
    <n v="3"/>
    <n v="685000"/>
    <x v="445"/>
    <n v="5"/>
    <x v="0"/>
    <n v="179"/>
    <x v="1"/>
  </r>
  <r>
    <n v="1990"/>
    <x v="1"/>
    <x v="0"/>
    <x v="0"/>
    <s v="Q4"/>
    <x v="18"/>
    <n v="4"/>
    <n v="4"/>
    <n v="390000"/>
    <x v="966"/>
    <n v="10"/>
    <x v="0"/>
    <n v="133"/>
    <x v="1"/>
  </r>
  <r>
    <n v="1991"/>
    <x v="7"/>
    <x v="4"/>
    <x v="2"/>
    <s v="Q2"/>
    <x v="398"/>
    <n v="0"/>
    <n v="1"/>
    <n v="125000"/>
    <x v="967"/>
    <n v="2"/>
    <x v="1"/>
    <n v="131"/>
    <x v="2"/>
  </r>
  <r>
    <n v="1992"/>
    <x v="8"/>
    <x v="3"/>
    <x v="2"/>
    <s v="Q2"/>
    <x v="201"/>
    <n v="3"/>
    <n v="3"/>
    <n v="1041000"/>
    <x v="968"/>
    <n v="5"/>
    <x v="2"/>
    <n v="105"/>
    <x v="0"/>
  </r>
  <r>
    <n v="1993"/>
    <x v="13"/>
    <x v="0"/>
    <x v="3"/>
    <s v="Q3"/>
    <x v="406"/>
    <n v="3"/>
    <n v="3"/>
    <n v="923000"/>
    <x v="969"/>
    <n v="15"/>
    <x v="0"/>
    <n v="78"/>
    <x v="1"/>
  </r>
  <r>
    <n v="1994"/>
    <x v="8"/>
    <x v="2"/>
    <x v="0"/>
    <s v="Q1"/>
    <x v="407"/>
    <n v="5"/>
    <n v="5"/>
    <n v="2401000"/>
    <x v="970"/>
    <n v="2"/>
    <x v="0"/>
    <n v="41"/>
    <x v="0"/>
  </r>
  <r>
    <n v="1995"/>
    <x v="2"/>
    <x v="0"/>
    <x v="0"/>
    <s v="Q1"/>
    <x v="161"/>
    <n v="3"/>
    <n v="3"/>
    <n v="483000"/>
    <x v="971"/>
    <n v="1"/>
    <x v="2"/>
    <n v="136"/>
    <x v="0"/>
  </r>
  <r>
    <n v="1996"/>
    <x v="12"/>
    <x v="2"/>
    <x v="2"/>
    <s v="Q2"/>
    <x v="133"/>
    <n v="4"/>
    <n v="4"/>
    <n v="2531000"/>
    <x v="972"/>
    <n v="1"/>
    <x v="2"/>
    <n v="103"/>
    <x v="1"/>
  </r>
  <r>
    <n v="1997"/>
    <x v="19"/>
    <x v="2"/>
    <x v="3"/>
    <s v="Q3"/>
    <x v="408"/>
    <n v="6"/>
    <n v="6"/>
    <n v="2714000"/>
    <x v="973"/>
    <n v="4"/>
    <x v="1"/>
    <n v="25"/>
    <x v="2"/>
  </r>
  <r>
    <n v="1998"/>
    <x v="8"/>
    <x v="1"/>
    <x v="2"/>
    <s v="Q3"/>
    <x v="409"/>
    <n v="4"/>
    <n v="4"/>
    <n v="802000"/>
    <x v="974"/>
    <n v="1"/>
    <x v="0"/>
    <n v="82"/>
    <x v="0"/>
  </r>
  <r>
    <n v="1999"/>
    <x v="9"/>
    <x v="1"/>
    <x v="2"/>
    <s v="Q3"/>
    <x v="410"/>
    <n v="5"/>
    <n v="5"/>
    <n v="1351000"/>
    <x v="975"/>
    <n v="10"/>
    <x v="0"/>
    <n v="152"/>
    <x v="2"/>
  </r>
  <r>
    <n v="2000"/>
    <x v="1"/>
    <x v="3"/>
    <x v="2"/>
    <s v="Q2"/>
    <x v="336"/>
    <n v="5"/>
    <n v="5"/>
    <n v="947000"/>
    <x v="976"/>
    <n v="1"/>
    <x v="0"/>
    <n v="88"/>
    <x v="1"/>
  </r>
  <r>
    <n v="2001"/>
    <x v="2"/>
    <x v="1"/>
    <x v="0"/>
    <s v="Q2"/>
    <x v="131"/>
    <n v="3"/>
    <n v="3"/>
    <n v="1347000"/>
    <x v="977"/>
    <n v="3"/>
    <x v="0"/>
    <n v="111"/>
    <x v="0"/>
  </r>
  <r>
    <n v="2002"/>
    <x v="2"/>
    <x v="0"/>
    <x v="0"/>
    <s v="Q4"/>
    <x v="250"/>
    <n v="3"/>
    <n v="3"/>
    <n v="232000"/>
    <x v="978"/>
    <n v="7"/>
    <x v="1"/>
    <n v="55"/>
    <x v="0"/>
  </r>
  <r>
    <n v="2003"/>
    <x v="17"/>
    <x v="4"/>
    <x v="3"/>
    <s v="Q4"/>
    <x v="116"/>
    <n v="0"/>
    <n v="1"/>
    <n v="296000"/>
    <x v="979"/>
    <n v="0"/>
    <x v="1"/>
    <n v="159"/>
    <x v="0"/>
  </r>
  <r>
    <n v="2004"/>
    <x v="15"/>
    <x v="2"/>
    <x v="3"/>
    <s v="Q3"/>
    <x v="186"/>
    <n v="4"/>
    <n v="4"/>
    <n v="2542000"/>
    <x v="980"/>
    <n v="4"/>
    <x v="0"/>
    <n v="21"/>
    <x v="0"/>
  </r>
  <r>
    <n v="2005"/>
    <x v="18"/>
    <x v="1"/>
    <x v="3"/>
    <s v="Q4"/>
    <x v="101"/>
    <n v="4"/>
    <n v="4"/>
    <n v="1353000"/>
    <x v="981"/>
    <n v="1"/>
    <x v="1"/>
    <n v="154"/>
    <x v="1"/>
  </r>
  <r>
    <n v="2006"/>
    <x v="13"/>
    <x v="0"/>
    <x v="0"/>
    <s v="Q3"/>
    <x v="244"/>
    <n v="3"/>
    <n v="3"/>
    <n v="916000"/>
    <x v="982"/>
    <n v="3"/>
    <x v="1"/>
    <n v="10"/>
    <x v="1"/>
  </r>
  <r>
    <n v="2007"/>
    <x v="14"/>
    <x v="1"/>
    <x v="0"/>
    <s v="Q1"/>
    <x v="309"/>
    <n v="5"/>
    <n v="5"/>
    <n v="1843000"/>
    <x v="983"/>
    <n v="5"/>
    <x v="1"/>
    <n v="38"/>
    <x v="2"/>
  </r>
  <r>
    <n v="2008"/>
    <x v="0"/>
    <x v="3"/>
    <x v="0"/>
    <s v="Q2"/>
    <x v="171"/>
    <n v="3"/>
    <n v="3"/>
    <n v="997000"/>
    <x v="984"/>
    <n v="10"/>
    <x v="0"/>
    <n v="64"/>
    <x v="0"/>
  </r>
  <r>
    <n v="2009"/>
    <x v="5"/>
    <x v="0"/>
    <x v="2"/>
    <s v="Q2"/>
    <x v="77"/>
    <n v="3"/>
    <n v="3"/>
    <n v="234000"/>
    <x v="985"/>
    <n v="3"/>
    <x v="0"/>
    <n v="53"/>
    <x v="1"/>
  </r>
  <r>
    <n v="2010"/>
    <x v="2"/>
    <x v="4"/>
    <x v="0"/>
    <s v="Q4"/>
    <x v="411"/>
    <n v="0"/>
    <n v="1"/>
    <n v="406000"/>
    <x v="986"/>
    <n v="15"/>
    <x v="2"/>
    <n v="95"/>
    <x v="0"/>
  </r>
  <r>
    <n v="2011"/>
    <x v="9"/>
    <x v="0"/>
    <x v="3"/>
    <s v="Q1"/>
    <x v="161"/>
    <n v="3"/>
    <n v="3"/>
    <n v="654000"/>
    <x v="987"/>
    <n v="1"/>
    <x v="2"/>
    <n v="45"/>
    <x v="2"/>
  </r>
  <r>
    <n v="2012"/>
    <x v="8"/>
    <x v="1"/>
    <x v="3"/>
    <s v="Q4"/>
    <x v="117"/>
    <n v="4"/>
    <n v="4"/>
    <n v="1309000"/>
    <x v="988"/>
    <n v="0"/>
    <x v="0"/>
    <n v="138"/>
    <x v="0"/>
  </r>
  <r>
    <n v="2013"/>
    <x v="13"/>
    <x v="0"/>
    <x v="1"/>
    <s v="Q1"/>
    <x v="406"/>
    <n v="4"/>
    <n v="4"/>
    <n v="788000"/>
    <x v="989"/>
    <n v="3"/>
    <x v="0"/>
    <n v="55"/>
    <x v="1"/>
  </r>
  <r>
    <n v="2014"/>
    <x v="19"/>
    <x v="0"/>
    <x v="0"/>
    <s v="Q4"/>
    <x v="412"/>
    <n v="4"/>
    <n v="4"/>
    <n v="382000"/>
    <x v="990"/>
    <n v="1"/>
    <x v="0"/>
    <n v="51"/>
    <x v="2"/>
  </r>
  <r>
    <n v="2015"/>
    <x v="15"/>
    <x v="4"/>
    <x v="1"/>
    <s v="Q4"/>
    <x v="330"/>
    <n v="0"/>
    <n v="1"/>
    <n v="153000"/>
    <x v="991"/>
    <n v="10"/>
    <x v="0"/>
    <n v="82"/>
    <x v="0"/>
  </r>
  <r>
    <n v="2016"/>
    <x v="7"/>
    <x v="3"/>
    <x v="3"/>
    <s v="Q2"/>
    <x v="413"/>
    <n v="5"/>
    <n v="5"/>
    <n v="770000"/>
    <x v="992"/>
    <n v="0"/>
    <x v="0"/>
    <n v="26"/>
    <x v="2"/>
  </r>
  <r>
    <n v="2017"/>
    <x v="10"/>
    <x v="0"/>
    <x v="1"/>
    <s v="Q2"/>
    <x v="52"/>
    <n v="4"/>
    <n v="4"/>
    <n v="445000"/>
    <x v="993"/>
    <n v="3"/>
    <x v="2"/>
    <n v="95"/>
    <x v="1"/>
  </r>
  <r>
    <n v="2018"/>
    <x v="7"/>
    <x v="1"/>
    <x v="2"/>
    <s v="Q4"/>
    <x v="158"/>
    <n v="5"/>
    <n v="5"/>
    <n v="580000"/>
    <x v="360"/>
    <n v="2"/>
    <x v="1"/>
    <n v="58"/>
    <x v="2"/>
  </r>
  <r>
    <n v="2019"/>
    <x v="7"/>
    <x v="2"/>
    <x v="2"/>
    <s v="Q3"/>
    <x v="414"/>
    <n v="6"/>
    <n v="6"/>
    <n v="1404000"/>
    <x v="994"/>
    <n v="20"/>
    <x v="1"/>
    <n v="84"/>
    <x v="2"/>
  </r>
  <r>
    <n v="2020"/>
    <x v="14"/>
    <x v="2"/>
    <x v="2"/>
    <s v="Q1"/>
    <x v="44"/>
    <n v="6"/>
    <n v="6"/>
    <n v="2252000"/>
    <x v="995"/>
    <n v="10"/>
    <x v="1"/>
    <n v="135"/>
    <x v="2"/>
  </r>
  <r>
    <n v="2021"/>
    <x v="2"/>
    <x v="0"/>
    <x v="2"/>
    <s v="Q1"/>
    <x v="415"/>
    <n v="4"/>
    <n v="4"/>
    <n v="296000"/>
    <x v="996"/>
    <n v="10"/>
    <x v="0"/>
    <n v="135"/>
    <x v="0"/>
  </r>
  <r>
    <n v="2022"/>
    <x v="5"/>
    <x v="2"/>
    <x v="2"/>
    <s v="Q3"/>
    <x v="35"/>
    <n v="5"/>
    <n v="5"/>
    <n v="1550000"/>
    <x v="997"/>
    <n v="20"/>
    <x v="0"/>
    <n v="95"/>
    <x v="1"/>
  </r>
  <r>
    <n v="2023"/>
    <x v="3"/>
    <x v="4"/>
    <x v="1"/>
    <s v="Q2"/>
    <x v="143"/>
    <n v="0"/>
    <n v="1"/>
    <n v="153000"/>
    <x v="998"/>
    <n v="5"/>
    <x v="0"/>
    <n v="38"/>
    <x v="2"/>
  </r>
  <r>
    <n v="2024"/>
    <x v="6"/>
    <x v="3"/>
    <x v="1"/>
    <s v="Q2"/>
    <x v="416"/>
    <n v="4"/>
    <n v="4"/>
    <n v="531000"/>
    <x v="999"/>
    <n v="1"/>
    <x v="0"/>
    <n v="179"/>
    <x v="0"/>
  </r>
  <r>
    <n v="2025"/>
    <x v="12"/>
    <x v="0"/>
    <x v="1"/>
    <s v="Q2"/>
    <x v="189"/>
    <n v="2"/>
    <n v="2"/>
    <n v="660000"/>
    <x v="1000"/>
    <n v="0"/>
    <x v="0"/>
    <n v="29"/>
    <x v="1"/>
  </r>
  <r>
    <n v="2026"/>
    <x v="4"/>
    <x v="2"/>
    <x v="1"/>
    <s v="Q3"/>
    <x v="417"/>
    <n v="5"/>
    <n v="5"/>
    <n v="1755000"/>
    <x v="1001"/>
    <n v="15"/>
    <x v="2"/>
    <n v="106"/>
    <x v="2"/>
  </r>
  <r>
    <n v="2027"/>
    <x v="15"/>
    <x v="0"/>
    <x v="3"/>
    <s v="Q3"/>
    <x v="169"/>
    <n v="3"/>
    <n v="3"/>
    <n v="406000"/>
    <x v="386"/>
    <n v="10"/>
    <x v="1"/>
    <n v="48"/>
    <x v="0"/>
  </r>
  <r>
    <n v="2028"/>
    <x v="0"/>
    <x v="0"/>
    <x v="3"/>
    <s v="Q3"/>
    <x v="27"/>
    <n v="3"/>
    <n v="3"/>
    <n v="730000"/>
    <x v="1002"/>
    <n v="0"/>
    <x v="1"/>
    <n v="39"/>
    <x v="0"/>
  </r>
  <r>
    <n v="2029"/>
    <x v="3"/>
    <x v="0"/>
    <x v="1"/>
    <s v="Q4"/>
    <x v="382"/>
    <n v="2"/>
    <n v="2"/>
    <n v="368000"/>
    <x v="1003"/>
    <n v="0"/>
    <x v="2"/>
    <n v="77"/>
    <x v="2"/>
  </r>
  <r>
    <n v="2030"/>
    <x v="14"/>
    <x v="0"/>
    <x v="2"/>
    <s v="Q2"/>
    <x v="52"/>
    <n v="4"/>
    <n v="4"/>
    <n v="461000"/>
    <x v="1004"/>
    <n v="4"/>
    <x v="0"/>
    <n v="94"/>
    <x v="2"/>
  </r>
  <r>
    <n v="2031"/>
    <x v="9"/>
    <x v="0"/>
    <x v="1"/>
    <s v="Q2"/>
    <x v="99"/>
    <n v="3"/>
    <n v="3"/>
    <n v="395000"/>
    <x v="1005"/>
    <n v="3"/>
    <x v="0"/>
    <n v="46"/>
    <x v="2"/>
  </r>
  <r>
    <n v="2032"/>
    <x v="0"/>
    <x v="2"/>
    <x v="3"/>
    <s v="Q3"/>
    <x v="79"/>
    <n v="5"/>
    <n v="5"/>
    <n v="2818000"/>
    <x v="1006"/>
    <n v="10"/>
    <x v="0"/>
    <n v="77"/>
    <x v="0"/>
  </r>
  <r>
    <n v="2033"/>
    <x v="3"/>
    <x v="2"/>
    <x v="1"/>
    <s v="Q4"/>
    <x v="186"/>
    <n v="4"/>
    <n v="4"/>
    <n v="1658000"/>
    <x v="1007"/>
    <n v="3"/>
    <x v="0"/>
    <n v="2"/>
    <x v="2"/>
  </r>
  <r>
    <n v="2034"/>
    <x v="15"/>
    <x v="0"/>
    <x v="0"/>
    <s v="Q3"/>
    <x v="6"/>
    <n v="2"/>
    <n v="2"/>
    <n v="405000"/>
    <x v="1008"/>
    <n v="2"/>
    <x v="0"/>
    <n v="8"/>
    <x v="0"/>
  </r>
  <r>
    <n v="2035"/>
    <x v="8"/>
    <x v="0"/>
    <x v="2"/>
    <s v="Q1"/>
    <x v="146"/>
    <n v="4"/>
    <n v="4"/>
    <n v="433000"/>
    <x v="1009"/>
    <n v="4"/>
    <x v="2"/>
    <n v="136"/>
    <x v="0"/>
  </r>
  <r>
    <n v="2036"/>
    <x v="0"/>
    <x v="0"/>
    <x v="2"/>
    <s v="Q2"/>
    <x v="244"/>
    <n v="3"/>
    <n v="3"/>
    <n v="603000"/>
    <x v="1010"/>
    <n v="15"/>
    <x v="1"/>
    <n v="80"/>
    <x v="0"/>
  </r>
  <r>
    <n v="2037"/>
    <x v="1"/>
    <x v="0"/>
    <x v="0"/>
    <s v="Q2"/>
    <x v="48"/>
    <n v="2"/>
    <n v="2"/>
    <n v="561000"/>
    <x v="1011"/>
    <n v="1"/>
    <x v="2"/>
    <n v="130"/>
    <x v="1"/>
  </r>
  <r>
    <n v="2038"/>
    <x v="4"/>
    <x v="2"/>
    <x v="3"/>
    <s v="Q4"/>
    <x v="346"/>
    <n v="5"/>
    <n v="5"/>
    <n v="1145000"/>
    <x v="1012"/>
    <n v="0"/>
    <x v="1"/>
    <n v="32"/>
    <x v="2"/>
  </r>
  <r>
    <n v="2039"/>
    <x v="1"/>
    <x v="0"/>
    <x v="1"/>
    <s v="Q4"/>
    <x v="412"/>
    <n v="3"/>
    <n v="3"/>
    <n v="372000"/>
    <x v="1013"/>
    <n v="5"/>
    <x v="1"/>
    <n v="84"/>
    <x v="1"/>
  </r>
  <r>
    <n v="2040"/>
    <x v="10"/>
    <x v="2"/>
    <x v="3"/>
    <s v="Q1"/>
    <x v="336"/>
    <n v="5"/>
    <n v="5"/>
    <n v="2459000"/>
    <x v="1014"/>
    <n v="0"/>
    <x v="0"/>
    <n v="113"/>
    <x v="1"/>
  </r>
  <r>
    <n v="2041"/>
    <x v="12"/>
    <x v="1"/>
    <x v="2"/>
    <s v="Q2"/>
    <x v="223"/>
    <n v="5"/>
    <n v="5"/>
    <n v="1365000"/>
    <x v="1015"/>
    <n v="20"/>
    <x v="0"/>
    <n v="123"/>
    <x v="1"/>
  </r>
  <r>
    <n v="2042"/>
    <x v="11"/>
    <x v="1"/>
    <x v="1"/>
    <s v="Q3"/>
    <x v="265"/>
    <n v="5"/>
    <n v="5"/>
    <n v="1140000"/>
    <x v="1016"/>
    <n v="2"/>
    <x v="0"/>
    <n v="75"/>
    <x v="0"/>
  </r>
  <r>
    <n v="2043"/>
    <x v="11"/>
    <x v="0"/>
    <x v="1"/>
    <s v="Q2"/>
    <x v="279"/>
    <n v="3"/>
    <n v="3"/>
    <n v="508000"/>
    <x v="1017"/>
    <n v="0"/>
    <x v="0"/>
    <n v="66"/>
    <x v="0"/>
  </r>
  <r>
    <n v="2044"/>
    <x v="9"/>
    <x v="2"/>
    <x v="1"/>
    <s v="Q1"/>
    <x v="407"/>
    <n v="5"/>
    <n v="5"/>
    <n v="2563000"/>
    <x v="1018"/>
    <n v="3"/>
    <x v="0"/>
    <n v="123"/>
    <x v="2"/>
  </r>
  <r>
    <n v="2045"/>
    <x v="15"/>
    <x v="0"/>
    <x v="0"/>
    <s v="Q1"/>
    <x v="382"/>
    <n v="3"/>
    <n v="3"/>
    <n v="501000"/>
    <x v="1019"/>
    <n v="1"/>
    <x v="2"/>
    <n v="94"/>
    <x v="0"/>
  </r>
  <r>
    <n v="2046"/>
    <x v="2"/>
    <x v="2"/>
    <x v="3"/>
    <s v="Q3"/>
    <x v="367"/>
    <n v="4"/>
    <n v="4"/>
    <n v="3087000"/>
    <x v="1020"/>
    <n v="7"/>
    <x v="0"/>
    <n v="157"/>
    <x v="0"/>
  </r>
  <r>
    <n v="2047"/>
    <x v="12"/>
    <x v="0"/>
    <x v="3"/>
    <s v="Q3"/>
    <x v="82"/>
    <n v="3"/>
    <n v="3"/>
    <n v="753000"/>
    <x v="1021"/>
    <n v="2"/>
    <x v="0"/>
    <n v="34"/>
    <x v="1"/>
  </r>
  <r>
    <n v="2048"/>
    <x v="12"/>
    <x v="2"/>
    <x v="3"/>
    <s v="Q4"/>
    <x v="270"/>
    <n v="5"/>
    <n v="5"/>
    <n v="2402000"/>
    <x v="1022"/>
    <n v="10"/>
    <x v="0"/>
    <n v="87"/>
    <x v="1"/>
  </r>
  <r>
    <n v="2049"/>
    <x v="18"/>
    <x v="0"/>
    <x v="1"/>
    <s v="Q1"/>
    <x v="189"/>
    <n v="4"/>
    <n v="4"/>
    <n v="425000"/>
    <x v="1023"/>
    <n v="3"/>
    <x v="1"/>
    <n v="93"/>
    <x v="1"/>
  </r>
  <r>
    <n v="2050"/>
    <x v="15"/>
    <x v="4"/>
    <x v="1"/>
    <s v="Q2"/>
    <x v="97"/>
    <n v="0"/>
    <n v="1"/>
    <n v="214000"/>
    <x v="1024"/>
    <n v="2"/>
    <x v="2"/>
    <n v="145"/>
    <x v="0"/>
  </r>
  <r>
    <n v="2051"/>
    <x v="19"/>
    <x v="0"/>
    <x v="3"/>
    <s v="Q1"/>
    <x v="113"/>
    <n v="3"/>
    <n v="3"/>
    <n v="273000"/>
    <x v="1025"/>
    <n v="2"/>
    <x v="1"/>
    <n v="155"/>
    <x v="2"/>
  </r>
  <r>
    <n v="2052"/>
    <x v="13"/>
    <x v="0"/>
    <x v="1"/>
    <s v="Q2"/>
    <x v="102"/>
    <n v="3"/>
    <n v="3"/>
    <n v="631000"/>
    <x v="1026"/>
    <n v="2"/>
    <x v="0"/>
    <n v="124"/>
    <x v="1"/>
  </r>
  <r>
    <n v="2053"/>
    <x v="11"/>
    <x v="4"/>
    <x v="3"/>
    <s v="Q4"/>
    <x v="237"/>
    <n v="0"/>
    <n v="1"/>
    <n v="232000"/>
    <x v="1027"/>
    <n v="2"/>
    <x v="2"/>
    <n v="72"/>
    <x v="0"/>
  </r>
  <r>
    <n v="2054"/>
    <x v="6"/>
    <x v="4"/>
    <x v="3"/>
    <s v="Q4"/>
    <x v="108"/>
    <n v="0"/>
    <n v="1"/>
    <n v="276000"/>
    <x v="1028"/>
    <n v="10"/>
    <x v="0"/>
    <n v="40"/>
    <x v="0"/>
  </r>
  <r>
    <n v="2055"/>
    <x v="3"/>
    <x v="0"/>
    <x v="1"/>
    <s v="Q3"/>
    <x v="279"/>
    <n v="3"/>
    <n v="3"/>
    <n v="381000"/>
    <x v="1029"/>
    <n v="5"/>
    <x v="0"/>
    <n v="14"/>
    <x v="2"/>
  </r>
  <r>
    <n v="2056"/>
    <x v="17"/>
    <x v="0"/>
    <x v="1"/>
    <s v="Q1"/>
    <x v="418"/>
    <n v="3"/>
    <n v="3"/>
    <n v="337000"/>
    <x v="1030"/>
    <n v="2"/>
    <x v="0"/>
    <n v="77"/>
    <x v="0"/>
  </r>
  <r>
    <n v="2057"/>
    <x v="15"/>
    <x v="0"/>
    <x v="3"/>
    <s v="Q1"/>
    <x v="122"/>
    <n v="3"/>
    <n v="3"/>
    <n v="618000"/>
    <x v="1031"/>
    <n v="3"/>
    <x v="0"/>
    <n v="20"/>
    <x v="0"/>
  </r>
  <r>
    <n v="2058"/>
    <x v="10"/>
    <x v="0"/>
    <x v="2"/>
    <s v="Q4"/>
    <x v="67"/>
    <n v="2"/>
    <n v="2"/>
    <n v="672000"/>
    <x v="1032"/>
    <n v="5"/>
    <x v="0"/>
    <n v="82"/>
    <x v="1"/>
  </r>
  <r>
    <n v="2059"/>
    <x v="14"/>
    <x v="1"/>
    <x v="3"/>
    <s v="Q4"/>
    <x v="236"/>
    <n v="4"/>
    <n v="4"/>
    <n v="1544000"/>
    <x v="1033"/>
    <n v="10"/>
    <x v="1"/>
    <n v="146"/>
    <x v="2"/>
  </r>
  <r>
    <n v="2060"/>
    <x v="19"/>
    <x v="2"/>
    <x v="3"/>
    <s v="Q3"/>
    <x v="336"/>
    <n v="5"/>
    <n v="5"/>
    <n v="1996000"/>
    <x v="1034"/>
    <n v="4"/>
    <x v="0"/>
    <n v="122"/>
    <x v="2"/>
  </r>
  <r>
    <n v="2061"/>
    <x v="16"/>
    <x v="0"/>
    <x v="0"/>
    <s v="Q2"/>
    <x v="151"/>
    <n v="4"/>
    <n v="4"/>
    <n v="708000"/>
    <x v="1035"/>
    <n v="2"/>
    <x v="1"/>
    <n v="89"/>
    <x v="1"/>
  </r>
  <r>
    <n v="2062"/>
    <x v="4"/>
    <x v="0"/>
    <x v="0"/>
    <s v="Q3"/>
    <x v="9"/>
    <n v="4"/>
    <n v="4"/>
    <n v="580000"/>
    <x v="1036"/>
    <n v="5"/>
    <x v="1"/>
    <n v="65"/>
    <x v="2"/>
  </r>
  <r>
    <n v="2063"/>
    <x v="12"/>
    <x v="2"/>
    <x v="0"/>
    <s v="Q1"/>
    <x v="303"/>
    <n v="4"/>
    <n v="4"/>
    <n v="2209000"/>
    <x v="1037"/>
    <n v="10"/>
    <x v="1"/>
    <n v="16"/>
    <x v="1"/>
  </r>
  <r>
    <n v="2064"/>
    <x v="0"/>
    <x v="0"/>
    <x v="1"/>
    <s v="Q4"/>
    <x v="253"/>
    <n v="4"/>
    <n v="4"/>
    <n v="398000"/>
    <x v="1038"/>
    <n v="7"/>
    <x v="1"/>
    <n v="149"/>
    <x v="0"/>
  </r>
  <r>
    <n v="2065"/>
    <x v="9"/>
    <x v="2"/>
    <x v="2"/>
    <s v="Q1"/>
    <x v="405"/>
    <n v="4"/>
    <n v="4"/>
    <n v="2057000"/>
    <x v="1039"/>
    <n v="5"/>
    <x v="0"/>
    <n v="147"/>
    <x v="2"/>
  </r>
  <r>
    <n v="2066"/>
    <x v="0"/>
    <x v="0"/>
    <x v="2"/>
    <s v="Q3"/>
    <x v="16"/>
    <n v="3"/>
    <n v="3"/>
    <n v="428000"/>
    <x v="507"/>
    <n v="1"/>
    <x v="0"/>
    <n v="130"/>
    <x v="0"/>
  </r>
  <r>
    <n v="2067"/>
    <x v="10"/>
    <x v="4"/>
    <x v="3"/>
    <s v="Q1"/>
    <x v="75"/>
    <n v="0"/>
    <n v="1"/>
    <n v="325000"/>
    <x v="1040"/>
    <n v="4"/>
    <x v="2"/>
    <n v="44"/>
    <x v="1"/>
  </r>
  <r>
    <n v="2068"/>
    <x v="1"/>
    <x v="0"/>
    <x v="3"/>
    <s v="Q2"/>
    <x v="9"/>
    <n v="4"/>
    <n v="4"/>
    <n v="631000"/>
    <x v="1041"/>
    <n v="4"/>
    <x v="1"/>
    <n v="72"/>
    <x v="1"/>
  </r>
  <r>
    <n v="2069"/>
    <x v="2"/>
    <x v="1"/>
    <x v="0"/>
    <s v="Q1"/>
    <x v="320"/>
    <n v="4"/>
    <n v="4"/>
    <n v="1424000"/>
    <x v="1042"/>
    <n v="7"/>
    <x v="1"/>
    <n v="84"/>
    <x v="0"/>
  </r>
  <r>
    <n v="2070"/>
    <x v="6"/>
    <x v="0"/>
    <x v="1"/>
    <s v="Q1"/>
    <x v="107"/>
    <n v="3"/>
    <n v="3"/>
    <n v="263000"/>
    <x v="1043"/>
    <n v="2"/>
    <x v="0"/>
    <n v="149"/>
    <x v="0"/>
  </r>
  <r>
    <n v="2071"/>
    <x v="7"/>
    <x v="2"/>
    <x v="0"/>
    <s v="Q4"/>
    <x v="352"/>
    <n v="5"/>
    <n v="5"/>
    <n v="1493000"/>
    <x v="1044"/>
    <n v="2"/>
    <x v="2"/>
    <n v="28"/>
    <x v="2"/>
  </r>
  <r>
    <n v="2072"/>
    <x v="14"/>
    <x v="0"/>
    <x v="1"/>
    <s v="Q4"/>
    <x v="20"/>
    <n v="3"/>
    <n v="3"/>
    <n v="474000"/>
    <x v="1045"/>
    <n v="15"/>
    <x v="2"/>
    <n v="114"/>
    <x v="2"/>
  </r>
  <r>
    <n v="2073"/>
    <x v="5"/>
    <x v="3"/>
    <x v="2"/>
    <s v="Q2"/>
    <x v="347"/>
    <n v="4"/>
    <n v="4"/>
    <n v="590000"/>
    <x v="1046"/>
    <n v="3"/>
    <x v="0"/>
    <n v="29"/>
    <x v="1"/>
  </r>
  <r>
    <n v="2074"/>
    <x v="7"/>
    <x v="0"/>
    <x v="0"/>
    <s v="Q4"/>
    <x v="46"/>
    <n v="4"/>
    <n v="4"/>
    <n v="327000"/>
    <x v="1047"/>
    <n v="10"/>
    <x v="2"/>
    <n v="68"/>
    <x v="2"/>
  </r>
  <r>
    <n v="2075"/>
    <x v="5"/>
    <x v="0"/>
    <x v="2"/>
    <s v="Q1"/>
    <x v="279"/>
    <n v="4"/>
    <n v="4"/>
    <n v="360000"/>
    <x v="1048"/>
    <n v="5"/>
    <x v="1"/>
    <n v="29"/>
    <x v="1"/>
  </r>
  <r>
    <n v="2076"/>
    <x v="18"/>
    <x v="2"/>
    <x v="0"/>
    <s v="Q2"/>
    <x v="419"/>
    <n v="5"/>
    <n v="5"/>
    <n v="2183000"/>
    <x v="1049"/>
    <n v="7"/>
    <x v="0"/>
    <n v="124"/>
    <x v="1"/>
  </r>
  <r>
    <n v="2077"/>
    <x v="6"/>
    <x v="2"/>
    <x v="3"/>
    <s v="Q2"/>
    <x v="420"/>
    <n v="6"/>
    <n v="6"/>
    <n v="1853000"/>
    <x v="1050"/>
    <n v="15"/>
    <x v="0"/>
    <n v="167"/>
    <x v="0"/>
  </r>
  <r>
    <n v="2078"/>
    <x v="2"/>
    <x v="2"/>
    <x v="2"/>
    <s v="Q3"/>
    <x v="414"/>
    <n v="4"/>
    <n v="4"/>
    <n v="1892000"/>
    <x v="1051"/>
    <n v="5"/>
    <x v="0"/>
    <n v="76"/>
    <x v="0"/>
  </r>
  <r>
    <n v="2079"/>
    <x v="11"/>
    <x v="2"/>
    <x v="1"/>
    <s v="Q2"/>
    <x v="421"/>
    <n v="4"/>
    <n v="4"/>
    <n v="1799000"/>
    <x v="1052"/>
    <n v="5"/>
    <x v="1"/>
    <n v="113"/>
    <x v="0"/>
  </r>
  <r>
    <n v="2080"/>
    <x v="10"/>
    <x v="3"/>
    <x v="2"/>
    <s v="Q4"/>
    <x v="105"/>
    <n v="4"/>
    <n v="4"/>
    <n v="849000"/>
    <x v="1053"/>
    <n v="10"/>
    <x v="1"/>
    <n v="85"/>
    <x v="1"/>
  </r>
  <r>
    <n v="2081"/>
    <x v="11"/>
    <x v="0"/>
    <x v="0"/>
    <s v="Q1"/>
    <x v="244"/>
    <n v="2"/>
    <n v="2"/>
    <n v="731000"/>
    <x v="1054"/>
    <n v="1"/>
    <x v="0"/>
    <n v="179"/>
    <x v="0"/>
  </r>
  <r>
    <n v="2082"/>
    <x v="2"/>
    <x v="3"/>
    <x v="2"/>
    <s v="Q3"/>
    <x v="332"/>
    <n v="5"/>
    <n v="5"/>
    <n v="977000"/>
    <x v="1055"/>
    <n v="20"/>
    <x v="1"/>
    <n v="6"/>
    <x v="0"/>
  </r>
  <r>
    <n v="2083"/>
    <x v="13"/>
    <x v="4"/>
    <x v="3"/>
    <s v="Q4"/>
    <x v="249"/>
    <n v="0"/>
    <n v="1"/>
    <n v="358000"/>
    <x v="1056"/>
    <n v="4"/>
    <x v="0"/>
    <n v="110"/>
    <x v="1"/>
  </r>
  <r>
    <n v="2084"/>
    <x v="5"/>
    <x v="1"/>
    <x v="3"/>
    <s v="Q4"/>
    <x v="203"/>
    <n v="4"/>
    <n v="4"/>
    <n v="965000"/>
    <x v="1057"/>
    <n v="10"/>
    <x v="0"/>
    <n v="129"/>
    <x v="1"/>
  </r>
  <r>
    <n v="2085"/>
    <x v="9"/>
    <x v="2"/>
    <x v="3"/>
    <s v="Q4"/>
    <x v="422"/>
    <n v="5"/>
    <n v="5"/>
    <n v="3107000"/>
    <x v="1058"/>
    <n v="10"/>
    <x v="0"/>
    <n v="143"/>
    <x v="2"/>
  </r>
  <r>
    <n v="2086"/>
    <x v="2"/>
    <x v="0"/>
    <x v="0"/>
    <s v="Q2"/>
    <x v="418"/>
    <n v="3"/>
    <n v="3"/>
    <n v="410000"/>
    <x v="1059"/>
    <n v="0"/>
    <x v="0"/>
    <n v="14"/>
    <x v="0"/>
  </r>
  <r>
    <n v="2087"/>
    <x v="14"/>
    <x v="1"/>
    <x v="0"/>
    <s v="Q3"/>
    <x v="303"/>
    <n v="5"/>
    <n v="5"/>
    <n v="1491000"/>
    <x v="1060"/>
    <n v="7"/>
    <x v="0"/>
    <n v="107"/>
    <x v="2"/>
  </r>
  <r>
    <n v="2088"/>
    <x v="16"/>
    <x v="0"/>
    <x v="0"/>
    <s v="Q1"/>
    <x v="93"/>
    <n v="3"/>
    <n v="3"/>
    <n v="672000"/>
    <x v="1061"/>
    <n v="2"/>
    <x v="2"/>
    <n v="29"/>
    <x v="1"/>
  </r>
  <r>
    <n v="2089"/>
    <x v="15"/>
    <x v="2"/>
    <x v="3"/>
    <s v="Q3"/>
    <x v="167"/>
    <n v="5"/>
    <n v="5"/>
    <n v="2311000"/>
    <x v="1062"/>
    <n v="2"/>
    <x v="0"/>
    <n v="115"/>
    <x v="0"/>
  </r>
  <r>
    <n v="2090"/>
    <x v="12"/>
    <x v="4"/>
    <x v="0"/>
    <s v="Q2"/>
    <x v="143"/>
    <n v="0"/>
    <n v="1"/>
    <n v="283000"/>
    <x v="1063"/>
    <n v="4"/>
    <x v="2"/>
    <n v="94"/>
    <x v="1"/>
  </r>
  <r>
    <n v="2091"/>
    <x v="14"/>
    <x v="2"/>
    <x v="1"/>
    <s v="Q3"/>
    <x v="423"/>
    <n v="5"/>
    <n v="5"/>
    <n v="2231000"/>
    <x v="1064"/>
    <n v="15"/>
    <x v="0"/>
    <n v="31"/>
    <x v="2"/>
  </r>
  <r>
    <n v="2092"/>
    <x v="9"/>
    <x v="2"/>
    <x v="3"/>
    <s v="Q4"/>
    <x v="328"/>
    <n v="5"/>
    <n v="5"/>
    <n v="1855000"/>
    <x v="1065"/>
    <n v="2"/>
    <x v="1"/>
    <n v="51"/>
    <x v="2"/>
  </r>
  <r>
    <n v="2093"/>
    <x v="0"/>
    <x v="2"/>
    <x v="0"/>
    <s v="Q4"/>
    <x v="424"/>
    <n v="5"/>
    <n v="5"/>
    <n v="2681000"/>
    <x v="1066"/>
    <n v="1"/>
    <x v="0"/>
    <n v="72"/>
    <x v="0"/>
  </r>
  <r>
    <n v="2094"/>
    <x v="0"/>
    <x v="3"/>
    <x v="2"/>
    <s v="Q3"/>
    <x v="425"/>
    <n v="5"/>
    <n v="5"/>
    <n v="1213000"/>
    <x v="1067"/>
    <n v="4"/>
    <x v="1"/>
    <n v="144"/>
    <x v="0"/>
  </r>
  <r>
    <n v="2095"/>
    <x v="2"/>
    <x v="1"/>
    <x v="1"/>
    <s v="Q2"/>
    <x v="409"/>
    <n v="4"/>
    <n v="4"/>
    <n v="928000"/>
    <x v="1068"/>
    <n v="1"/>
    <x v="1"/>
    <n v="134"/>
    <x v="0"/>
  </r>
  <r>
    <n v="2096"/>
    <x v="10"/>
    <x v="4"/>
    <x v="1"/>
    <s v="Q3"/>
    <x v="66"/>
    <n v="0"/>
    <n v="1"/>
    <n v="327000"/>
    <x v="1069"/>
    <n v="5"/>
    <x v="0"/>
    <n v="84"/>
    <x v="1"/>
  </r>
  <r>
    <n v="2097"/>
    <x v="5"/>
    <x v="4"/>
    <x v="2"/>
    <s v="Q3"/>
    <x v="426"/>
    <n v="0"/>
    <n v="1"/>
    <n v="232000"/>
    <x v="1070"/>
    <n v="3"/>
    <x v="0"/>
    <n v="18"/>
    <x v="1"/>
  </r>
  <r>
    <n v="2098"/>
    <x v="7"/>
    <x v="0"/>
    <x v="3"/>
    <s v="Q3"/>
    <x v="6"/>
    <n v="2"/>
    <n v="2"/>
    <n v="375000"/>
    <x v="1071"/>
    <n v="15"/>
    <x v="2"/>
    <n v="36"/>
    <x v="2"/>
  </r>
  <r>
    <n v="2099"/>
    <x v="3"/>
    <x v="1"/>
    <x v="2"/>
    <s v="Q3"/>
    <x v="203"/>
    <n v="4"/>
    <n v="4"/>
    <n v="733000"/>
    <x v="1072"/>
    <n v="1"/>
    <x v="0"/>
    <n v="93"/>
    <x v="2"/>
  </r>
  <r>
    <n v="2100"/>
    <x v="15"/>
    <x v="0"/>
    <x v="1"/>
    <s v="Q3"/>
    <x v="55"/>
    <n v="3"/>
    <n v="3"/>
    <n v="457000"/>
    <x v="1073"/>
    <n v="20"/>
    <x v="2"/>
    <n v="88"/>
    <x v="0"/>
  </r>
  <r>
    <n v="2101"/>
    <x v="6"/>
    <x v="4"/>
    <x v="3"/>
    <s v="Q4"/>
    <x v="132"/>
    <n v="0"/>
    <n v="1"/>
    <n v="262000"/>
    <x v="1074"/>
    <n v="7"/>
    <x v="1"/>
    <n v="156"/>
    <x v="0"/>
  </r>
  <r>
    <n v="2102"/>
    <x v="6"/>
    <x v="2"/>
    <x v="1"/>
    <s v="Q2"/>
    <x v="427"/>
    <n v="5"/>
    <n v="5"/>
    <n v="1731000"/>
    <x v="1075"/>
    <n v="4"/>
    <x v="0"/>
    <n v="96"/>
    <x v="0"/>
  </r>
  <r>
    <n v="2103"/>
    <x v="0"/>
    <x v="1"/>
    <x v="1"/>
    <s v="Q2"/>
    <x v="428"/>
    <n v="4"/>
    <n v="4"/>
    <n v="1147000"/>
    <x v="1076"/>
    <n v="10"/>
    <x v="2"/>
    <n v="110"/>
    <x v="0"/>
  </r>
  <r>
    <n v="2104"/>
    <x v="2"/>
    <x v="0"/>
    <x v="3"/>
    <s v="Q4"/>
    <x v="93"/>
    <n v="3"/>
    <n v="3"/>
    <n v="694000"/>
    <x v="1077"/>
    <n v="20"/>
    <x v="2"/>
    <n v="67"/>
    <x v="0"/>
  </r>
  <r>
    <n v="2105"/>
    <x v="15"/>
    <x v="0"/>
    <x v="0"/>
    <s v="Q3"/>
    <x v="261"/>
    <n v="4"/>
    <n v="4"/>
    <n v="407000"/>
    <x v="1078"/>
    <n v="3"/>
    <x v="0"/>
    <n v="138"/>
    <x v="0"/>
  </r>
  <r>
    <n v="2106"/>
    <x v="18"/>
    <x v="0"/>
    <x v="3"/>
    <s v="Q3"/>
    <x v="199"/>
    <n v="3"/>
    <n v="3"/>
    <n v="520000"/>
    <x v="1079"/>
    <n v="10"/>
    <x v="1"/>
    <n v="120"/>
    <x v="1"/>
  </r>
  <r>
    <n v="2107"/>
    <x v="8"/>
    <x v="0"/>
    <x v="0"/>
    <s v="Q1"/>
    <x v="42"/>
    <n v="3"/>
    <n v="3"/>
    <n v="558000"/>
    <x v="1080"/>
    <n v="5"/>
    <x v="0"/>
    <n v="144"/>
    <x v="0"/>
  </r>
  <r>
    <n v="2108"/>
    <x v="3"/>
    <x v="2"/>
    <x v="0"/>
    <s v="Q1"/>
    <x v="281"/>
    <n v="5"/>
    <n v="5"/>
    <n v="1079000"/>
    <x v="1081"/>
    <n v="10"/>
    <x v="2"/>
    <n v="107"/>
    <x v="2"/>
  </r>
  <r>
    <n v="2109"/>
    <x v="1"/>
    <x v="1"/>
    <x v="3"/>
    <s v="Q4"/>
    <x v="119"/>
    <n v="4"/>
    <n v="4"/>
    <n v="1347000"/>
    <x v="1082"/>
    <n v="0"/>
    <x v="0"/>
    <n v="50"/>
    <x v="1"/>
  </r>
  <r>
    <n v="2110"/>
    <x v="4"/>
    <x v="2"/>
    <x v="0"/>
    <s v="Q1"/>
    <x v="222"/>
    <n v="4"/>
    <n v="4"/>
    <n v="1729000"/>
    <x v="1083"/>
    <n v="20"/>
    <x v="0"/>
    <n v="149"/>
    <x v="2"/>
  </r>
  <r>
    <n v="2111"/>
    <x v="16"/>
    <x v="2"/>
    <x v="1"/>
    <s v="Q1"/>
    <x v="394"/>
    <n v="5"/>
    <n v="5"/>
    <n v="3072000"/>
    <x v="1084"/>
    <n v="5"/>
    <x v="0"/>
    <n v="101"/>
    <x v="1"/>
  </r>
  <r>
    <n v="2112"/>
    <x v="15"/>
    <x v="1"/>
    <x v="1"/>
    <s v="Q1"/>
    <x v="429"/>
    <n v="4"/>
    <n v="4"/>
    <n v="1248000"/>
    <x v="882"/>
    <n v="15"/>
    <x v="1"/>
    <n v="85"/>
    <x v="0"/>
  </r>
  <r>
    <n v="2113"/>
    <x v="19"/>
    <x v="0"/>
    <x v="1"/>
    <s v="Q3"/>
    <x v="165"/>
    <n v="3"/>
    <n v="3"/>
    <n v="431000"/>
    <x v="1085"/>
    <n v="7"/>
    <x v="0"/>
    <n v="146"/>
    <x v="2"/>
  </r>
  <r>
    <n v="2114"/>
    <x v="1"/>
    <x v="4"/>
    <x v="2"/>
    <s v="Q3"/>
    <x v="132"/>
    <n v="0"/>
    <n v="1"/>
    <n v="227000"/>
    <x v="867"/>
    <n v="15"/>
    <x v="0"/>
    <n v="97"/>
    <x v="1"/>
  </r>
  <r>
    <n v="2115"/>
    <x v="15"/>
    <x v="2"/>
    <x v="2"/>
    <s v="Q1"/>
    <x v="191"/>
    <n v="5"/>
    <n v="5"/>
    <n v="2119000"/>
    <x v="1086"/>
    <n v="15"/>
    <x v="1"/>
    <n v="167"/>
    <x v="0"/>
  </r>
  <r>
    <n v="2116"/>
    <x v="3"/>
    <x v="1"/>
    <x v="1"/>
    <s v="Q1"/>
    <x v="148"/>
    <n v="4"/>
    <n v="4"/>
    <n v="815000"/>
    <x v="1087"/>
    <n v="15"/>
    <x v="2"/>
    <n v="28"/>
    <x v="2"/>
  </r>
  <r>
    <n v="2117"/>
    <x v="6"/>
    <x v="0"/>
    <x v="0"/>
    <s v="Q4"/>
    <x v="161"/>
    <n v="4"/>
    <n v="4"/>
    <n v="409000"/>
    <x v="1088"/>
    <n v="2"/>
    <x v="0"/>
    <n v="71"/>
    <x v="0"/>
  </r>
  <r>
    <n v="2118"/>
    <x v="12"/>
    <x v="0"/>
    <x v="3"/>
    <s v="Q2"/>
    <x v="31"/>
    <n v="3"/>
    <n v="3"/>
    <n v="866000"/>
    <x v="1089"/>
    <n v="3"/>
    <x v="0"/>
    <n v="139"/>
    <x v="1"/>
  </r>
  <r>
    <n v="2119"/>
    <x v="7"/>
    <x v="3"/>
    <x v="1"/>
    <s v="Q2"/>
    <x v="51"/>
    <n v="3"/>
    <n v="3"/>
    <n v="358000"/>
    <x v="1090"/>
    <n v="0"/>
    <x v="0"/>
    <n v="171"/>
    <x v="2"/>
  </r>
  <r>
    <n v="2120"/>
    <x v="1"/>
    <x v="1"/>
    <x v="0"/>
    <s v="Q1"/>
    <x v="193"/>
    <n v="4"/>
    <n v="4"/>
    <n v="1118000"/>
    <x v="1091"/>
    <n v="1"/>
    <x v="0"/>
    <n v="77"/>
    <x v="1"/>
  </r>
  <r>
    <n v="2121"/>
    <x v="8"/>
    <x v="0"/>
    <x v="1"/>
    <s v="Q3"/>
    <x v="225"/>
    <n v="2"/>
    <n v="2"/>
    <n v="465000"/>
    <x v="1092"/>
    <n v="15"/>
    <x v="0"/>
    <n v="80"/>
    <x v="0"/>
  </r>
  <r>
    <n v="2122"/>
    <x v="11"/>
    <x v="0"/>
    <x v="3"/>
    <s v="Q4"/>
    <x v="169"/>
    <n v="4"/>
    <n v="4"/>
    <n v="445000"/>
    <x v="1093"/>
    <n v="5"/>
    <x v="1"/>
    <n v="175"/>
    <x v="0"/>
  </r>
  <r>
    <n v="2123"/>
    <x v="9"/>
    <x v="4"/>
    <x v="2"/>
    <s v="Q2"/>
    <x v="304"/>
    <n v="0"/>
    <n v="1"/>
    <n v="282000"/>
    <x v="513"/>
    <n v="5"/>
    <x v="0"/>
    <n v="58"/>
    <x v="2"/>
  </r>
  <r>
    <n v="2124"/>
    <x v="11"/>
    <x v="0"/>
    <x v="2"/>
    <s v="Q3"/>
    <x v="208"/>
    <n v="4"/>
    <n v="4"/>
    <n v="365000"/>
    <x v="1094"/>
    <n v="0"/>
    <x v="0"/>
    <n v="76"/>
    <x v="0"/>
  </r>
  <r>
    <n v="2125"/>
    <x v="0"/>
    <x v="0"/>
    <x v="0"/>
    <s v="Q1"/>
    <x v="120"/>
    <n v="4"/>
    <n v="4"/>
    <n v="715000"/>
    <x v="1095"/>
    <n v="0"/>
    <x v="0"/>
    <n v="71"/>
    <x v="0"/>
  </r>
  <r>
    <n v="2126"/>
    <x v="14"/>
    <x v="0"/>
    <x v="0"/>
    <s v="Q3"/>
    <x v="51"/>
    <n v="2"/>
    <n v="2"/>
    <n v="741000"/>
    <x v="1096"/>
    <n v="5"/>
    <x v="1"/>
    <n v="29"/>
    <x v="2"/>
  </r>
  <r>
    <n v="2127"/>
    <x v="14"/>
    <x v="1"/>
    <x v="2"/>
    <s v="Q2"/>
    <x v="106"/>
    <n v="4"/>
    <n v="4"/>
    <n v="1245000"/>
    <x v="1042"/>
    <n v="3"/>
    <x v="1"/>
    <n v="94"/>
    <x v="2"/>
  </r>
  <r>
    <n v="2128"/>
    <x v="16"/>
    <x v="1"/>
    <x v="1"/>
    <s v="Q3"/>
    <x v="381"/>
    <n v="4"/>
    <n v="4"/>
    <n v="1467000"/>
    <x v="1097"/>
    <n v="1"/>
    <x v="0"/>
    <n v="68"/>
    <x v="1"/>
  </r>
  <r>
    <n v="2129"/>
    <x v="8"/>
    <x v="2"/>
    <x v="2"/>
    <s v="Q1"/>
    <x v="186"/>
    <n v="6"/>
    <n v="6"/>
    <n v="2068000"/>
    <x v="1098"/>
    <n v="10"/>
    <x v="1"/>
    <n v="74"/>
    <x v="0"/>
  </r>
  <r>
    <n v="2130"/>
    <x v="5"/>
    <x v="0"/>
    <x v="1"/>
    <s v="Q2"/>
    <x v="151"/>
    <n v="2"/>
    <n v="2"/>
    <n v="461000"/>
    <x v="1099"/>
    <n v="0"/>
    <x v="2"/>
    <n v="21"/>
    <x v="1"/>
  </r>
  <r>
    <n v="2131"/>
    <x v="14"/>
    <x v="2"/>
    <x v="3"/>
    <s v="Q4"/>
    <x v="424"/>
    <n v="5"/>
    <n v="5"/>
    <n v="3553000"/>
    <x v="1100"/>
    <n v="4"/>
    <x v="2"/>
    <n v="24"/>
    <x v="2"/>
  </r>
  <r>
    <n v="2132"/>
    <x v="5"/>
    <x v="0"/>
    <x v="2"/>
    <s v="Q4"/>
    <x v="199"/>
    <n v="4"/>
    <n v="4"/>
    <n v="359000"/>
    <x v="1101"/>
    <n v="4"/>
    <x v="2"/>
    <n v="26"/>
    <x v="1"/>
  </r>
  <r>
    <n v="2133"/>
    <x v="10"/>
    <x v="1"/>
    <x v="3"/>
    <s v="Q3"/>
    <x v="105"/>
    <n v="4"/>
    <n v="4"/>
    <n v="1655000"/>
    <x v="1102"/>
    <n v="1"/>
    <x v="0"/>
    <n v="60"/>
    <x v="1"/>
  </r>
  <r>
    <n v="2134"/>
    <x v="19"/>
    <x v="1"/>
    <x v="0"/>
    <s v="Q2"/>
    <x v="224"/>
    <n v="5"/>
    <n v="5"/>
    <n v="979000"/>
    <x v="1103"/>
    <n v="0"/>
    <x v="0"/>
    <n v="154"/>
    <x v="2"/>
  </r>
  <r>
    <n v="2135"/>
    <x v="18"/>
    <x v="2"/>
    <x v="1"/>
    <s v="Q2"/>
    <x v="90"/>
    <n v="4"/>
    <n v="4"/>
    <n v="1482000"/>
    <x v="1104"/>
    <n v="1"/>
    <x v="0"/>
    <n v="103"/>
    <x v="1"/>
  </r>
  <r>
    <n v="2136"/>
    <x v="14"/>
    <x v="4"/>
    <x v="1"/>
    <s v="Q4"/>
    <x v="143"/>
    <n v="0"/>
    <n v="1"/>
    <n v="264000"/>
    <x v="1105"/>
    <n v="1"/>
    <x v="0"/>
    <n v="135"/>
    <x v="2"/>
  </r>
  <r>
    <n v="2137"/>
    <x v="9"/>
    <x v="3"/>
    <x v="0"/>
    <s v="Q2"/>
    <x v="351"/>
    <n v="5"/>
    <n v="5"/>
    <n v="1187000"/>
    <x v="274"/>
    <n v="3"/>
    <x v="1"/>
    <n v="155"/>
    <x v="2"/>
  </r>
  <r>
    <n v="2138"/>
    <x v="9"/>
    <x v="0"/>
    <x v="0"/>
    <s v="Q4"/>
    <x v="430"/>
    <n v="2"/>
    <n v="2"/>
    <n v="356000"/>
    <x v="1106"/>
    <n v="20"/>
    <x v="2"/>
    <n v="22"/>
    <x v="2"/>
  </r>
  <r>
    <n v="2139"/>
    <x v="15"/>
    <x v="0"/>
    <x v="0"/>
    <s v="Q3"/>
    <x v="22"/>
    <n v="4"/>
    <n v="4"/>
    <n v="486000"/>
    <x v="1107"/>
    <n v="1"/>
    <x v="2"/>
    <n v="160"/>
    <x v="0"/>
  </r>
  <r>
    <n v="2140"/>
    <x v="9"/>
    <x v="0"/>
    <x v="1"/>
    <s v="Q1"/>
    <x v="109"/>
    <n v="3"/>
    <n v="3"/>
    <n v="613000"/>
    <x v="1108"/>
    <n v="15"/>
    <x v="0"/>
    <n v="145"/>
    <x v="2"/>
  </r>
  <r>
    <n v="2141"/>
    <x v="4"/>
    <x v="2"/>
    <x v="1"/>
    <s v="Q3"/>
    <x v="33"/>
    <n v="5"/>
    <n v="5"/>
    <n v="1974000"/>
    <x v="1109"/>
    <n v="7"/>
    <x v="0"/>
    <n v="152"/>
    <x v="2"/>
  </r>
  <r>
    <n v="2142"/>
    <x v="16"/>
    <x v="2"/>
    <x v="3"/>
    <s v="Q2"/>
    <x v="100"/>
    <n v="6"/>
    <n v="6"/>
    <n v="1856000"/>
    <x v="1110"/>
    <n v="3"/>
    <x v="0"/>
    <n v="76"/>
    <x v="1"/>
  </r>
  <r>
    <n v="2143"/>
    <x v="14"/>
    <x v="2"/>
    <x v="1"/>
    <s v="Q3"/>
    <x v="325"/>
    <n v="5"/>
    <n v="5"/>
    <n v="2142000"/>
    <x v="1111"/>
    <n v="5"/>
    <x v="0"/>
    <n v="167"/>
    <x v="2"/>
  </r>
  <r>
    <n v="2144"/>
    <x v="3"/>
    <x v="2"/>
    <x v="2"/>
    <s v="Q1"/>
    <x v="431"/>
    <n v="5"/>
    <n v="5"/>
    <n v="1622000"/>
    <x v="1112"/>
    <n v="15"/>
    <x v="2"/>
    <n v="146"/>
    <x v="2"/>
  </r>
  <r>
    <n v="2145"/>
    <x v="17"/>
    <x v="0"/>
    <x v="1"/>
    <s v="Q4"/>
    <x v="267"/>
    <n v="4"/>
    <n v="4"/>
    <n v="442000"/>
    <x v="1113"/>
    <n v="0"/>
    <x v="2"/>
    <n v="50"/>
    <x v="0"/>
  </r>
  <r>
    <n v="2146"/>
    <x v="18"/>
    <x v="0"/>
    <x v="1"/>
    <s v="Q2"/>
    <x v="93"/>
    <n v="4"/>
    <n v="4"/>
    <n v="514000"/>
    <x v="1114"/>
    <n v="0"/>
    <x v="1"/>
    <n v="57"/>
    <x v="1"/>
  </r>
  <r>
    <n v="2147"/>
    <x v="0"/>
    <x v="1"/>
    <x v="3"/>
    <s v="Q2"/>
    <x v="76"/>
    <n v="4"/>
    <n v="4"/>
    <n v="1072000"/>
    <x v="1115"/>
    <n v="10"/>
    <x v="0"/>
    <n v="13"/>
    <x v="0"/>
  </r>
  <r>
    <n v="2148"/>
    <x v="6"/>
    <x v="4"/>
    <x v="2"/>
    <s v="Q4"/>
    <x v="287"/>
    <n v="0"/>
    <n v="1"/>
    <n v="215000"/>
    <x v="1116"/>
    <n v="5"/>
    <x v="2"/>
    <n v="125"/>
    <x v="0"/>
  </r>
  <r>
    <n v="2149"/>
    <x v="14"/>
    <x v="1"/>
    <x v="1"/>
    <s v="Q1"/>
    <x v="432"/>
    <n v="4"/>
    <n v="4"/>
    <n v="1088000"/>
    <x v="1117"/>
    <n v="4"/>
    <x v="0"/>
    <n v="78"/>
    <x v="2"/>
  </r>
  <r>
    <n v="2150"/>
    <x v="1"/>
    <x v="2"/>
    <x v="0"/>
    <s v="Q3"/>
    <x v="229"/>
    <n v="6"/>
    <n v="6"/>
    <n v="911000"/>
    <x v="1118"/>
    <n v="15"/>
    <x v="2"/>
    <n v="15"/>
    <x v="1"/>
  </r>
  <r>
    <n v="2151"/>
    <x v="0"/>
    <x v="1"/>
    <x v="3"/>
    <s v="Q2"/>
    <x v="266"/>
    <n v="4"/>
    <n v="4"/>
    <n v="1426000"/>
    <x v="1119"/>
    <n v="1"/>
    <x v="2"/>
    <n v="149"/>
    <x v="0"/>
  </r>
  <r>
    <n v="2152"/>
    <x v="14"/>
    <x v="2"/>
    <x v="3"/>
    <s v="Q4"/>
    <x v="417"/>
    <n v="4"/>
    <n v="4"/>
    <n v="2975000"/>
    <x v="1120"/>
    <n v="0"/>
    <x v="2"/>
    <n v="43"/>
    <x v="2"/>
  </r>
  <r>
    <n v="2153"/>
    <x v="7"/>
    <x v="1"/>
    <x v="3"/>
    <s v="Q4"/>
    <x v="47"/>
    <n v="4"/>
    <n v="4"/>
    <n v="888000"/>
    <x v="1121"/>
    <n v="5"/>
    <x v="0"/>
    <n v="170"/>
    <x v="2"/>
  </r>
  <r>
    <n v="2154"/>
    <x v="13"/>
    <x v="1"/>
    <x v="2"/>
    <s v="Q2"/>
    <x v="110"/>
    <n v="3"/>
    <n v="3"/>
    <n v="1435000"/>
    <x v="1122"/>
    <n v="2"/>
    <x v="0"/>
    <n v="6"/>
    <x v="1"/>
  </r>
  <r>
    <n v="2155"/>
    <x v="19"/>
    <x v="4"/>
    <x v="0"/>
    <s v="Q3"/>
    <x v="132"/>
    <n v="0"/>
    <n v="1"/>
    <n v="247000"/>
    <x v="1104"/>
    <n v="3"/>
    <x v="1"/>
    <n v="83"/>
    <x v="2"/>
  </r>
  <r>
    <n v="2156"/>
    <x v="8"/>
    <x v="1"/>
    <x v="1"/>
    <s v="Q2"/>
    <x v="226"/>
    <n v="5"/>
    <n v="5"/>
    <n v="1144000"/>
    <x v="1123"/>
    <n v="15"/>
    <x v="2"/>
    <n v="61"/>
    <x v="0"/>
  </r>
  <r>
    <n v="2157"/>
    <x v="3"/>
    <x v="2"/>
    <x v="1"/>
    <s v="Q3"/>
    <x v="286"/>
    <n v="4"/>
    <n v="4"/>
    <n v="1406000"/>
    <x v="1124"/>
    <n v="3"/>
    <x v="0"/>
    <n v="116"/>
    <x v="2"/>
  </r>
  <r>
    <n v="2158"/>
    <x v="18"/>
    <x v="0"/>
    <x v="3"/>
    <s v="Q3"/>
    <x v="52"/>
    <n v="3"/>
    <n v="3"/>
    <n v="423000"/>
    <x v="1125"/>
    <n v="20"/>
    <x v="0"/>
    <n v="21"/>
    <x v="1"/>
  </r>
  <r>
    <n v="2159"/>
    <x v="7"/>
    <x v="0"/>
    <x v="0"/>
    <s v="Q2"/>
    <x v="225"/>
    <n v="4"/>
    <n v="4"/>
    <n v="335000"/>
    <x v="1126"/>
    <n v="0"/>
    <x v="0"/>
    <n v="158"/>
    <x v="2"/>
  </r>
  <r>
    <n v="2160"/>
    <x v="18"/>
    <x v="4"/>
    <x v="1"/>
    <s v="Q3"/>
    <x v="143"/>
    <n v="0"/>
    <n v="1"/>
    <n v="166000"/>
    <x v="1127"/>
    <n v="0"/>
    <x v="2"/>
    <n v="147"/>
    <x v="1"/>
  </r>
  <r>
    <n v="2161"/>
    <x v="15"/>
    <x v="2"/>
    <x v="2"/>
    <s v="Q3"/>
    <x v="433"/>
    <n v="4"/>
    <n v="4"/>
    <n v="2138000"/>
    <x v="1128"/>
    <n v="5"/>
    <x v="0"/>
    <n v="50"/>
    <x v="0"/>
  </r>
  <r>
    <n v="2162"/>
    <x v="14"/>
    <x v="0"/>
    <x v="1"/>
    <s v="Q2"/>
    <x v="228"/>
    <n v="3"/>
    <n v="3"/>
    <n v="579000"/>
    <x v="1129"/>
    <n v="0"/>
    <x v="1"/>
    <n v="4"/>
    <x v="2"/>
  </r>
  <r>
    <n v="2163"/>
    <x v="3"/>
    <x v="2"/>
    <x v="3"/>
    <s v="Q4"/>
    <x v="434"/>
    <n v="5"/>
    <n v="5"/>
    <n v="1694000"/>
    <x v="1130"/>
    <n v="5"/>
    <x v="0"/>
    <n v="160"/>
    <x v="2"/>
  </r>
  <r>
    <n v="2164"/>
    <x v="18"/>
    <x v="1"/>
    <x v="0"/>
    <s v="Q3"/>
    <x v="136"/>
    <n v="4"/>
    <n v="4"/>
    <n v="1150000"/>
    <x v="1131"/>
    <n v="2"/>
    <x v="0"/>
    <n v="173"/>
    <x v="1"/>
  </r>
  <r>
    <n v="2165"/>
    <x v="16"/>
    <x v="0"/>
    <x v="1"/>
    <s v="Q2"/>
    <x v="94"/>
    <n v="2"/>
    <n v="2"/>
    <n v="425000"/>
    <x v="322"/>
    <n v="10"/>
    <x v="0"/>
    <n v="130"/>
    <x v="1"/>
  </r>
  <r>
    <n v="2166"/>
    <x v="5"/>
    <x v="4"/>
    <x v="1"/>
    <s v="Q4"/>
    <x v="330"/>
    <n v="0"/>
    <n v="1"/>
    <n v="155000"/>
    <x v="1132"/>
    <n v="3"/>
    <x v="0"/>
    <n v="12"/>
    <x v="1"/>
  </r>
  <r>
    <n v="2167"/>
    <x v="2"/>
    <x v="0"/>
    <x v="3"/>
    <s v="Q1"/>
    <x v="34"/>
    <n v="3"/>
    <n v="3"/>
    <n v="460000"/>
    <x v="1133"/>
    <n v="7"/>
    <x v="1"/>
    <n v="130"/>
    <x v="0"/>
  </r>
  <r>
    <n v="2168"/>
    <x v="7"/>
    <x v="0"/>
    <x v="2"/>
    <s v="Q4"/>
    <x v="55"/>
    <n v="4"/>
    <n v="4"/>
    <n v="351000"/>
    <x v="1134"/>
    <n v="7"/>
    <x v="0"/>
    <n v="126"/>
    <x v="2"/>
  </r>
  <r>
    <n v="2169"/>
    <x v="15"/>
    <x v="0"/>
    <x v="3"/>
    <s v="Q2"/>
    <x v="22"/>
    <n v="3"/>
    <n v="3"/>
    <n v="549000"/>
    <x v="1135"/>
    <n v="10"/>
    <x v="0"/>
    <n v="140"/>
    <x v="0"/>
  </r>
  <r>
    <n v="2170"/>
    <x v="10"/>
    <x v="2"/>
    <x v="3"/>
    <s v="Q2"/>
    <x v="292"/>
    <n v="5"/>
    <n v="5"/>
    <n v="2716000"/>
    <x v="1136"/>
    <n v="0"/>
    <x v="2"/>
    <n v="132"/>
    <x v="1"/>
  </r>
  <r>
    <n v="2171"/>
    <x v="6"/>
    <x v="0"/>
    <x v="3"/>
    <s v="Q4"/>
    <x v="25"/>
    <n v="4"/>
    <n v="4"/>
    <n v="457000"/>
    <x v="1137"/>
    <n v="15"/>
    <x v="1"/>
    <n v="57"/>
    <x v="0"/>
  </r>
  <r>
    <n v="2172"/>
    <x v="2"/>
    <x v="1"/>
    <x v="0"/>
    <s v="Q4"/>
    <x v="279"/>
    <n v="4"/>
    <n v="4"/>
    <n v="705000"/>
    <x v="1138"/>
    <n v="1"/>
    <x v="0"/>
    <n v="117"/>
    <x v="0"/>
  </r>
  <r>
    <n v="2173"/>
    <x v="10"/>
    <x v="0"/>
    <x v="2"/>
    <s v="Q3"/>
    <x v="1"/>
    <n v="2"/>
    <n v="2"/>
    <n v="498000"/>
    <x v="1127"/>
    <n v="3"/>
    <x v="1"/>
    <n v="174"/>
    <x v="1"/>
  </r>
  <r>
    <n v="2174"/>
    <x v="9"/>
    <x v="0"/>
    <x v="0"/>
    <s v="Q4"/>
    <x v="51"/>
    <n v="3"/>
    <n v="3"/>
    <n v="811000"/>
    <x v="1139"/>
    <n v="20"/>
    <x v="1"/>
    <n v="112"/>
    <x v="2"/>
  </r>
  <r>
    <n v="2175"/>
    <x v="2"/>
    <x v="2"/>
    <x v="0"/>
    <s v="Q1"/>
    <x v="181"/>
    <n v="5"/>
    <n v="5"/>
    <n v="3065000"/>
    <x v="1140"/>
    <n v="7"/>
    <x v="2"/>
    <n v="32"/>
    <x v="0"/>
  </r>
  <r>
    <n v="2176"/>
    <x v="16"/>
    <x v="4"/>
    <x v="3"/>
    <s v="Q1"/>
    <x v="273"/>
    <n v="0"/>
    <n v="1"/>
    <n v="313000"/>
    <x v="451"/>
    <n v="0"/>
    <x v="0"/>
    <n v="107"/>
    <x v="1"/>
  </r>
  <r>
    <n v="2177"/>
    <x v="2"/>
    <x v="4"/>
    <x v="3"/>
    <s v="Q2"/>
    <x v="24"/>
    <n v="0"/>
    <n v="1"/>
    <n v="278000"/>
    <x v="1141"/>
    <n v="5"/>
    <x v="0"/>
    <n v="81"/>
    <x v="0"/>
  </r>
  <r>
    <n v="2178"/>
    <x v="0"/>
    <x v="1"/>
    <x v="2"/>
    <s v="Q3"/>
    <x v="435"/>
    <n v="4"/>
    <n v="4"/>
    <n v="1126000"/>
    <x v="1142"/>
    <n v="20"/>
    <x v="0"/>
    <n v="143"/>
    <x v="0"/>
  </r>
  <r>
    <n v="2179"/>
    <x v="1"/>
    <x v="0"/>
    <x v="3"/>
    <s v="Q1"/>
    <x v="294"/>
    <n v="2"/>
    <n v="2"/>
    <n v="623000"/>
    <x v="1143"/>
    <n v="7"/>
    <x v="1"/>
    <n v="25"/>
    <x v="1"/>
  </r>
  <r>
    <n v="2180"/>
    <x v="11"/>
    <x v="0"/>
    <x v="3"/>
    <s v="Q4"/>
    <x v="17"/>
    <n v="4"/>
    <n v="4"/>
    <n v="541000"/>
    <x v="1144"/>
    <n v="0"/>
    <x v="1"/>
    <n v="102"/>
    <x v="0"/>
  </r>
  <r>
    <n v="2181"/>
    <x v="3"/>
    <x v="0"/>
    <x v="3"/>
    <s v="Q3"/>
    <x v="31"/>
    <n v="2"/>
    <n v="2"/>
    <n v="454000"/>
    <x v="1145"/>
    <n v="2"/>
    <x v="0"/>
    <n v="163"/>
    <x v="2"/>
  </r>
  <r>
    <n v="2182"/>
    <x v="5"/>
    <x v="0"/>
    <x v="0"/>
    <s v="Q1"/>
    <x v="295"/>
    <n v="2"/>
    <n v="2"/>
    <n v="361000"/>
    <x v="1146"/>
    <n v="1"/>
    <x v="2"/>
    <n v="10"/>
    <x v="1"/>
  </r>
  <r>
    <n v="2183"/>
    <x v="13"/>
    <x v="1"/>
    <x v="1"/>
    <s v="Q3"/>
    <x v="345"/>
    <n v="4"/>
    <n v="4"/>
    <n v="1028000"/>
    <x v="1147"/>
    <n v="20"/>
    <x v="2"/>
    <n v="129"/>
    <x v="1"/>
  </r>
  <r>
    <n v="2184"/>
    <x v="10"/>
    <x v="1"/>
    <x v="3"/>
    <s v="Q2"/>
    <x v="436"/>
    <n v="3"/>
    <n v="3"/>
    <n v="1342000"/>
    <x v="1148"/>
    <n v="15"/>
    <x v="1"/>
    <n v="53"/>
    <x v="1"/>
  </r>
  <r>
    <n v="2185"/>
    <x v="17"/>
    <x v="1"/>
    <x v="0"/>
    <s v="Q2"/>
    <x v="212"/>
    <n v="4"/>
    <n v="4"/>
    <n v="1509000"/>
    <x v="1149"/>
    <n v="0"/>
    <x v="1"/>
    <n v="45"/>
    <x v="0"/>
  </r>
  <r>
    <n v="2186"/>
    <x v="8"/>
    <x v="4"/>
    <x v="3"/>
    <s v="Q3"/>
    <x v="184"/>
    <n v="0"/>
    <n v="1"/>
    <n v="311000"/>
    <x v="1150"/>
    <n v="0"/>
    <x v="2"/>
    <n v="68"/>
    <x v="0"/>
  </r>
  <r>
    <n v="2187"/>
    <x v="11"/>
    <x v="4"/>
    <x v="3"/>
    <s v="Q3"/>
    <x v="398"/>
    <n v="0"/>
    <n v="1"/>
    <n v="232000"/>
    <x v="986"/>
    <n v="10"/>
    <x v="1"/>
    <n v="125"/>
    <x v="0"/>
  </r>
  <r>
    <n v="2188"/>
    <x v="10"/>
    <x v="2"/>
    <x v="2"/>
    <s v="Q2"/>
    <x v="425"/>
    <n v="5"/>
    <n v="5"/>
    <n v="2506000"/>
    <x v="1151"/>
    <n v="2"/>
    <x v="2"/>
    <n v="47"/>
    <x v="1"/>
  </r>
  <r>
    <n v="2189"/>
    <x v="18"/>
    <x v="0"/>
    <x v="0"/>
    <s v="Q3"/>
    <x v="18"/>
    <n v="3"/>
    <n v="3"/>
    <n v="344000"/>
    <x v="1152"/>
    <n v="15"/>
    <x v="2"/>
    <n v="172"/>
    <x v="1"/>
  </r>
  <r>
    <n v="2190"/>
    <x v="5"/>
    <x v="4"/>
    <x v="1"/>
    <s v="Q2"/>
    <x v="304"/>
    <n v="0"/>
    <n v="1"/>
    <n v="215000"/>
    <x v="1153"/>
    <n v="0"/>
    <x v="1"/>
    <n v="70"/>
    <x v="1"/>
  </r>
  <r>
    <n v="2191"/>
    <x v="10"/>
    <x v="1"/>
    <x v="2"/>
    <s v="Q2"/>
    <x v="437"/>
    <n v="4"/>
    <n v="4"/>
    <n v="913000"/>
    <x v="1154"/>
    <n v="0"/>
    <x v="0"/>
    <n v="8"/>
    <x v="1"/>
  </r>
  <r>
    <n v="2192"/>
    <x v="9"/>
    <x v="1"/>
    <x v="1"/>
    <s v="Q2"/>
    <x v="438"/>
    <n v="3"/>
    <n v="3"/>
    <n v="1072000"/>
    <x v="1155"/>
    <n v="2"/>
    <x v="2"/>
    <n v="166"/>
    <x v="2"/>
  </r>
  <r>
    <n v="2193"/>
    <x v="4"/>
    <x v="2"/>
    <x v="2"/>
    <s v="Q4"/>
    <x v="129"/>
    <n v="5"/>
    <n v="5"/>
    <n v="2079000"/>
    <x v="1156"/>
    <n v="0"/>
    <x v="1"/>
    <n v="35"/>
    <x v="2"/>
  </r>
  <r>
    <n v="2194"/>
    <x v="19"/>
    <x v="0"/>
    <x v="3"/>
    <s v="Q1"/>
    <x v="228"/>
    <n v="3"/>
    <n v="3"/>
    <n v="437000"/>
    <x v="1157"/>
    <n v="5"/>
    <x v="0"/>
    <n v="21"/>
    <x v="2"/>
  </r>
  <r>
    <n v="2195"/>
    <x v="10"/>
    <x v="2"/>
    <x v="2"/>
    <s v="Q2"/>
    <x v="439"/>
    <n v="4"/>
    <n v="4"/>
    <n v="2260000"/>
    <x v="1158"/>
    <n v="15"/>
    <x v="0"/>
    <n v="2"/>
    <x v="1"/>
  </r>
  <r>
    <n v="2196"/>
    <x v="12"/>
    <x v="2"/>
    <x v="3"/>
    <s v="Q1"/>
    <x v="440"/>
    <n v="4"/>
    <n v="4"/>
    <n v="3225000"/>
    <x v="1159"/>
    <n v="7"/>
    <x v="2"/>
    <n v="169"/>
    <x v="1"/>
  </r>
  <r>
    <n v="2197"/>
    <x v="18"/>
    <x v="0"/>
    <x v="3"/>
    <s v="Q4"/>
    <x v="230"/>
    <n v="3"/>
    <n v="3"/>
    <n v="405000"/>
    <x v="1160"/>
    <n v="20"/>
    <x v="0"/>
    <n v="87"/>
    <x v="1"/>
  </r>
  <r>
    <n v="2198"/>
    <x v="16"/>
    <x v="2"/>
    <x v="0"/>
    <s v="Q2"/>
    <x v="318"/>
    <n v="5"/>
    <n v="5"/>
    <n v="2525000"/>
    <x v="1161"/>
    <n v="20"/>
    <x v="2"/>
    <n v="67"/>
    <x v="1"/>
  </r>
  <r>
    <n v="2199"/>
    <x v="12"/>
    <x v="2"/>
    <x v="0"/>
    <s v="Q2"/>
    <x v="58"/>
    <n v="6"/>
    <n v="6"/>
    <n v="2502000"/>
    <x v="1162"/>
    <n v="15"/>
    <x v="2"/>
    <n v="178"/>
    <x v="1"/>
  </r>
  <r>
    <m/>
    <x v="20"/>
    <x v="5"/>
    <x v="4"/>
    <m/>
    <x v="441"/>
    <m/>
    <m/>
    <m/>
    <x v="1163"/>
    <m/>
    <x v="3"/>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7F2B12-3BD0-EB45-ACCB-85BF034467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4">
    <pivotField showAll="0"/>
    <pivotField showAll="0">
      <items count="22">
        <item x="9"/>
        <item x="15"/>
        <item x="7"/>
        <item x="3"/>
        <item x="18"/>
        <item x="5"/>
        <item x="1"/>
        <item x="4"/>
        <item x="0"/>
        <item x="8"/>
        <item x="12"/>
        <item x="17"/>
        <item x="14"/>
        <item x="6"/>
        <item x="10"/>
        <item x="11"/>
        <item x="13"/>
        <item x="16"/>
        <item x="2"/>
        <item x="19"/>
        <item x="20"/>
        <item t="default"/>
      </items>
    </pivotField>
    <pivotField showAll="0">
      <items count="7">
        <item x="0"/>
        <item x="1"/>
        <item x="3"/>
        <item x="4"/>
        <item x="2"/>
        <item x="5"/>
        <item t="default"/>
      </items>
    </pivotField>
    <pivotField axis="axisRow" showAll="0">
      <items count="6">
        <item x="2"/>
        <item x="1"/>
        <item x="0"/>
        <item x="3"/>
        <item x="4"/>
        <item t="default"/>
      </items>
    </pivotField>
    <pivotField showAll="0"/>
    <pivotField showAll="0"/>
    <pivotField showAll="0"/>
    <pivotField showAll="0"/>
    <pivotField dataField="1" showAll="0"/>
    <pivotField showAll="0"/>
    <pivotField showAll="0"/>
    <pivotField showAll="0">
      <items count="5">
        <item x="1"/>
        <item x="2"/>
        <item x="0"/>
        <item x="3"/>
        <item t="default"/>
      </items>
    </pivotField>
    <pivotField showAll="0"/>
    <pivotField showAll="0">
      <items count="5">
        <item x="1"/>
        <item x="2"/>
        <item x="0"/>
        <item x="3"/>
        <item t="default"/>
      </items>
    </pivotField>
  </pivotFields>
  <rowFields count="1">
    <field x="3"/>
  </rowFields>
  <rowItems count="6">
    <i>
      <x/>
    </i>
    <i>
      <x v="1"/>
    </i>
    <i>
      <x v="2"/>
    </i>
    <i>
      <x v="3"/>
    </i>
    <i>
      <x v="4"/>
    </i>
    <i t="grand">
      <x/>
    </i>
  </rowItems>
  <colItems count="1">
    <i/>
  </colItems>
  <dataFields count="1">
    <dataField name="Sum of price_sar" fld="8" baseField="0" baseItem="0"/>
  </dataFields>
  <formats count="1">
    <format dxfId="1">
      <pivotArea collapsedLevelsAreSubtotals="1" fieldPosition="0">
        <references count="1">
          <reference field="3" count="4">
            <x v="0"/>
            <x v="1"/>
            <x v="2"/>
            <x v="3"/>
          </reference>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54BEF7-8D7F-154F-8AED-770ACB6773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4">
    <pivotField showAll="0"/>
    <pivotField showAll="0">
      <items count="22">
        <item x="9"/>
        <item x="15"/>
        <item x="7"/>
        <item x="3"/>
        <item x="18"/>
        <item x="5"/>
        <item x="1"/>
        <item x="4"/>
        <item x="0"/>
        <item x="8"/>
        <item x="12"/>
        <item x="17"/>
        <item x="14"/>
        <item x="6"/>
        <item x="10"/>
        <item x="11"/>
        <item x="13"/>
        <item x="16"/>
        <item x="2"/>
        <item x="19"/>
        <item x="20"/>
        <item t="default"/>
      </items>
    </pivotField>
    <pivotField axis="axisRow" showAll="0">
      <items count="7">
        <item x="0"/>
        <item x="1"/>
        <item x="3"/>
        <item x="4"/>
        <item x="2"/>
        <item x="5"/>
        <item t="default"/>
      </items>
    </pivotField>
    <pivotField showAll="0">
      <items count="6">
        <item x="2"/>
        <item x="1"/>
        <item x="0"/>
        <item x="3"/>
        <item x="4"/>
        <item t="default"/>
      </items>
    </pivotField>
    <pivotField showAll="0"/>
    <pivotField showAll="0"/>
    <pivotField showAll="0"/>
    <pivotField showAll="0"/>
    <pivotField dataField="1" showAll="0"/>
    <pivotField showAll="0"/>
    <pivotField showAll="0"/>
    <pivotField showAll="0">
      <items count="5">
        <item x="1"/>
        <item x="2"/>
        <item x="0"/>
        <item x="3"/>
        <item t="default"/>
      </items>
    </pivotField>
    <pivotField showAll="0"/>
    <pivotField showAll="0">
      <items count="5">
        <item x="1"/>
        <item x="2"/>
        <item x="0"/>
        <item x="3"/>
        <item t="default"/>
      </items>
    </pivotField>
  </pivotFields>
  <rowFields count="1">
    <field x="2"/>
  </rowFields>
  <rowItems count="7">
    <i>
      <x/>
    </i>
    <i>
      <x v="1"/>
    </i>
    <i>
      <x v="2"/>
    </i>
    <i>
      <x v="3"/>
    </i>
    <i>
      <x v="4"/>
    </i>
    <i>
      <x v="5"/>
    </i>
    <i t="grand">
      <x/>
    </i>
  </rowItems>
  <colItems count="1">
    <i/>
  </colItems>
  <dataFields count="1">
    <dataField name="Sum of price_sar" fld="8" baseField="0" baseItem="0"/>
  </dataFields>
  <formats count="1">
    <format dxfId="0">
      <pivotArea collapsedLevelsAreSubtotals="1" fieldPosition="0">
        <references count="1">
          <reference field="2" count="5">
            <x v="0"/>
            <x v="1"/>
            <x v="2"/>
            <x v="3"/>
            <x v="4"/>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800ED8-D5AE-0040-8AB5-2861B7D831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4">
    <pivotField showAll="0"/>
    <pivotField axis="axisRow" showAll="0" measureFilter="1" sortType="ascending">
      <items count="22">
        <item x="9"/>
        <item x="15"/>
        <item x="7"/>
        <item x="3"/>
        <item x="18"/>
        <item x="5"/>
        <item x="1"/>
        <item x="4"/>
        <item x="0"/>
        <item x="8"/>
        <item x="12"/>
        <item x="17"/>
        <item x="14"/>
        <item x="6"/>
        <item x="10"/>
        <item x="11"/>
        <item x="13"/>
        <item x="16"/>
        <item x="2"/>
        <item x="19"/>
        <item x="20"/>
        <item t="default"/>
      </items>
      <autoSortScope>
        <pivotArea dataOnly="0" outline="0" fieldPosition="0">
          <references count="1">
            <reference field="4294967294" count="1" selected="0">
              <x v="0"/>
            </reference>
          </references>
        </pivotArea>
      </autoSortScope>
    </pivotField>
    <pivotField showAll="0">
      <items count="7">
        <item x="0"/>
        <item x="1"/>
        <item x="3"/>
        <item x="4"/>
        <item x="2"/>
        <item x="5"/>
        <item t="default"/>
      </items>
    </pivotField>
    <pivotField showAll="0">
      <items count="6">
        <item x="2"/>
        <item x="1"/>
        <item x="0"/>
        <item x="3"/>
        <item x="4"/>
        <item t="default"/>
      </items>
    </pivotField>
    <pivotField showAll="0"/>
    <pivotField showAll="0"/>
    <pivotField showAll="0"/>
    <pivotField showAll="0"/>
    <pivotField dataField="1" showAll="0"/>
    <pivotField showAll="0"/>
    <pivotField showAll="0"/>
    <pivotField showAll="0">
      <items count="5">
        <item x="1"/>
        <item x="2"/>
        <item x="0"/>
        <item x="3"/>
        <item t="default"/>
      </items>
    </pivotField>
    <pivotField showAll="0"/>
    <pivotField showAll="0">
      <items count="5">
        <item x="1"/>
        <item x="2"/>
        <item x="0"/>
        <item x="3"/>
        <item t="default"/>
      </items>
    </pivotField>
  </pivotFields>
  <rowFields count="1">
    <field x="1"/>
  </rowFields>
  <rowItems count="11">
    <i>
      <x v="9"/>
    </i>
    <i>
      <x v="8"/>
    </i>
    <i>
      <x v="7"/>
    </i>
    <i>
      <x v="18"/>
    </i>
    <i>
      <x v="17"/>
    </i>
    <i>
      <x v="14"/>
    </i>
    <i>
      <x/>
    </i>
    <i>
      <x v="12"/>
    </i>
    <i>
      <x v="16"/>
    </i>
    <i>
      <x v="10"/>
    </i>
    <i t="grand">
      <x/>
    </i>
  </rowItems>
  <colItems count="1">
    <i/>
  </colItems>
  <dataFields count="1">
    <dataField name="Average of price_sar" fld="8" subtotal="average" baseField="0" baseItem="0" numFmtId="168"/>
  </dataFields>
  <chartFormats count="22">
    <chartFormat chart="0" format="30" series="1">
      <pivotArea type="data" outline="0" fieldPosition="0">
        <references count="1">
          <reference field="4294967294" count="1" selected="0">
            <x v="0"/>
          </reference>
        </references>
      </pivotArea>
    </chartFormat>
    <chartFormat chart="0" format="31">
      <pivotArea type="data" outline="0" fieldPosition="0">
        <references count="2">
          <reference field="4294967294" count="1" selected="0">
            <x v="0"/>
          </reference>
          <reference field="1" count="1" selected="0">
            <x v="9"/>
          </reference>
        </references>
      </pivotArea>
    </chartFormat>
    <chartFormat chart="0" format="32">
      <pivotArea type="data" outline="0" fieldPosition="0">
        <references count="2">
          <reference field="4294967294" count="1" selected="0">
            <x v="0"/>
          </reference>
          <reference field="1" count="1" selected="0">
            <x v="8"/>
          </reference>
        </references>
      </pivotArea>
    </chartFormat>
    <chartFormat chart="0" format="33">
      <pivotArea type="data" outline="0" fieldPosition="0">
        <references count="2">
          <reference field="4294967294" count="1" selected="0">
            <x v="0"/>
          </reference>
          <reference field="1" count="1" selected="0">
            <x v="7"/>
          </reference>
        </references>
      </pivotArea>
    </chartFormat>
    <chartFormat chart="0" format="34">
      <pivotArea type="data" outline="0" fieldPosition="0">
        <references count="2">
          <reference field="4294967294" count="1" selected="0">
            <x v="0"/>
          </reference>
          <reference field="1" count="1" selected="0">
            <x v="18"/>
          </reference>
        </references>
      </pivotArea>
    </chartFormat>
    <chartFormat chart="0" format="35">
      <pivotArea type="data" outline="0" fieldPosition="0">
        <references count="2">
          <reference field="4294967294" count="1" selected="0">
            <x v="0"/>
          </reference>
          <reference field="1" count="1" selected="0">
            <x v="14"/>
          </reference>
        </references>
      </pivotArea>
    </chartFormat>
    <chartFormat chart="0" format="36">
      <pivotArea type="data" outline="0" fieldPosition="0">
        <references count="2">
          <reference field="4294967294" count="1" selected="0">
            <x v="0"/>
          </reference>
          <reference field="1" count="1" selected="0">
            <x v="0"/>
          </reference>
        </references>
      </pivotArea>
    </chartFormat>
    <chartFormat chart="0" format="37">
      <pivotArea type="data" outline="0" fieldPosition="0">
        <references count="2">
          <reference field="4294967294" count="1" selected="0">
            <x v="0"/>
          </reference>
          <reference field="1" count="1" selected="0">
            <x v="12"/>
          </reference>
        </references>
      </pivotArea>
    </chartFormat>
    <chartFormat chart="0" format="38">
      <pivotArea type="data" outline="0" fieldPosition="0">
        <references count="2">
          <reference field="4294967294" count="1" selected="0">
            <x v="0"/>
          </reference>
          <reference field="1" count="1" selected="0">
            <x v="16"/>
          </reference>
        </references>
      </pivotArea>
    </chartFormat>
    <chartFormat chart="0" format="39">
      <pivotArea type="data" outline="0" fieldPosition="0">
        <references count="2">
          <reference field="4294967294" count="1" selected="0">
            <x v="0"/>
          </reference>
          <reference field="1" count="1" selected="0">
            <x v="10"/>
          </reference>
        </references>
      </pivotArea>
    </chartFormat>
    <chartFormat chart="0" format="40">
      <pivotArea type="data" outline="0" fieldPosition="0">
        <references count="2">
          <reference field="4294967294" count="1" selected="0">
            <x v="0"/>
          </reference>
          <reference field="1" count="1" selected="0">
            <x v="17"/>
          </reference>
        </references>
      </pivotArea>
    </chartFormat>
    <chartFormat chart="4" format="52" series="1">
      <pivotArea type="data" outline="0" fieldPosition="0">
        <references count="1">
          <reference field="4294967294" count="1" selected="0">
            <x v="0"/>
          </reference>
        </references>
      </pivotArea>
    </chartFormat>
    <chartFormat chart="4" format="53">
      <pivotArea type="data" outline="0" fieldPosition="0">
        <references count="2">
          <reference field="4294967294" count="1" selected="0">
            <x v="0"/>
          </reference>
          <reference field="1" count="1" selected="0">
            <x v="9"/>
          </reference>
        </references>
      </pivotArea>
    </chartFormat>
    <chartFormat chart="4" format="54">
      <pivotArea type="data" outline="0" fieldPosition="0">
        <references count="2">
          <reference field="4294967294" count="1" selected="0">
            <x v="0"/>
          </reference>
          <reference field="1" count="1" selected="0">
            <x v="8"/>
          </reference>
        </references>
      </pivotArea>
    </chartFormat>
    <chartFormat chart="4" format="55">
      <pivotArea type="data" outline="0" fieldPosition="0">
        <references count="2">
          <reference field="4294967294" count="1" selected="0">
            <x v="0"/>
          </reference>
          <reference field="1" count="1" selected="0">
            <x v="7"/>
          </reference>
        </references>
      </pivotArea>
    </chartFormat>
    <chartFormat chart="4" format="56">
      <pivotArea type="data" outline="0" fieldPosition="0">
        <references count="2">
          <reference field="4294967294" count="1" selected="0">
            <x v="0"/>
          </reference>
          <reference field="1" count="1" selected="0">
            <x v="18"/>
          </reference>
        </references>
      </pivotArea>
    </chartFormat>
    <chartFormat chart="4" format="57">
      <pivotArea type="data" outline="0" fieldPosition="0">
        <references count="2">
          <reference field="4294967294" count="1" selected="0">
            <x v="0"/>
          </reference>
          <reference field="1" count="1" selected="0">
            <x v="17"/>
          </reference>
        </references>
      </pivotArea>
    </chartFormat>
    <chartFormat chart="4" format="58">
      <pivotArea type="data" outline="0" fieldPosition="0">
        <references count="2">
          <reference field="4294967294" count="1" selected="0">
            <x v="0"/>
          </reference>
          <reference field="1" count="1" selected="0">
            <x v="14"/>
          </reference>
        </references>
      </pivotArea>
    </chartFormat>
    <chartFormat chart="4" format="59">
      <pivotArea type="data" outline="0" fieldPosition="0">
        <references count="2">
          <reference field="4294967294" count="1" selected="0">
            <x v="0"/>
          </reference>
          <reference field="1" count="1" selected="0">
            <x v="0"/>
          </reference>
        </references>
      </pivotArea>
    </chartFormat>
    <chartFormat chart="4" format="60">
      <pivotArea type="data" outline="0" fieldPosition="0">
        <references count="2">
          <reference field="4294967294" count="1" selected="0">
            <x v="0"/>
          </reference>
          <reference field="1" count="1" selected="0">
            <x v="12"/>
          </reference>
        </references>
      </pivotArea>
    </chartFormat>
    <chartFormat chart="4" format="61">
      <pivotArea type="data" outline="0" fieldPosition="0">
        <references count="2">
          <reference field="4294967294" count="1" selected="0">
            <x v="0"/>
          </reference>
          <reference field="1" count="1" selected="0">
            <x v="16"/>
          </reference>
        </references>
      </pivotArea>
    </chartFormat>
    <chartFormat chart="4" format="62">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285EBE-9397-5048-B32A-5C9128B1C5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4">
    <pivotField dataField="1" showAll="0"/>
    <pivotField showAll="0">
      <items count="22">
        <item x="9"/>
        <item x="15"/>
        <item x="7"/>
        <item x="3"/>
        <item x="18"/>
        <item x="5"/>
        <item x="1"/>
        <item x="4"/>
        <item x="0"/>
        <item x="8"/>
        <item x="12"/>
        <item x="17"/>
        <item x="14"/>
        <item x="6"/>
        <item x="10"/>
        <item x="11"/>
        <item x="13"/>
        <item x="16"/>
        <item x="2"/>
        <item x="19"/>
        <item x="20"/>
        <item t="default"/>
      </items>
    </pivotField>
    <pivotField axis="axisRow" showAll="0">
      <items count="7">
        <item x="0"/>
        <item x="1"/>
        <item x="3"/>
        <item x="4"/>
        <item x="2"/>
        <item x="5"/>
        <item t="default"/>
      </items>
    </pivotField>
    <pivotField showAll="0">
      <items count="6">
        <item x="2"/>
        <item x="1"/>
        <item x="0"/>
        <item x="3"/>
        <item x="4"/>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items count="5">
        <item x="1"/>
        <item x="2"/>
        <item x="0"/>
        <item x="3"/>
        <item t="default"/>
      </items>
    </pivotField>
  </pivotFields>
  <rowFields count="1">
    <field x="2"/>
  </rowFields>
  <rowItems count="7">
    <i>
      <x/>
    </i>
    <i>
      <x v="1"/>
    </i>
    <i>
      <x v="2"/>
    </i>
    <i>
      <x v="3"/>
    </i>
    <i>
      <x v="4"/>
    </i>
    <i>
      <x v="5"/>
    </i>
    <i t="grand">
      <x/>
    </i>
  </rowItems>
  <colItems count="1">
    <i/>
  </colItems>
  <dataFields count="1">
    <dataField name="Count of listing_id" fld="0"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2"/>
          </reference>
        </references>
      </pivotArea>
    </chartFormat>
    <chartFormat chart="3" format="13">
      <pivotArea type="data" outline="0" fieldPosition="0">
        <references count="2">
          <reference field="4294967294" count="1" selected="0">
            <x v="0"/>
          </reference>
          <reference field="2" count="1" selected="0">
            <x v="3"/>
          </reference>
        </references>
      </pivotArea>
    </chartFormat>
    <chartFormat chart="3" format="14">
      <pivotArea type="data" outline="0" fieldPosition="0">
        <references count="2">
          <reference field="4294967294" count="1" selected="0">
            <x v="0"/>
          </reference>
          <reference field="2" count="1" selected="0">
            <x v="4"/>
          </reference>
        </references>
      </pivotArea>
    </chartFormat>
    <chartFormat chart="3" format="15">
      <pivotArea type="data" outline="0" fieldPosition="0">
        <references count="2">
          <reference field="4294967294" count="1" selected="0">
            <x v="0"/>
          </reference>
          <reference field="2" count="1" selected="0">
            <x v="5"/>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C657F5-9F3D-9645-8BF3-406EAB847D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4">
    <pivotField showAll="0"/>
    <pivotField showAll="0">
      <items count="22">
        <item x="9"/>
        <item x="15"/>
        <item x="7"/>
        <item x="3"/>
        <item x="18"/>
        <item x="5"/>
        <item x="1"/>
        <item x="4"/>
        <item x="0"/>
        <item x="8"/>
        <item x="12"/>
        <item x="17"/>
        <item x="14"/>
        <item x="6"/>
        <item x="10"/>
        <item x="11"/>
        <item x="13"/>
        <item x="16"/>
        <item x="2"/>
        <item x="19"/>
        <item x="20"/>
        <item t="default"/>
      </items>
    </pivotField>
    <pivotField showAll="0">
      <items count="7">
        <item x="0"/>
        <item x="1"/>
        <item x="3"/>
        <item x="4"/>
        <item x="2"/>
        <item x="5"/>
        <item t="default"/>
      </items>
    </pivotField>
    <pivotField showAll="0">
      <items count="6">
        <item x="2"/>
        <item x="1"/>
        <item x="0"/>
        <item x="3"/>
        <item x="4"/>
        <item t="default"/>
      </items>
    </pivotField>
    <pivotField showAll="0"/>
    <pivotField showAll="0">
      <items count="443">
        <item x="71"/>
        <item x="56"/>
        <item x="330"/>
        <item x="403"/>
        <item x="398"/>
        <item x="237"/>
        <item x="401"/>
        <item x="143"/>
        <item x="83"/>
        <item x="155"/>
        <item x="205"/>
        <item x="299"/>
        <item x="249"/>
        <item x="111"/>
        <item x="97"/>
        <item x="182"/>
        <item x="273"/>
        <item x="24"/>
        <item x="28"/>
        <item x="304"/>
        <item x="132"/>
        <item x="184"/>
        <item x="116"/>
        <item x="75"/>
        <item x="250"/>
        <item x="108"/>
        <item x="66"/>
        <item x="177"/>
        <item x="124"/>
        <item x="287"/>
        <item x="12"/>
        <item x="135"/>
        <item x="210"/>
        <item x="239"/>
        <item x="426"/>
        <item x="335"/>
        <item x="411"/>
        <item x="339"/>
        <item x="198"/>
        <item x="359"/>
        <item x="430"/>
        <item x="113"/>
        <item x="271"/>
        <item x="240"/>
        <item x="107"/>
        <item x="246"/>
        <item x="348"/>
        <item x="77"/>
        <item x="327"/>
        <item x="187"/>
        <item x="99"/>
        <item x="415"/>
        <item x="157"/>
        <item x="357"/>
        <item x="21"/>
        <item x="248"/>
        <item x="311"/>
        <item x="20"/>
        <item x="418"/>
        <item x="317"/>
        <item x="104"/>
        <item x="253"/>
        <item x="18"/>
        <item x="128"/>
        <item x="230"/>
        <item x="86"/>
        <item x="73"/>
        <item x="127"/>
        <item x="94"/>
        <item x="34"/>
        <item x="46"/>
        <item x="169"/>
        <item x="412"/>
        <item x="52"/>
        <item x="30"/>
        <item x="208"/>
        <item x="15"/>
        <item x="295"/>
        <item x="293"/>
        <item x="245"/>
        <item x="6"/>
        <item x="307"/>
        <item x="225"/>
        <item x="261"/>
        <item x="228"/>
        <item x="16"/>
        <item x="289"/>
        <item x="3"/>
        <item x="267"/>
        <item x="161"/>
        <item x="1"/>
        <item x="25"/>
        <item x="61"/>
        <item x="42"/>
        <item x="17"/>
        <item x="382"/>
        <item x="103"/>
        <item x="189"/>
        <item x="146"/>
        <item x="102"/>
        <item x="22"/>
        <item x="165"/>
        <item x="55"/>
        <item x="82"/>
        <item x="49"/>
        <item x="199"/>
        <item x="89"/>
        <item x="279"/>
        <item x="95"/>
        <item x="0"/>
        <item x="7"/>
        <item x="362"/>
        <item x="31"/>
        <item x="93"/>
        <item x="109"/>
        <item x="276"/>
        <item x="334"/>
        <item x="5"/>
        <item x="151"/>
        <item x="19"/>
        <item x="120"/>
        <item x="48"/>
        <item x="122"/>
        <item x="51"/>
        <item x="290"/>
        <item x="32"/>
        <item x="27"/>
        <item x="229"/>
        <item x="274"/>
        <item x="150"/>
        <item x="294"/>
        <item x="355"/>
        <item x="284"/>
        <item x="9"/>
        <item x="315"/>
        <item x="179"/>
        <item x="67"/>
        <item x="220"/>
        <item x="92"/>
        <item x="258"/>
        <item x="297"/>
        <item x="43"/>
        <item x="244"/>
        <item x="341"/>
        <item x="197"/>
        <item x="406"/>
        <item x="217"/>
        <item x="190"/>
        <item x="214"/>
        <item x="252"/>
        <item x="175"/>
        <item x="211"/>
        <item x="312"/>
        <item x="368"/>
        <item x="393"/>
        <item x="158"/>
        <item x="170"/>
        <item x="176"/>
        <item x="432"/>
        <item x="247"/>
        <item x="313"/>
        <item x="76"/>
        <item x="345"/>
        <item x="438"/>
        <item x="254"/>
        <item x="329"/>
        <item x="209"/>
        <item x="10"/>
        <item x="69"/>
        <item x="350"/>
        <item x="397"/>
        <item x="409"/>
        <item x="437"/>
        <item x="385"/>
        <item x="416"/>
        <item x="98"/>
        <item x="163"/>
        <item x="207"/>
        <item x="232"/>
        <item x="310"/>
        <item x="319"/>
        <item x="372"/>
        <item x="346"/>
        <item x="139"/>
        <item x="172"/>
        <item x="140"/>
        <item x="144"/>
        <item x="202"/>
        <item x="173"/>
        <item x="47"/>
        <item x="36"/>
        <item x="436"/>
        <item x="118"/>
        <item x="288"/>
        <item x="428"/>
        <item x="233"/>
        <item x="328"/>
        <item x="331"/>
        <item x="45"/>
        <item x="349"/>
        <item x="236"/>
        <item x="2"/>
        <item x="159"/>
        <item x="148"/>
        <item x="37"/>
        <item x="224"/>
        <item x="154"/>
        <item x="180"/>
        <item x="203"/>
        <item x="277"/>
        <item x="281"/>
        <item x="193"/>
        <item x="231"/>
        <item x="117"/>
        <item x="178"/>
        <item x="223"/>
        <item x="50"/>
        <item x="353"/>
        <item x="303"/>
        <item x="265"/>
        <item x="266"/>
        <item x="280"/>
        <item x="100"/>
        <item x="410"/>
        <item x="285"/>
        <item x="404"/>
        <item x="65"/>
        <item x="343"/>
        <item x="226"/>
        <item x="126"/>
        <item x="380"/>
        <item x="110"/>
        <item x="131"/>
        <item x="106"/>
        <item x="147"/>
        <item x="68"/>
        <item x="137"/>
        <item x="196"/>
        <item x="435"/>
        <item x="376"/>
        <item x="384"/>
        <item x="347"/>
        <item x="219"/>
        <item x="381"/>
        <item x="13"/>
        <item x="268"/>
        <item x="87"/>
        <item x="262"/>
        <item x="136"/>
        <item x="121"/>
        <item x="366"/>
        <item x="413"/>
        <item x="142"/>
        <item x="321"/>
        <item x="29"/>
        <item x="342"/>
        <item x="270"/>
        <item x="242"/>
        <item x="283"/>
        <item x="351"/>
        <item x="429"/>
        <item x="105"/>
        <item x="379"/>
        <item x="337"/>
        <item x="344"/>
        <item x="58"/>
        <item x="269"/>
        <item x="119"/>
        <item x="188"/>
        <item x="374"/>
        <item x="309"/>
        <item x="39"/>
        <item x="101"/>
        <item x="320"/>
        <item x="91"/>
        <item x="130"/>
        <item x="212"/>
        <item x="72"/>
        <item x="171"/>
        <item x="352"/>
        <item x="74"/>
        <item x="325"/>
        <item x="90"/>
        <item x="78"/>
        <item x="272"/>
        <item x="125"/>
        <item x="308"/>
        <item x="60"/>
        <item x="81"/>
        <item x="41"/>
        <item x="11"/>
        <item x="423"/>
        <item x="365"/>
        <item x="222"/>
        <item x="358"/>
        <item x="59"/>
        <item x="70"/>
        <item x="296"/>
        <item x="257"/>
        <item x="260"/>
        <item x="286"/>
        <item x="80"/>
        <item x="114"/>
        <item x="26"/>
        <item x="183"/>
        <item x="371"/>
        <item x="57"/>
        <item x="405"/>
        <item x="168"/>
        <item x="134"/>
        <item x="421"/>
        <item x="373"/>
        <item x="332"/>
        <item x="53"/>
        <item x="35"/>
        <item x="354"/>
        <item x="162"/>
        <item x="194"/>
        <item x="324"/>
        <item x="141"/>
        <item x="318"/>
        <item x="291"/>
        <item x="221"/>
        <item x="64"/>
        <item x="300"/>
        <item x="201"/>
        <item x="336"/>
        <item x="407"/>
        <item x="414"/>
        <item x="395"/>
        <item x="200"/>
        <item x="251"/>
        <item x="256"/>
        <item x="145"/>
        <item x="152"/>
        <item x="420"/>
        <item x="166"/>
        <item x="440"/>
        <item x="215"/>
        <item x="62"/>
        <item x="133"/>
        <item x="44"/>
        <item x="213"/>
        <item x="14"/>
        <item x="185"/>
        <item x="391"/>
        <item x="434"/>
        <item x="302"/>
        <item x="305"/>
        <item x="255"/>
        <item x="417"/>
        <item x="326"/>
        <item x="8"/>
        <item x="156"/>
        <item x="79"/>
        <item x="138"/>
        <item x="54"/>
        <item x="427"/>
        <item x="174"/>
        <item x="40"/>
        <item x="360"/>
        <item x="292"/>
        <item x="164"/>
        <item x="238"/>
        <item x="361"/>
        <item x="392"/>
        <item x="422"/>
        <item x="375"/>
        <item x="85"/>
        <item x="167"/>
        <item x="186"/>
        <item x="323"/>
        <item x="369"/>
        <item x="419"/>
        <item x="206"/>
        <item x="439"/>
        <item x="278"/>
        <item x="216"/>
        <item x="191"/>
        <item x="425"/>
        <item x="282"/>
        <item x="96"/>
        <item x="243"/>
        <item x="23"/>
        <item x="424"/>
        <item x="370"/>
        <item x="316"/>
        <item x="38"/>
        <item x="431"/>
        <item x="400"/>
        <item x="160"/>
        <item x="227"/>
        <item x="322"/>
        <item x="33"/>
        <item x="367"/>
        <item x="88"/>
        <item x="153"/>
        <item x="378"/>
        <item x="218"/>
        <item x="389"/>
        <item x="123"/>
        <item x="263"/>
        <item x="192"/>
        <item x="396"/>
        <item x="115"/>
        <item x="340"/>
        <item x="301"/>
        <item x="433"/>
        <item x="234"/>
        <item x="408"/>
        <item x="377"/>
        <item x="363"/>
        <item x="181"/>
        <item x="259"/>
        <item x="399"/>
        <item x="394"/>
        <item x="314"/>
        <item x="241"/>
        <item x="402"/>
        <item x="4"/>
        <item x="195"/>
        <item x="129"/>
        <item x="264"/>
        <item x="386"/>
        <item x="275"/>
        <item x="298"/>
        <item x="84"/>
        <item x="390"/>
        <item x="338"/>
        <item x="204"/>
        <item x="388"/>
        <item x="333"/>
        <item x="149"/>
        <item x="356"/>
        <item x="306"/>
        <item x="235"/>
        <item x="112"/>
        <item x="63"/>
        <item x="364"/>
        <item x="387"/>
        <item x="383"/>
        <item x="441"/>
        <item t="default"/>
      </items>
    </pivotField>
    <pivotField showAll="0"/>
    <pivotField showAll="0"/>
    <pivotField dataField="1" showAll="0"/>
    <pivotField showAll="0"/>
    <pivotField showAll="0"/>
    <pivotField axis="axisRow" showAll="0">
      <items count="5">
        <item x="1"/>
        <item x="2"/>
        <item x="0"/>
        <item x="3"/>
        <item t="default"/>
      </items>
    </pivotField>
    <pivotField showAll="0"/>
    <pivotField showAll="0">
      <items count="5">
        <item x="1"/>
        <item x="2"/>
        <item x="0"/>
        <item x="3"/>
        <item t="default"/>
      </items>
    </pivotField>
  </pivotFields>
  <rowFields count="1">
    <field x="11"/>
  </rowFields>
  <rowItems count="5">
    <i>
      <x/>
    </i>
    <i>
      <x v="1"/>
    </i>
    <i>
      <x v="2"/>
    </i>
    <i>
      <x v="3"/>
    </i>
    <i t="grand">
      <x/>
    </i>
  </rowItems>
  <colItems count="1">
    <i/>
  </colItems>
  <dataFields count="1">
    <dataField name="Sum of price_sar"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97EE553A-C859-2147-B7FF-21FF471B138A}" sourceName="district">
  <pivotTables>
    <pivotTable tabId="8" name="PivotTable6"/>
    <pivotTable tabId="5" name="PivotTable3"/>
    <pivotTable tabId="4" name="PivotTable2"/>
    <pivotTable tabId="7" name="PivotTable5"/>
    <pivotTable tabId="6" name="PivotTable4"/>
  </pivotTables>
  <data>
    <tabular pivotCacheId="125733068">
      <items count="21">
        <i x="9" s="1"/>
        <i x="15" s="1"/>
        <i x="7" s="1"/>
        <i x="3" s="1"/>
        <i x="18" s="1"/>
        <i x="5" s="1"/>
        <i x="1" s="1"/>
        <i x="4" s="1"/>
        <i x="0" s="1"/>
        <i x="8" s="1"/>
        <i x="12" s="1"/>
        <i x="17" s="1"/>
        <i x="14" s="1"/>
        <i x="6" s="1"/>
        <i x="10" s="1"/>
        <i x="11" s="1"/>
        <i x="13" s="1"/>
        <i x="16" s="1"/>
        <i x="2" s="1"/>
        <i x="19" s="1"/>
        <i x="2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2848AA43-6B3D-C146-BA36-39580D8C0013}" sourceName="property_type">
  <pivotTables>
    <pivotTable tabId="8" name="PivotTable6"/>
    <pivotTable tabId="5" name="PivotTable3"/>
    <pivotTable tabId="4" name="PivotTable2"/>
    <pivotTable tabId="7" name="PivotTable5"/>
    <pivotTable tabId="6" name="PivotTable4"/>
  </pivotTables>
  <data>
    <tabular pivotCacheId="125733068">
      <items count="6">
        <i x="0" s="1"/>
        <i x="1" s="1"/>
        <i x="3" s="1"/>
        <i x="4" s="1"/>
        <i x="2"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945B9F7-A843-EB41-A80F-52932475E13B}" sourceName="year">
  <pivotTables>
    <pivotTable tabId="8" name="PivotTable6"/>
    <pivotTable tabId="5" name="PivotTable3"/>
    <pivotTable tabId="4" name="PivotTable2"/>
    <pivotTable tabId="7" name="PivotTable5"/>
    <pivotTable tabId="6" name="PivotTable4"/>
  </pivotTables>
  <data>
    <tabular pivotCacheId="125733068">
      <items count="5">
        <i x="2" s="1"/>
        <i x="1" s="1"/>
        <i x="0"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sqm" xr10:uid="{60E78128-FC1F-C647-A04A-AF47CB0CCC7C}" sourceName="area_sqm">
  <pivotTables>
    <pivotTable tabId="8" name="PivotTable6"/>
  </pivotTables>
  <data>
    <tabular pivotCacheId="125733068">
      <items count="442">
        <i x="71" s="1"/>
        <i x="56" s="1"/>
        <i x="330" s="1"/>
        <i x="403" s="1"/>
        <i x="398" s="1"/>
        <i x="237" s="1"/>
        <i x="401" s="1"/>
        <i x="143" s="1"/>
        <i x="83" s="1"/>
        <i x="155" s="1"/>
        <i x="205" s="1"/>
        <i x="299" s="1"/>
        <i x="249" s="1"/>
        <i x="111" s="1"/>
        <i x="97" s="1"/>
        <i x="182" s="1"/>
        <i x="273" s="1"/>
        <i x="24" s="1"/>
        <i x="28" s="1"/>
        <i x="304" s="1"/>
        <i x="132" s="1"/>
        <i x="184" s="1"/>
        <i x="116" s="1"/>
        <i x="75" s="1"/>
        <i x="250" s="1"/>
        <i x="108" s="1"/>
        <i x="66" s="1"/>
        <i x="177" s="1"/>
        <i x="124" s="1"/>
        <i x="287" s="1"/>
        <i x="12" s="1"/>
        <i x="135" s="1"/>
        <i x="210" s="1"/>
        <i x="239" s="1"/>
        <i x="426" s="1"/>
        <i x="335" s="1"/>
        <i x="411" s="1"/>
        <i x="339" s="1"/>
        <i x="198" s="1"/>
        <i x="359" s="1"/>
        <i x="430" s="1"/>
        <i x="113" s="1"/>
        <i x="271" s="1"/>
        <i x="240" s="1"/>
        <i x="107" s="1"/>
        <i x="246" s="1"/>
        <i x="348" s="1"/>
        <i x="77" s="1"/>
        <i x="327" s="1"/>
        <i x="187" s="1"/>
        <i x="99" s="1"/>
        <i x="415" s="1"/>
        <i x="157" s="1"/>
        <i x="357" s="1"/>
        <i x="21" s="1"/>
        <i x="248" s="1"/>
        <i x="311" s="1"/>
        <i x="20" s="1"/>
        <i x="418" s="1"/>
        <i x="317" s="1"/>
        <i x="104" s="1"/>
        <i x="253" s="1"/>
        <i x="18" s="1"/>
        <i x="128" s="1"/>
        <i x="230" s="1"/>
        <i x="86" s="1"/>
        <i x="73" s="1"/>
        <i x="127" s="1"/>
        <i x="94" s="1"/>
        <i x="34" s="1"/>
        <i x="46" s="1"/>
        <i x="169" s="1"/>
        <i x="412" s="1"/>
        <i x="52" s="1"/>
        <i x="30" s="1"/>
        <i x="208" s="1"/>
        <i x="15" s="1"/>
        <i x="295" s="1"/>
        <i x="293" s="1"/>
        <i x="245" s="1"/>
        <i x="6" s="1"/>
        <i x="307" s="1"/>
        <i x="225" s="1"/>
        <i x="261" s="1"/>
        <i x="228" s="1"/>
        <i x="16" s="1"/>
        <i x="289" s="1"/>
        <i x="3" s="1"/>
        <i x="267" s="1"/>
        <i x="161" s="1"/>
        <i x="1" s="1"/>
        <i x="25" s="1"/>
        <i x="61" s="1"/>
        <i x="42" s="1"/>
        <i x="17" s="1"/>
        <i x="382" s="1"/>
        <i x="103" s="1"/>
        <i x="189" s="1"/>
        <i x="146" s="1"/>
        <i x="102" s="1"/>
        <i x="22" s="1"/>
        <i x="165" s="1"/>
        <i x="55" s="1"/>
        <i x="82" s="1"/>
        <i x="49" s="1"/>
        <i x="199" s="1"/>
        <i x="89" s="1"/>
        <i x="279" s="1"/>
        <i x="95" s="1"/>
        <i x="0" s="1"/>
        <i x="7" s="1"/>
        <i x="362" s="1"/>
        <i x="31" s="1"/>
        <i x="93" s="1"/>
        <i x="109" s="1"/>
        <i x="276" s="1"/>
        <i x="334" s="1"/>
        <i x="5" s="1"/>
        <i x="151" s="1"/>
        <i x="19" s="1"/>
        <i x="120" s="1"/>
        <i x="48" s="1"/>
        <i x="122" s="1"/>
        <i x="51" s="1"/>
        <i x="290" s="1"/>
        <i x="32" s="1"/>
        <i x="27" s="1"/>
        <i x="229" s="1"/>
        <i x="274" s="1"/>
        <i x="150" s="1"/>
        <i x="294" s="1"/>
        <i x="355" s="1"/>
        <i x="284" s="1"/>
        <i x="9" s="1"/>
        <i x="315" s="1"/>
        <i x="179" s="1"/>
        <i x="67" s="1"/>
        <i x="220" s="1"/>
        <i x="92" s="1"/>
        <i x="258" s="1"/>
        <i x="297" s="1"/>
        <i x="43" s="1"/>
        <i x="244" s="1"/>
        <i x="341" s="1"/>
        <i x="197" s="1"/>
        <i x="406" s="1"/>
        <i x="217" s="1"/>
        <i x="190" s="1"/>
        <i x="214" s="1"/>
        <i x="252" s="1"/>
        <i x="175" s="1"/>
        <i x="211" s="1"/>
        <i x="312" s="1"/>
        <i x="368" s="1"/>
        <i x="393" s="1"/>
        <i x="158" s="1"/>
        <i x="170" s="1"/>
        <i x="176" s="1"/>
        <i x="432" s="1"/>
        <i x="247" s="1"/>
        <i x="313" s="1"/>
        <i x="76" s="1"/>
        <i x="345" s="1"/>
        <i x="438" s="1"/>
        <i x="254" s="1"/>
        <i x="329" s="1"/>
        <i x="209" s="1"/>
        <i x="10" s="1"/>
        <i x="69" s="1"/>
        <i x="350" s="1"/>
        <i x="397" s="1"/>
        <i x="409" s="1"/>
        <i x="437" s="1"/>
        <i x="385" s="1"/>
        <i x="416" s="1"/>
        <i x="98" s="1"/>
        <i x="163" s="1"/>
        <i x="207" s="1"/>
        <i x="232" s="1"/>
        <i x="310" s="1"/>
        <i x="319" s="1"/>
        <i x="372" s="1"/>
        <i x="346" s="1"/>
        <i x="139" s="1"/>
        <i x="172" s="1"/>
        <i x="140" s="1"/>
        <i x="144" s="1"/>
        <i x="202" s="1"/>
        <i x="173" s="1"/>
        <i x="47" s="1"/>
        <i x="36" s="1"/>
        <i x="436" s="1"/>
        <i x="118" s="1"/>
        <i x="288" s="1"/>
        <i x="428" s="1"/>
        <i x="233" s="1"/>
        <i x="328" s="1"/>
        <i x="331" s="1"/>
        <i x="45" s="1"/>
        <i x="349" s="1"/>
        <i x="236" s="1"/>
        <i x="2" s="1"/>
        <i x="159" s="1"/>
        <i x="148" s="1"/>
        <i x="37" s="1"/>
        <i x="224" s="1"/>
        <i x="154" s="1"/>
        <i x="180" s="1"/>
        <i x="203" s="1"/>
        <i x="277" s="1"/>
        <i x="281" s="1"/>
        <i x="193" s="1"/>
        <i x="231" s="1"/>
        <i x="117" s="1"/>
        <i x="178" s="1"/>
        <i x="223" s="1"/>
        <i x="50" s="1"/>
        <i x="353" s="1"/>
        <i x="303" s="1"/>
        <i x="265" s="1"/>
        <i x="266" s="1"/>
        <i x="280" s="1"/>
        <i x="100" s="1"/>
        <i x="410" s="1"/>
        <i x="285" s="1"/>
        <i x="404" s="1"/>
        <i x="65" s="1"/>
        <i x="343" s="1"/>
        <i x="226" s="1"/>
        <i x="126" s="1"/>
        <i x="380" s="1"/>
        <i x="110" s="1"/>
        <i x="131" s="1"/>
        <i x="106" s="1"/>
        <i x="147" s="1"/>
        <i x="68" s="1"/>
        <i x="137" s="1"/>
        <i x="196" s="1"/>
        <i x="435" s="1"/>
        <i x="376" s="1"/>
        <i x="384" s="1"/>
        <i x="347" s="1"/>
        <i x="219" s="1"/>
        <i x="381" s="1"/>
        <i x="13" s="1"/>
        <i x="268" s="1"/>
        <i x="87" s="1"/>
        <i x="262" s="1"/>
        <i x="136" s="1"/>
        <i x="121" s="1"/>
        <i x="366" s="1"/>
        <i x="413" s="1"/>
        <i x="142" s="1"/>
        <i x="321" s="1"/>
        <i x="29" s="1"/>
        <i x="342" s="1"/>
        <i x="270" s="1"/>
        <i x="242" s="1"/>
        <i x="283" s="1"/>
        <i x="351" s="1"/>
        <i x="429" s="1"/>
        <i x="105" s="1"/>
        <i x="379" s="1"/>
        <i x="337" s="1"/>
        <i x="344" s="1"/>
        <i x="58" s="1"/>
        <i x="269" s="1"/>
        <i x="119" s="1"/>
        <i x="188" s="1"/>
        <i x="374" s="1"/>
        <i x="309" s="1"/>
        <i x="39" s="1"/>
        <i x="101" s="1"/>
        <i x="320" s="1"/>
        <i x="91" s="1"/>
        <i x="130" s="1"/>
        <i x="212" s="1"/>
        <i x="72" s="1"/>
        <i x="171" s="1"/>
        <i x="352" s="1"/>
        <i x="74" s="1"/>
        <i x="325" s="1"/>
        <i x="90" s="1"/>
        <i x="78" s="1"/>
        <i x="272" s="1"/>
        <i x="125" s="1"/>
        <i x="308" s="1"/>
        <i x="60" s="1"/>
        <i x="81" s="1"/>
        <i x="41" s="1"/>
        <i x="11" s="1"/>
        <i x="423" s="1"/>
        <i x="365" s="1"/>
        <i x="222" s="1"/>
        <i x="358" s="1"/>
        <i x="59" s="1"/>
        <i x="70" s="1"/>
        <i x="296" s="1"/>
        <i x="257" s="1"/>
        <i x="260" s="1"/>
        <i x="286" s="1"/>
        <i x="80" s="1"/>
        <i x="114" s="1"/>
        <i x="26" s="1"/>
        <i x="183" s="1"/>
        <i x="371" s="1"/>
        <i x="57" s="1"/>
        <i x="405" s="1"/>
        <i x="168" s="1"/>
        <i x="134" s="1"/>
        <i x="421" s="1"/>
        <i x="373" s="1"/>
        <i x="332" s="1"/>
        <i x="53" s="1"/>
        <i x="35" s="1"/>
        <i x="354" s="1"/>
        <i x="162" s="1"/>
        <i x="194" s="1"/>
        <i x="324" s="1"/>
        <i x="141" s="1"/>
        <i x="318" s="1"/>
        <i x="291" s="1"/>
        <i x="221" s="1"/>
        <i x="64" s="1"/>
        <i x="300" s="1"/>
        <i x="201" s="1"/>
        <i x="336" s="1"/>
        <i x="407" s="1"/>
        <i x="414" s="1"/>
        <i x="395" s="1"/>
        <i x="200" s="1"/>
        <i x="251" s="1"/>
        <i x="256" s="1"/>
        <i x="145" s="1"/>
        <i x="152" s="1"/>
        <i x="420" s="1"/>
        <i x="166" s="1"/>
        <i x="440" s="1"/>
        <i x="215" s="1"/>
        <i x="62" s="1"/>
        <i x="133" s="1"/>
        <i x="44" s="1"/>
        <i x="213" s="1"/>
        <i x="14" s="1"/>
        <i x="185" s="1"/>
        <i x="391" s="1"/>
        <i x="434" s="1"/>
        <i x="302" s="1"/>
        <i x="305" s="1"/>
        <i x="255" s="1"/>
        <i x="417" s="1"/>
        <i x="326" s="1"/>
        <i x="8" s="1"/>
        <i x="156" s="1"/>
        <i x="79" s="1"/>
        <i x="138" s="1"/>
        <i x="54" s="1"/>
        <i x="427" s="1"/>
        <i x="174" s="1"/>
        <i x="40" s="1"/>
        <i x="360" s="1"/>
        <i x="292" s="1"/>
        <i x="164" s="1"/>
        <i x="238" s="1"/>
        <i x="361" s="1"/>
        <i x="392" s="1"/>
        <i x="422" s="1"/>
        <i x="375" s="1"/>
        <i x="85" s="1"/>
        <i x="167" s="1"/>
        <i x="186" s="1"/>
        <i x="323" s="1"/>
        <i x="369" s="1"/>
        <i x="419" s="1"/>
        <i x="206" s="1"/>
        <i x="439" s="1"/>
        <i x="278" s="1"/>
        <i x="216" s="1"/>
        <i x="191" s="1"/>
        <i x="425" s="1"/>
        <i x="282" s="1"/>
        <i x="96" s="1"/>
        <i x="243" s="1"/>
        <i x="23" s="1"/>
        <i x="424" s="1"/>
        <i x="370" s="1"/>
        <i x="316" s="1"/>
        <i x="38" s="1"/>
        <i x="431" s="1"/>
        <i x="400" s="1"/>
        <i x="160" s="1"/>
        <i x="227" s="1"/>
        <i x="322" s="1"/>
        <i x="33" s="1"/>
        <i x="367" s="1"/>
        <i x="88" s="1"/>
        <i x="153" s="1"/>
        <i x="378" s="1"/>
        <i x="218" s="1"/>
        <i x="389" s="1"/>
        <i x="123" s="1"/>
        <i x="263" s="1"/>
        <i x="192" s="1"/>
        <i x="396" s="1"/>
        <i x="115" s="1"/>
        <i x="340" s="1"/>
        <i x="301" s="1"/>
        <i x="433" s="1"/>
        <i x="234" s="1"/>
        <i x="408" s="1"/>
        <i x="377" s="1"/>
        <i x="363" s="1"/>
        <i x="181" s="1"/>
        <i x="259" s="1"/>
        <i x="399" s="1"/>
        <i x="394" s="1"/>
        <i x="314" s="1"/>
        <i x="241" s="1"/>
        <i x="402" s="1"/>
        <i x="4" s="1"/>
        <i x="195" s="1"/>
        <i x="129" s="1"/>
        <i x="264" s="1"/>
        <i x="386" s="1"/>
        <i x="275" s="1"/>
        <i x="298" s="1"/>
        <i x="84" s="1"/>
        <i x="390" s="1"/>
        <i x="338" s="1"/>
        <i x="204" s="1"/>
        <i x="388" s="1"/>
        <i x="333" s="1"/>
        <i x="149" s="1"/>
        <i x="356" s="1"/>
        <i x="306" s="1"/>
        <i x="235" s="1"/>
        <i x="112" s="1"/>
        <i x="63" s="1"/>
        <i x="364" s="1"/>
        <i x="387" s="1"/>
        <i x="383" s="1"/>
        <i x="44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rnished" xr10:uid="{9C429FE6-216A-094E-A549-1A1C85F68FB4}" sourceName="furnished">
  <pivotTables>
    <pivotTable tabId="8" name="PivotTable6"/>
    <pivotTable tabId="5" name="PivotTable3"/>
    <pivotTable tabId="4" name="PivotTable2"/>
    <pivotTable tabId="7" name="PivotTable5"/>
    <pivotTable tabId="6" name="PivotTable4"/>
  </pivotTables>
  <data>
    <tabular pivotCacheId="125733068">
      <items count="4">
        <i x="1" s="1"/>
        <i x="2" s="1"/>
        <i x="0" s="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_zone" xr10:uid="{5014D774-8C4E-5E4E-987B-3C8AE467BCAD}" sourceName="district_zone">
  <pivotTables>
    <pivotTable tabId="8" name="PivotTable6"/>
    <pivotTable tabId="5" name="PivotTable3"/>
    <pivotTable tabId="4" name="PivotTable2"/>
    <pivotTable tabId="7" name="PivotTable5"/>
    <pivotTable tabId="6" name="PivotTable4"/>
  </pivotTables>
  <data>
    <tabular pivotCacheId="125733068">
      <items count="4">
        <i x="1" s="1"/>
        <i x="2"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xr10:uid="{DA48BFBB-89A9-1045-846C-951F580FA51A}" cache="Slicer_district" caption="district" rowHeight="251883"/>
  <slicer name="property_type" xr10:uid="{C7F7A972-D751-2D4D-8E57-F4DCEBD6E282}" cache="Slicer_property_type" caption="property_type" rowHeight="251883"/>
  <slicer name="year" xr10:uid="{1568B9EE-AF1A-7049-A570-AE8AE6008427}" cache="Slicer_year" caption="year" rowHeight="251883"/>
  <slicer name="area_sqm" xr10:uid="{A8C7C499-C6B1-4F4D-84EA-B5C605ADC618}" cache="Slicer_area_sqm" caption="area_sqm" rowHeight="251883"/>
  <slicer name="furnished" xr10:uid="{A8CAE3F9-22D0-7249-8C67-E818B6182462}" cache="Slicer_furnished" caption="furnished" rowHeight="251883"/>
  <slicer name="district_zone" xr10:uid="{8B70E563-631F-F44D-A70E-4829AD4F1587}" cache="Slicer_district_zone" caption="district_zon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1" xr10:uid="{C6E80DF9-76D2-8A4F-B2A6-B49112267B6C}" cache="Slicer_district" caption="district" style="SlicerStyleDark6" rowHeight="251883"/>
  <slicer name="property_type 1" xr10:uid="{099384BD-B2AA-304B-AFA7-EFD7C30E20F8}" cache="Slicer_property_type" caption="property_type" style="SlicerStyleDark6" rowHeight="251883"/>
  <slicer name="year 1" xr10:uid="{F1D03C9C-F3E4-3041-A112-6A600B5BCC75}" cache="Slicer_year" caption="year" style="SlicerStyleDark6" rowHeight="251883"/>
  <slicer name="furnished 1" xr10:uid="{D02DE485-DDA0-2443-9903-27BFD04FE9B2}" cache="Slicer_furnished" caption="furnished" style="SlicerStyleDark6" rowHeight="251883"/>
  <slicer name="district_zone 1" xr10:uid="{787407FE-D7ED-AF42-8CE7-9C118B0E8876}" cache="Slicer_district_zone" caption="district_zone" style="SlicerStyleDark6"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2B45-18D5-3444-B13E-357A719204B4}">
  <dimension ref="A3:B9"/>
  <sheetViews>
    <sheetView workbookViewId="0">
      <selection activeCell="L12" sqref="L12"/>
    </sheetView>
  </sheetViews>
  <sheetFormatPr baseColWidth="10" defaultRowHeight="16" x14ac:dyDescent="0.2"/>
  <cols>
    <col min="1" max="1" width="13" bestFit="1" customWidth="1"/>
    <col min="2" max="2" width="14.83203125" bestFit="1" customWidth="1"/>
  </cols>
  <sheetData>
    <row r="3" spans="1:2" x14ac:dyDescent="0.2">
      <c r="A3" s="5" t="s">
        <v>54</v>
      </c>
      <c r="B3" t="s">
        <v>57</v>
      </c>
    </row>
    <row r="4" spans="1:2" x14ac:dyDescent="0.2">
      <c r="A4" s="6">
        <v>2021</v>
      </c>
      <c r="B4" s="7">
        <v>310063000</v>
      </c>
    </row>
    <row r="5" spans="1:2" x14ac:dyDescent="0.2">
      <c r="A5" s="6">
        <v>2022</v>
      </c>
      <c r="B5" s="7">
        <v>296095000</v>
      </c>
    </row>
    <row r="6" spans="1:2" x14ac:dyDescent="0.2">
      <c r="A6" s="6">
        <v>2023</v>
      </c>
      <c r="B6" s="7">
        <v>311993000</v>
      </c>
    </row>
    <row r="7" spans="1:2" x14ac:dyDescent="0.2">
      <c r="A7" s="6">
        <v>2024</v>
      </c>
      <c r="B7" s="7">
        <v>372325000</v>
      </c>
    </row>
    <row r="8" spans="1:2" x14ac:dyDescent="0.2">
      <c r="A8" s="6" t="s">
        <v>55</v>
      </c>
    </row>
    <row r="9" spans="1:2" x14ac:dyDescent="0.2">
      <c r="A9" s="6" t="s">
        <v>56</v>
      </c>
      <c r="B9">
        <v>1290476000</v>
      </c>
    </row>
  </sheetData>
  <pageMargins left="0.7" right="0.7" top="0.75" bottom="0.75" header="0.3" footer="0.3"/>
  <pageSetup paperSize="9"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539CA-5DED-7744-8388-271182DAE0AC}">
  <dimension ref="A3:B10"/>
  <sheetViews>
    <sheetView workbookViewId="0">
      <selection activeCell="G24" sqref="G24"/>
    </sheetView>
  </sheetViews>
  <sheetFormatPr baseColWidth="10" defaultRowHeight="16" x14ac:dyDescent="0.2"/>
  <cols>
    <col min="1" max="1" width="13" bestFit="1" customWidth="1"/>
    <col min="2" max="2" width="14.83203125" bestFit="1" customWidth="1"/>
  </cols>
  <sheetData>
    <row r="3" spans="1:2" x14ac:dyDescent="0.2">
      <c r="A3" s="5" t="s">
        <v>54</v>
      </c>
      <c r="B3" t="s">
        <v>57</v>
      </c>
    </row>
    <row r="4" spans="1:2" x14ac:dyDescent="0.2">
      <c r="A4" s="6" t="s">
        <v>15</v>
      </c>
      <c r="B4" s="7">
        <v>232629000</v>
      </c>
    </row>
    <row r="5" spans="1:2" x14ac:dyDescent="0.2">
      <c r="A5" s="6" t="s">
        <v>23</v>
      </c>
      <c r="B5" s="7">
        <v>221340000</v>
      </c>
    </row>
    <row r="6" spans="1:2" x14ac:dyDescent="0.2">
      <c r="A6" s="6" t="s">
        <v>36</v>
      </c>
      <c r="B6" s="7">
        <v>82467000</v>
      </c>
    </row>
    <row r="7" spans="1:2" x14ac:dyDescent="0.2">
      <c r="A7" s="6" t="s">
        <v>38</v>
      </c>
      <c r="B7" s="7">
        <v>31850000</v>
      </c>
    </row>
    <row r="8" spans="1:2" x14ac:dyDescent="0.2">
      <c r="A8" s="6" t="s">
        <v>29</v>
      </c>
      <c r="B8" s="7">
        <v>722190000</v>
      </c>
    </row>
    <row r="9" spans="1:2" x14ac:dyDescent="0.2">
      <c r="A9" s="6" t="s">
        <v>55</v>
      </c>
    </row>
    <row r="10" spans="1:2" x14ac:dyDescent="0.2">
      <c r="A10" s="6" t="s">
        <v>56</v>
      </c>
      <c r="B10">
        <v>1290476000</v>
      </c>
    </row>
  </sheetData>
  <pageMargins left="0.7" right="0.7" top="0.75" bottom="0.75" header="0.3" footer="0.3"/>
  <pageSetup paperSize="9" orientation="portrait" horizontalDpi="0" verticalDpi="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6FEF1-5A26-FC48-843C-3636D11D058B}">
  <dimension ref="A3:B14"/>
  <sheetViews>
    <sheetView workbookViewId="0">
      <selection activeCell="N23" sqref="N23"/>
    </sheetView>
  </sheetViews>
  <sheetFormatPr baseColWidth="10" defaultRowHeight="16" x14ac:dyDescent="0.2"/>
  <cols>
    <col min="1" max="1" width="13" bestFit="1" customWidth="1"/>
    <col min="2" max="2" width="18" bestFit="1" customWidth="1"/>
  </cols>
  <sheetData>
    <row r="3" spans="1:2" x14ac:dyDescent="0.2">
      <c r="A3" s="5" t="s">
        <v>54</v>
      </c>
      <c r="B3" t="s">
        <v>58</v>
      </c>
    </row>
    <row r="4" spans="1:2" x14ac:dyDescent="0.2">
      <c r="A4" s="6" t="s">
        <v>35</v>
      </c>
      <c r="B4" s="10">
        <v>1071326.923076923</v>
      </c>
    </row>
    <row r="5" spans="1:2" x14ac:dyDescent="0.2">
      <c r="A5" s="6" t="s">
        <v>14</v>
      </c>
      <c r="B5" s="10">
        <v>1087969.2307692308</v>
      </c>
    </row>
    <row r="6" spans="1:2" x14ac:dyDescent="0.2">
      <c r="A6" s="6" t="s">
        <v>28</v>
      </c>
      <c r="B6" s="10">
        <v>1143803.9215686275</v>
      </c>
    </row>
    <row r="7" spans="1:2" x14ac:dyDescent="0.2">
      <c r="A7" s="6" t="s">
        <v>22</v>
      </c>
      <c r="B7" s="10">
        <v>1211985.9154929577</v>
      </c>
    </row>
    <row r="8" spans="1:2" x14ac:dyDescent="0.2">
      <c r="A8" s="6" t="s">
        <v>45</v>
      </c>
      <c r="B8" s="10">
        <v>1214500</v>
      </c>
    </row>
    <row r="9" spans="1:2" x14ac:dyDescent="0.2">
      <c r="A9" s="6" t="s">
        <v>39</v>
      </c>
      <c r="B9" s="10">
        <v>1270000</v>
      </c>
    </row>
    <row r="10" spans="1:2" x14ac:dyDescent="0.2">
      <c r="A10" s="6" t="s">
        <v>37</v>
      </c>
      <c r="B10" s="10">
        <v>1292551.0204081633</v>
      </c>
    </row>
    <row r="11" spans="1:2" x14ac:dyDescent="0.2">
      <c r="A11" s="6" t="s">
        <v>43</v>
      </c>
      <c r="B11" s="10">
        <v>1414363.6363636365</v>
      </c>
    </row>
    <row r="12" spans="1:2" x14ac:dyDescent="0.2">
      <c r="A12" s="6" t="s">
        <v>42</v>
      </c>
      <c r="B12" s="10">
        <v>1440738.4615384615</v>
      </c>
    </row>
    <row r="13" spans="1:2" x14ac:dyDescent="0.2">
      <c r="A13" s="6" t="s">
        <v>41</v>
      </c>
      <c r="B13" s="10">
        <v>1587885.2459016393</v>
      </c>
    </row>
    <row r="14" spans="1:2" x14ac:dyDescent="0.2">
      <c r="A14" s="6" t="s">
        <v>56</v>
      </c>
      <c r="B14" s="10">
        <v>1278527.7310924369</v>
      </c>
    </row>
  </sheetData>
  <pageMargins left="0.7" right="0.7" top="0.75" bottom="0.75" header="0.3" footer="0.3"/>
  <pageSetup paperSize="9"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C86E1-ADCC-4041-A9B7-1299D0B36605}">
  <dimension ref="A3:B10"/>
  <sheetViews>
    <sheetView workbookViewId="0">
      <selection activeCell="L22" sqref="L22"/>
    </sheetView>
  </sheetViews>
  <sheetFormatPr baseColWidth="10" defaultRowHeight="16" x14ac:dyDescent="0.2"/>
  <cols>
    <col min="1" max="1" width="13" bestFit="1" customWidth="1"/>
    <col min="2" max="2" width="16" bestFit="1" customWidth="1"/>
  </cols>
  <sheetData>
    <row r="3" spans="1:2" x14ac:dyDescent="0.2">
      <c r="A3" s="5" t="s">
        <v>54</v>
      </c>
      <c r="B3" t="s">
        <v>59</v>
      </c>
    </row>
    <row r="4" spans="1:2" x14ac:dyDescent="0.2">
      <c r="A4" s="6" t="s">
        <v>15</v>
      </c>
      <c r="B4">
        <v>467</v>
      </c>
    </row>
    <row r="5" spans="1:2" x14ac:dyDescent="0.2">
      <c r="A5" s="6" t="s">
        <v>23</v>
      </c>
      <c r="B5">
        <v>195</v>
      </c>
    </row>
    <row r="6" spans="1:2" x14ac:dyDescent="0.2">
      <c r="A6" s="6" t="s">
        <v>36</v>
      </c>
      <c r="B6">
        <v>85</v>
      </c>
    </row>
    <row r="7" spans="1:2" x14ac:dyDescent="0.2">
      <c r="A7" s="6" t="s">
        <v>38</v>
      </c>
      <c r="B7">
        <v>127</v>
      </c>
    </row>
    <row r="8" spans="1:2" x14ac:dyDescent="0.2">
      <c r="A8" s="6" t="s">
        <v>29</v>
      </c>
      <c r="B8">
        <v>326</v>
      </c>
    </row>
    <row r="9" spans="1:2" x14ac:dyDescent="0.2">
      <c r="A9" s="6" t="s">
        <v>55</v>
      </c>
    </row>
    <row r="10" spans="1:2" x14ac:dyDescent="0.2">
      <c r="A10" s="6" t="s">
        <v>56</v>
      </c>
      <c r="B10">
        <v>1200</v>
      </c>
    </row>
  </sheetData>
  <pageMargins left="0.7" right="0.7" top="0.75" bottom="0.75" header="0.3" footer="0.3"/>
  <pageSetup paperSize="9" orientation="portrait" horizontalDpi="0" verticalDpi="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1A8EF-A0A3-4841-AA00-34FBA6504EF3}">
  <dimension ref="A3:B8"/>
  <sheetViews>
    <sheetView workbookViewId="0">
      <selection activeCell="L23" sqref="L23"/>
    </sheetView>
  </sheetViews>
  <sheetFormatPr baseColWidth="10" defaultRowHeight="16" x14ac:dyDescent="0.2"/>
  <cols>
    <col min="1" max="1" width="13.33203125" bestFit="1" customWidth="1"/>
    <col min="2" max="2" width="14.83203125" bestFit="1" customWidth="1"/>
  </cols>
  <sheetData>
    <row r="3" spans="1:2" x14ac:dyDescent="0.2">
      <c r="A3" s="5" t="s">
        <v>54</v>
      </c>
      <c r="B3" t="s">
        <v>57</v>
      </c>
    </row>
    <row r="4" spans="1:2" x14ac:dyDescent="0.2">
      <c r="A4" s="6" t="s">
        <v>20</v>
      </c>
      <c r="B4">
        <v>329772000</v>
      </c>
    </row>
    <row r="5" spans="1:2" x14ac:dyDescent="0.2">
      <c r="A5" s="6" t="s">
        <v>34</v>
      </c>
      <c r="B5">
        <v>321429000</v>
      </c>
    </row>
    <row r="6" spans="1:2" x14ac:dyDescent="0.2">
      <c r="A6" s="6" t="s">
        <v>17</v>
      </c>
      <c r="B6">
        <v>639275000</v>
      </c>
    </row>
    <row r="7" spans="1:2" x14ac:dyDescent="0.2">
      <c r="A7" s="6" t="s">
        <v>55</v>
      </c>
    </row>
    <row r="8" spans="1:2" x14ac:dyDescent="0.2">
      <c r="A8" s="6" t="s">
        <v>56</v>
      </c>
      <c r="B8">
        <v>1290476000</v>
      </c>
    </row>
  </sheetData>
  <pageMargins left="0.7" right="0.7" top="0.75" bottom="0.75" header="0.3" footer="0.3"/>
  <pageSetup paperSize="9" orientation="portrait" horizontalDpi="0" verticalDpi="0"/>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07ECC-0B0B-C24E-834E-D94786E73BAA}">
  <dimension ref="A1:Y1201"/>
  <sheetViews>
    <sheetView topLeftCell="R1" workbookViewId="0">
      <selection activeCell="AF33" sqref="AF33"/>
    </sheetView>
  </sheetViews>
  <sheetFormatPr baseColWidth="10" defaultRowHeight="16" x14ac:dyDescent="0.2"/>
  <cols>
    <col min="3" max="3" width="21" customWidth="1"/>
    <col min="4" max="4" width="14" customWidth="1"/>
    <col min="10" max="10" width="14.83203125" customWidth="1"/>
    <col min="13" max="13" width="15.33203125" customWidth="1"/>
  </cols>
  <sheetData>
    <row r="1" spans="1:25"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P1" s="1" t="s">
        <v>60</v>
      </c>
      <c r="Q1" s="1" t="s">
        <v>61</v>
      </c>
      <c r="R1" s="1" t="s">
        <v>62</v>
      </c>
      <c r="S1" s="1" t="s">
        <v>63</v>
      </c>
      <c r="T1" s="1" t="s">
        <v>64</v>
      </c>
      <c r="U1" s="1" t="s">
        <v>65</v>
      </c>
      <c r="V1" s="1" t="s">
        <v>66</v>
      </c>
      <c r="W1" s="1" t="s">
        <v>67</v>
      </c>
      <c r="X1" s="1" t="s">
        <v>68</v>
      </c>
      <c r="Y1" s="1" t="s">
        <v>69</v>
      </c>
    </row>
    <row r="2" spans="1:25" x14ac:dyDescent="0.2">
      <c r="A2">
        <v>1000</v>
      </c>
      <c r="B2" t="s">
        <v>14</v>
      </c>
      <c r="C2" t="s">
        <v>15</v>
      </c>
      <c r="D2">
        <v>2023</v>
      </c>
      <c r="E2" t="s">
        <v>16</v>
      </c>
      <c r="F2">
        <v>160</v>
      </c>
      <c r="G2">
        <v>3</v>
      </c>
      <c r="H2">
        <v>3</v>
      </c>
      <c r="I2">
        <v>647000</v>
      </c>
      <c r="J2">
        <v>4043.8</v>
      </c>
      <c r="K2">
        <v>10</v>
      </c>
      <c r="L2" t="s">
        <v>17</v>
      </c>
      <c r="M2">
        <v>107</v>
      </c>
      <c r="N2" t="s">
        <v>18</v>
      </c>
      <c r="P2" t="e">
        <f>IF(C2="Villa", I2, NA())</f>
        <v>#N/A</v>
      </c>
      <c r="Q2" t="e">
        <f>IF(C2="Villa", F2, NA())</f>
        <v>#N/A</v>
      </c>
      <c r="R2">
        <f>IF(C2="Apartment",I2,NA())</f>
        <v>647000</v>
      </c>
      <c r="S2">
        <f>IF(C2="Apartment",F2,NA())</f>
        <v>160</v>
      </c>
      <c r="T2" t="e">
        <f>IF(C2="Duplex",I2,NA())</f>
        <v>#N/A</v>
      </c>
      <c r="U2" t="e">
        <f>IF(C2="Duplex",F2,NA())</f>
        <v>#N/A</v>
      </c>
      <c r="V2" t="e">
        <f>IF(C2="Studio",I2,NA())</f>
        <v>#N/A</v>
      </c>
      <c r="W2" t="e">
        <f>IF(C2="Studio",F2,NA())</f>
        <v>#N/A</v>
      </c>
      <c r="X2" t="e">
        <f>IF(C2="Floor",I2,NA())</f>
        <v>#N/A</v>
      </c>
      <c r="Y2" t="e">
        <f>IF(C2="Floor",F2,NA())</f>
        <v>#N/A</v>
      </c>
    </row>
    <row r="3" spans="1:25" x14ac:dyDescent="0.2">
      <c r="A3">
        <v>1001</v>
      </c>
      <c r="B3" t="s">
        <v>19</v>
      </c>
      <c r="C3" t="s">
        <v>15</v>
      </c>
      <c r="D3">
        <v>2022</v>
      </c>
      <c r="E3" t="s">
        <v>16</v>
      </c>
      <c r="F3">
        <v>141</v>
      </c>
      <c r="G3">
        <v>2</v>
      </c>
      <c r="H3">
        <v>2</v>
      </c>
      <c r="I3">
        <v>439000</v>
      </c>
      <c r="J3">
        <v>3113.5</v>
      </c>
      <c r="K3">
        <v>3</v>
      </c>
      <c r="L3" t="s">
        <v>20</v>
      </c>
      <c r="M3">
        <v>157</v>
      </c>
      <c r="N3" t="s">
        <v>21</v>
      </c>
      <c r="P3" t="e">
        <f t="shared" ref="P3:P66" si="0">IF(C3="Villa", I3, NA())</f>
        <v>#N/A</v>
      </c>
      <c r="Q3" t="e">
        <f t="shared" ref="Q3:Q66" si="1">IF(C3="Villa", F3, NA())</f>
        <v>#N/A</v>
      </c>
      <c r="R3">
        <f t="shared" ref="R3:R66" si="2">IF(C3="Apartment",I3,NA())</f>
        <v>439000</v>
      </c>
      <c r="S3">
        <f t="shared" ref="S3:S66" si="3">IF(C3="Apartment",F3,NA())</f>
        <v>141</v>
      </c>
      <c r="T3" t="e">
        <f t="shared" ref="T3:T66" si="4">IF(C3="Duplex",I3,NA())</f>
        <v>#N/A</v>
      </c>
      <c r="U3" t="e">
        <f t="shared" ref="U3:U66" si="5">IF(C3="Duplex",F3,NA())</f>
        <v>#N/A</v>
      </c>
      <c r="V3" t="e">
        <f t="shared" ref="V3:V66" si="6">IF(C3="Studio",I3,NA())</f>
        <v>#N/A</v>
      </c>
      <c r="W3" t="e">
        <f t="shared" ref="W3:W66" si="7">IF(C3="Studio",F3,NA())</f>
        <v>#N/A</v>
      </c>
      <c r="X3" t="e">
        <f t="shared" ref="X3:X66" si="8">IF(C3="Floor",I3,NA())</f>
        <v>#N/A</v>
      </c>
      <c r="Y3" t="e">
        <f t="shared" ref="Y3:Y66" si="9">IF(C3="Floor",F3,NA())</f>
        <v>#N/A</v>
      </c>
    </row>
    <row r="4" spans="1:25" x14ac:dyDescent="0.2">
      <c r="A4">
        <v>1002</v>
      </c>
      <c r="B4" t="s">
        <v>22</v>
      </c>
      <c r="C4" t="s">
        <v>23</v>
      </c>
      <c r="D4">
        <v>2023</v>
      </c>
      <c r="E4" t="s">
        <v>24</v>
      </c>
      <c r="F4">
        <v>268</v>
      </c>
      <c r="G4">
        <v>4</v>
      </c>
      <c r="H4">
        <v>4</v>
      </c>
      <c r="I4">
        <v>1088000</v>
      </c>
      <c r="J4">
        <v>4059.7</v>
      </c>
      <c r="K4">
        <v>0</v>
      </c>
      <c r="L4" t="s">
        <v>20</v>
      </c>
      <c r="M4">
        <v>153</v>
      </c>
      <c r="N4" t="s">
        <v>18</v>
      </c>
      <c r="P4" t="e">
        <f t="shared" si="0"/>
        <v>#N/A</v>
      </c>
      <c r="Q4" t="e">
        <f t="shared" si="1"/>
        <v>#N/A</v>
      </c>
      <c r="R4" t="e">
        <f t="shared" si="2"/>
        <v>#N/A</v>
      </c>
      <c r="S4" t="e">
        <f t="shared" si="3"/>
        <v>#N/A</v>
      </c>
      <c r="T4">
        <f t="shared" si="4"/>
        <v>1088000</v>
      </c>
      <c r="U4">
        <f t="shared" si="5"/>
        <v>268</v>
      </c>
      <c r="V4" t="e">
        <f t="shared" si="6"/>
        <v>#N/A</v>
      </c>
      <c r="W4" t="e">
        <f t="shared" si="7"/>
        <v>#N/A</v>
      </c>
      <c r="X4" t="e">
        <f t="shared" si="8"/>
        <v>#N/A</v>
      </c>
      <c r="Y4" t="e">
        <f t="shared" si="9"/>
        <v>#N/A</v>
      </c>
    </row>
    <row r="5" spans="1:25" x14ac:dyDescent="0.2">
      <c r="A5">
        <v>1003</v>
      </c>
      <c r="B5" t="s">
        <v>25</v>
      </c>
      <c r="C5" t="s">
        <v>15</v>
      </c>
      <c r="D5">
        <v>2021</v>
      </c>
      <c r="E5" t="s">
        <v>26</v>
      </c>
      <c r="F5">
        <v>138</v>
      </c>
      <c r="G5">
        <v>2</v>
      </c>
      <c r="H5">
        <v>2</v>
      </c>
      <c r="I5">
        <v>330000</v>
      </c>
      <c r="J5">
        <v>2391.3000000000002</v>
      </c>
      <c r="K5">
        <v>2</v>
      </c>
      <c r="L5" t="s">
        <v>17</v>
      </c>
      <c r="M5">
        <v>160</v>
      </c>
      <c r="N5" t="s">
        <v>27</v>
      </c>
      <c r="P5" t="e">
        <f t="shared" si="0"/>
        <v>#N/A</v>
      </c>
      <c r="Q5" t="e">
        <f t="shared" si="1"/>
        <v>#N/A</v>
      </c>
      <c r="R5">
        <f t="shared" si="2"/>
        <v>330000</v>
      </c>
      <c r="S5">
        <f t="shared" si="3"/>
        <v>138</v>
      </c>
      <c r="T5" t="e">
        <f t="shared" si="4"/>
        <v>#N/A</v>
      </c>
      <c r="U5" t="e">
        <f t="shared" si="5"/>
        <v>#N/A</v>
      </c>
      <c r="V5" t="e">
        <f t="shared" si="6"/>
        <v>#N/A</v>
      </c>
      <c r="W5" t="e">
        <f t="shared" si="7"/>
        <v>#N/A</v>
      </c>
      <c r="X5" t="e">
        <f t="shared" si="8"/>
        <v>#N/A</v>
      </c>
      <c r="Y5" t="e">
        <f t="shared" si="9"/>
        <v>#N/A</v>
      </c>
    </row>
    <row r="6" spans="1:25" x14ac:dyDescent="0.2">
      <c r="A6">
        <v>1004</v>
      </c>
      <c r="B6" t="s">
        <v>28</v>
      </c>
      <c r="C6" t="s">
        <v>29</v>
      </c>
      <c r="D6">
        <v>2021</v>
      </c>
      <c r="E6" t="s">
        <v>30</v>
      </c>
      <c r="F6">
        <v>546</v>
      </c>
      <c r="G6">
        <v>4</v>
      </c>
      <c r="H6">
        <v>4</v>
      </c>
      <c r="I6">
        <v>1998000</v>
      </c>
      <c r="J6">
        <v>3659.3</v>
      </c>
      <c r="K6">
        <v>15</v>
      </c>
      <c r="L6" t="s">
        <v>17</v>
      </c>
      <c r="M6">
        <v>82</v>
      </c>
      <c r="N6" t="s">
        <v>27</v>
      </c>
      <c r="P6">
        <f t="shared" si="0"/>
        <v>1998000</v>
      </c>
      <c r="Q6">
        <f t="shared" si="1"/>
        <v>546</v>
      </c>
      <c r="R6" t="e">
        <f t="shared" si="2"/>
        <v>#N/A</v>
      </c>
      <c r="S6" t="e">
        <f t="shared" si="3"/>
        <v>#N/A</v>
      </c>
      <c r="T6" t="e">
        <f t="shared" si="4"/>
        <v>#N/A</v>
      </c>
      <c r="U6" t="e">
        <f t="shared" si="5"/>
        <v>#N/A</v>
      </c>
      <c r="V6" t="e">
        <f t="shared" si="6"/>
        <v>#N/A</v>
      </c>
      <c r="W6" t="e">
        <f t="shared" si="7"/>
        <v>#N/A</v>
      </c>
      <c r="X6" t="e">
        <f t="shared" si="8"/>
        <v>#N/A</v>
      </c>
      <c r="Y6" t="e">
        <f t="shared" si="9"/>
        <v>#N/A</v>
      </c>
    </row>
    <row r="7" spans="1:25" x14ac:dyDescent="0.2">
      <c r="A7">
        <v>1005</v>
      </c>
      <c r="B7" t="s">
        <v>28</v>
      </c>
      <c r="C7" t="s">
        <v>15</v>
      </c>
      <c r="D7">
        <v>2023</v>
      </c>
      <c r="E7" t="s">
        <v>16</v>
      </c>
      <c r="F7">
        <v>168</v>
      </c>
      <c r="G7">
        <v>3</v>
      </c>
      <c r="H7">
        <v>3</v>
      </c>
      <c r="I7">
        <v>551000</v>
      </c>
      <c r="J7">
        <v>3279.8</v>
      </c>
      <c r="K7">
        <v>10</v>
      </c>
      <c r="L7" t="s">
        <v>20</v>
      </c>
      <c r="M7">
        <v>69</v>
      </c>
      <c r="N7" t="s">
        <v>27</v>
      </c>
      <c r="P7" t="e">
        <f t="shared" si="0"/>
        <v>#N/A</v>
      </c>
      <c r="Q7" t="e">
        <f t="shared" si="1"/>
        <v>#N/A</v>
      </c>
      <c r="R7">
        <f t="shared" si="2"/>
        <v>551000</v>
      </c>
      <c r="S7">
        <f t="shared" si="3"/>
        <v>168</v>
      </c>
      <c r="T7" t="e">
        <f t="shared" si="4"/>
        <v>#N/A</v>
      </c>
      <c r="U7" t="e">
        <f t="shared" si="5"/>
        <v>#N/A</v>
      </c>
      <c r="V7" t="e">
        <f t="shared" si="6"/>
        <v>#N/A</v>
      </c>
      <c r="W7" t="e">
        <f t="shared" si="7"/>
        <v>#N/A</v>
      </c>
      <c r="X7" t="e">
        <f t="shared" si="8"/>
        <v>#N/A</v>
      </c>
      <c r="Y7" t="e">
        <f t="shared" si="9"/>
        <v>#N/A</v>
      </c>
    </row>
    <row r="8" spans="1:25" x14ac:dyDescent="0.2">
      <c r="A8">
        <v>1006</v>
      </c>
      <c r="B8" t="s">
        <v>31</v>
      </c>
      <c r="C8" t="s">
        <v>15</v>
      </c>
      <c r="D8">
        <v>2023</v>
      </c>
      <c r="E8" t="s">
        <v>30</v>
      </c>
      <c r="F8">
        <v>131</v>
      </c>
      <c r="G8">
        <v>3</v>
      </c>
      <c r="H8">
        <v>3</v>
      </c>
      <c r="I8">
        <v>358000</v>
      </c>
      <c r="J8">
        <v>2732.8</v>
      </c>
      <c r="K8">
        <v>1</v>
      </c>
      <c r="L8" t="s">
        <v>20</v>
      </c>
      <c r="M8">
        <v>170</v>
      </c>
      <c r="N8" t="s">
        <v>21</v>
      </c>
      <c r="P8" t="e">
        <f t="shared" si="0"/>
        <v>#N/A</v>
      </c>
      <c r="Q8" t="e">
        <f t="shared" si="1"/>
        <v>#N/A</v>
      </c>
      <c r="R8">
        <f t="shared" si="2"/>
        <v>358000</v>
      </c>
      <c r="S8">
        <f t="shared" si="3"/>
        <v>131</v>
      </c>
      <c r="T8" t="e">
        <f t="shared" si="4"/>
        <v>#N/A</v>
      </c>
      <c r="U8" t="e">
        <f t="shared" si="5"/>
        <v>#N/A</v>
      </c>
      <c r="V8" t="e">
        <f t="shared" si="6"/>
        <v>#N/A</v>
      </c>
      <c r="W8" t="e">
        <f t="shared" si="7"/>
        <v>#N/A</v>
      </c>
      <c r="X8" t="e">
        <f t="shared" si="8"/>
        <v>#N/A</v>
      </c>
      <c r="Y8" t="e">
        <f t="shared" si="9"/>
        <v>#N/A</v>
      </c>
    </row>
    <row r="9" spans="1:25" x14ac:dyDescent="0.2">
      <c r="A9">
        <v>1007</v>
      </c>
      <c r="B9" t="s">
        <v>32</v>
      </c>
      <c r="C9" t="s">
        <v>15</v>
      </c>
      <c r="D9">
        <v>2024</v>
      </c>
      <c r="E9" t="s">
        <v>26</v>
      </c>
      <c r="F9">
        <v>161</v>
      </c>
      <c r="G9">
        <v>4</v>
      </c>
      <c r="H9">
        <v>4</v>
      </c>
      <c r="I9">
        <v>478000</v>
      </c>
      <c r="J9">
        <v>2968.9</v>
      </c>
      <c r="K9">
        <v>1</v>
      </c>
      <c r="L9" t="s">
        <v>17</v>
      </c>
      <c r="M9">
        <v>48</v>
      </c>
      <c r="N9" t="s">
        <v>18</v>
      </c>
      <c r="P9" t="e">
        <f t="shared" si="0"/>
        <v>#N/A</v>
      </c>
      <c r="Q9" t="e">
        <f t="shared" si="1"/>
        <v>#N/A</v>
      </c>
      <c r="R9">
        <f t="shared" si="2"/>
        <v>478000</v>
      </c>
      <c r="S9">
        <f t="shared" si="3"/>
        <v>161</v>
      </c>
      <c r="T9" t="e">
        <f t="shared" si="4"/>
        <v>#N/A</v>
      </c>
      <c r="U9" t="e">
        <f t="shared" si="5"/>
        <v>#N/A</v>
      </c>
      <c r="V9" t="e">
        <f t="shared" si="6"/>
        <v>#N/A</v>
      </c>
      <c r="W9" t="e">
        <f t="shared" si="7"/>
        <v>#N/A</v>
      </c>
      <c r="X9" t="e">
        <f t="shared" si="8"/>
        <v>#N/A</v>
      </c>
      <c r="Y9" t="e">
        <f t="shared" si="9"/>
        <v>#N/A</v>
      </c>
    </row>
    <row r="10" spans="1:25" x14ac:dyDescent="0.2">
      <c r="A10">
        <v>1008</v>
      </c>
      <c r="B10" t="s">
        <v>33</v>
      </c>
      <c r="C10" t="s">
        <v>29</v>
      </c>
      <c r="D10">
        <v>2024</v>
      </c>
      <c r="E10" t="s">
        <v>24</v>
      </c>
      <c r="F10">
        <v>439</v>
      </c>
      <c r="G10">
        <v>6</v>
      </c>
      <c r="H10">
        <v>6</v>
      </c>
      <c r="I10">
        <v>1897000</v>
      </c>
      <c r="J10">
        <v>4321.2</v>
      </c>
      <c r="K10">
        <v>10</v>
      </c>
      <c r="L10" t="s">
        <v>34</v>
      </c>
      <c r="M10">
        <v>28</v>
      </c>
      <c r="N10" t="s">
        <v>27</v>
      </c>
      <c r="P10">
        <f t="shared" si="0"/>
        <v>1897000</v>
      </c>
      <c r="Q10">
        <f t="shared" si="1"/>
        <v>439</v>
      </c>
      <c r="R10" t="e">
        <f t="shared" si="2"/>
        <v>#N/A</v>
      </c>
      <c r="S10" t="e">
        <f t="shared" si="3"/>
        <v>#N/A</v>
      </c>
      <c r="T10" t="e">
        <f t="shared" si="4"/>
        <v>#N/A</v>
      </c>
      <c r="U10" t="e">
        <f t="shared" si="5"/>
        <v>#N/A</v>
      </c>
      <c r="V10" t="e">
        <f t="shared" si="6"/>
        <v>#N/A</v>
      </c>
      <c r="W10" t="e">
        <f t="shared" si="7"/>
        <v>#N/A</v>
      </c>
      <c r="X10" t="e">
        <f t="shared" si="8"/>
        <v>#N/A</v>
      </c>
      <c r="Y10" t="e">
        <f t="shared" si="9"/>
        <v>#N/A</v>
      </c>
    </row>
    <row r="11" spans="1:25" x14ac:dyDescent="0.2">
      <c r="A11">
        <v>1009</v>
      </c>
      <c r="B11" t="s">
        <v>22</v>
      </c>
      <c r="C11" t="s">
        <v>23</v>
      </c>
      <c r="D11">
        <v>2024</v>
      </c>
      <c r="E11" t="s">
        <v>30</v>
      </c>
      <c r="F11">
        <v>184</v>
      </c>
      <c r="G11">
        <v>5</v>
      </c>
      <c r="H11">
        <v>5</v>
      </c>
      <c r="I11">
        <v>823000</v>
      </c>
      <c r="J11">
        <v>4472.8</v>
      </c>
      <c r="K11">
        <v>1</v>
      </c>
      <c r="L11" t="s">
        <v>17</v>
      </c>
      <c r="M11">
        <v>170</v>
      </c>
      <c r="N11" t="s">
        <v>18</v>
      </c>
      <c r="P11" t="e">
        <f t="shared" si="0"/>
        <v>#N/A</v>
      </c>
      <c r="Q11" t="e">
        <f t="shared" si="1"/>
        <v>#N/A</v>
      </c>
      <c r="R11" t="e">
        <f t="shared" si="2"/>
        <v>#N/A</v>
      </c>
      <c r="S11" t="e">
        <f t="shared" si="3"/>
        <v>#N/A</v>
      </c>
      <c r="T11">
        <f t="shared" si="4"/>
        <v>823000</v>
      </c>
      <c r="U11">
        <f t="shared" si="5"/>
        <v>184</v>
      </c>
      <c r="V11" t="e">
        <f t="shared" si="6"/>
        <v>#N/A</v>
      </c>
      <c r="W11" t="e">
        <f t="shared" si="7"/>
        <v>#N/A</v>
      </c>
      <c r="X11" t="e">
        <f t="shared" si="8"/>
        <v>#N/A</v>
      </c>
      <c r="Y11" t="e">
        <f t="shared" si="9"/>
        <v>#N/A</v>
      </c>
    </row>
    <row r="12" spans="1:25" x14ac:dyDescent="0.2">
      <c r="A12">
        <v>1010</v>
      </c>
      <c r="B12" t="s">
        <v>14</v>
      </c>
      <c r="C12" t="s">
        <v>23</v>
      </c>
      <c r="D12">
        <v>2023</v>
      </c>
      <c r="E12" t="s">
        <v>24</v>
      </c>
      <c r="F12">
        <v>229</v>
      </c>
      <c r="G12">
        <v>4</v>
      </c>
      <c r="H12">
        <v>4</v>
      </c>
      <c r="I12">
        <v>1011000</v>
      </c>
      <c r="J12">
        <v>4414.8</v>
      </c>
      <c r="K12">
        <v>3</v>
      </c>
      <c r="L12" t="s">
        <v>34</v>
      </c>
      <c r="M12">
        <v>158</v>
      </c>
      <c r="N12" t="s">
        <v>18</v>
      </c>
      <c r="P12" t="e">
        <f t="shared" si="0"/>
        <v>#N/A</v>
      </c>
      <c r="Q12" t="e">
        <f t="shared" si="1"/>
        <v>#N/A</v>
      </c>
      <c r="R12" t="e">
        <f t="shared" si="2"/>
        <v>#N/A</v>
      </c>
      <c r="S12" t="e">
        <f t="shared" si="3"/>
        <v>#N/A</v>
      </c>
      <c r="T12">
        <f t="shared" si="4"/>
        <v>1011000</v>
      </c>
      <c r="U12">
        <f t="shared" si="5"/>
        <v>229</v>
      </c>
      <c r="V12" t="e">
        <f t="shared" si="6"/>
        <v>#N/A</v>
      </c>
      <c r="W12" t="e">
        <f t="shared" si="7"/>
        <v>#N/A</v>
      </c>
      <c r="X12" t="e">
        <f t="shared" si="8"/>
        <v>#N/A</v>
      </c>
      <c r="Y12" t="e">
        <f t="shared" si="9"/>
        <v>#N/A</v>
      </c>
    </row>
    <row r="13" spans="1:25" x14ac:dyDescent="0.2">
      <c r="A13">
        <v>1011</v>
      </c>
      <c r="B13" t="s">
        <v>35</v>
      </c>
      <c r="C13" t="s">
        <v>36</v>
      </c>
      <c r="D13">
        <v>2022</v>
      </c>
      <c r="E13" t="s">
        <v>30</v>
      </c>
      <c r="F13">
        <v>369</v>
      </c>
      <c r="G13">
        <v>4</v>
      </c>
      <c r="H13">
        <v>4</v>
      </c>
      <c r="I13">
        <v>939000</v>
      </c>
      <c r="J13">
        <v>2544.6999999999998</v>
      </c>
      <c r="K13">
        <v>10</v>
      </c>
      <c r="L13" t="s">
        <v>17</v>
      </c>
      <c r="M13">
        <v>141</v>
      </c>
      <c r="N13" t="s">
        <v>18</v>
      </c>
      <c r="P13" t="e">
        <f t="shared" si="0"/>
        <v>#N/A</v>
      </c>
      <c r="Q13" t="e">
        <f t="shared" si="1"/>
        <v>#N/A</v>
      </c>
      <c r="R13" t="e">
        <f t="shared" si="2"/>
        <v>#N/A</v>
      </c>
      <c r="S13" t="e">
        <f t="shared" si="3"/>
        <v>#N/A</v>
      </c>
      <c r="T13" t="e">
        <f t="shared" si="4"/>
        <v>#N/A</v>
      </c>
      <c r="U13" t="e">
        <f t="shared" si="5"/>
        <v>#N/A</v>
      </c>
      <c r="V13" t="e">
        <f t="shared" si="6"/>
        <v>#N/A</v>
      </c>
      <c r="W13" t="e">
        <f t="shared" si="7"/>
        <v>#N/A</v>
      </c>
      <c r="X13">
        <f t="shared" si="8"/>
        <v>939000</v>
      </c>
      <c r="Y13">
        <f t="shared" si="9"/>
        <v>369</v>
      </c>
    </row>
    <row r="14" spans="1:25" x14ac:dyDescent="0.2">
      <c r="A14">
        <v>1012</v>
      </c>
      <c r="B14" t="s">
        <v>37</v>
      </c>
      <c r="C14" t="s">
        <v>38</v>
      </c>
      <c r="D14">
        <v>2023</v>
      </c>
      <c r="E14" t="s">
        <v>26</v>
      </c>
      <c r="F14">
        <v>70</v>
      </c>
      <c r="G14">
        <v>0</v>
      </c>
      <c r="H14">
        <v>1</v>
      </c>
      <c r="I14">
        <v>381000</v>
      </c>
      <c r="J14">
        <v>5442.9</v>
      </c>
      <c r="K14">
        <v>1</v>
      </c>
      <c r="L14" t="s">
        <v>20</v>
      </c>
      <c r="M14">
        <v>103</v>
      </c>
      <c r="N14" t="s">
        <v>27</v>
      </c>
      <c r="P14" t="e">
        <f t="shared" si="0"/>
        <v>#N/A</v>
      </c>
      <c r="Q14" t="e">
        <f t="shared" si="1"/>
        <v>#N/A</v>
      </c>
      <c r="R14" t="e">
        <f t="shared" si="2"/>
        <v>#N/A</v>
      </c>
      <c r="S14" t="e">
        <f t="shared" si="3"/>
        <v>#N/A</v>
      </c>
      <c r="T14" t="e">
        <f t="shared" si="4"/>
        <v>#N/A</v>
      </c>
      <c r="U14" t="e">
        <f t="shared" si="5"/>
        <v>#N/A</v>
      </c>
      <c r="V14">
        <f t="shared" si="6"/>
        <v>381000</v>
      </c>
      <c r="W14">
        <f t="shared" si="7"/>
        <v>70</v>
      </c>
      <c r="X14" t="e">
        <f t="shared" si="8"/>
        <v>#N/A</v>
      </c>
      <c r="Y14" t="e">
        <f t="shared" si="9"/>
        <v>#N/A</v>
      </c>
    </row>
    <row r="15" spans="1:25" x14ac:dyDescent="0.2">
      <c r="A15">
        <v>1013</v>
      </c>
      <c r="B15" t="s">
        <v>39</v>
      </c>
      <c r="C15" t="s">
        <v>15</v>
      </c>
      <c r="D15">
        <v>2024</v>
      </c>
      <c r="E15" t="s">
        <v>30</v>
      </c>
      <c r="F15">
        <v>138</v>
      </c>
      <c r="G15">
        <v>3</v>
      </c>
      <c r="H15">
        <v>3</v>
      </c>
      <c r="I15">
        <v>586000</v>
      </c>
      <c r="J15">
        <v>4246.3999999999996</v>
      </c>
      <c r="K15">
        <v>1</v>
      </c>
      <c r="L15" t="s">
        <v>17</v>
      </c>
      <c r="M15">
        <v>110</v>
      </c>
      <c r="N15" t="s">
        <v>21</v>
      </c>
      <c r="P15" t="e">
        <f t="shared" si="0"/>
        <v>#N/A</v>
      </c>
      <c r="Q15" t="e">
        <f t="shared" si="1"/>
        <v>#N/A</v>
      </c>
      <c r="R15">
        <f t="shared" si="2"/>
        <v>586000</v>
      </c>
      <c r="S15">
        <f t="shared" si="3"/>
        <v>138</v>
      </c>
      <c r="T15" t="e">
        <f t="shared" si="4"/>
        <v>#N/A</v>
      </c>
      <c r="U15" t="e">
        <f t="shared" si="5"/>
        <v>#N/A</v>
      </c>
      <c r="V15" t="e">
        <f t="shared" si="6"/>
        <v>#N/A</v>
      </c>
      <c r="W15" t="e">
        <f t="shared" si="7"/>
        <v>#N/A</v>
      </c>
      <c r="X15" t="e">
        <f t="shared" si="8"/>
        <v>#N/A</v>
      </c>
      <c r="Y15" t="e">
        <f t="shared" si="9"/>
        <v>#N/A</v>
      </c>
    </row>
    <row r="16" spans="1:25" x14ac:dyDescent="0.2">
      <c r="A16">
        <v>1014</v>
      </c>
      <c r="B16" t="s">
        <v>40</v>
      </c>
      <c r="C16" t="s">
        <v>36</v>
      </c>
      <c r="D16">
        <v>2022</v>
      </c>
      <c r="E16" t="s">
        <v>24</v>
      </c>
      <c r="F16">
        <v>317</v>
      </c>
      <c r="G16">
        <v>5</v>
      </c>
      <c r="H16">
        <v>5</v>
      </c>
      <c r="I16">
        <v>815000</v>
      </c>
      <c r="J16">
        <v>2571</v>
      </c>
      <c r="K16">
        <v>3</v>
      </c>
      <c r="L16" t="s">
        <v>20</v>
      </c>
      <c r="M16">
        <v>12</v>
      </c>
      <c r="N16" t="s">
        <v>18</v>
      </c>
      <c r="P16" t="e">
        <f t="shared" si="0"/>
        <v>#N/A</v>
      </c>
      <c r="Q16" t="e">
        <f t="shared" si="1"/>
        <v>#N/A</v>
      </c>
      <c r="R16" t="e">
        <f t="shared" si="2"/>
        <v>#N/A</v>
      </c>
      <c r="S16" t="e">
        <f t="shared" si="3"/>
        <v>#N/A</v>
      </c>
      <c r="T16" t="e">
        <f t="shared" si="4"/>
        <v>#N/A</v>
      </c>
      <c r="U16" t="e">
        <f t="shared" si="5"/>
        <v>#N/A</v>
      </c>
      <c r="V16" t="e">
        <f t="shared" si="6"/>
        <v>#N/A</v>
      </c>
      <c r="W16" t="e">
        <f t="shared" si="7"/>
        <v>#N/A</v>
      </c>
      <c r="X16">
        <f t="shared" si="8"/>
        <v>815000</v>
      </c>
      <c r="Y16">
        <f t="shared" si="9"/>
        <v>317</v>
      </c>
    </row>
    <row r="17" spans="1:25" x14ac:dyDescent="0.2">
      <c r="A17">
        <v>1015</v>
      </c>
      <c r="B17" t="s">
        <v>41</v>
      </c>
      <c r="C17" t="s">
        <v>29</v>
      </c>
      <c r="D17">
        <v>2022</v>
      </c>
      <c r="E17" t="s">
        <v>16</v>
      </c>
      <c r="F17">
        <v>429</v>
      </c>
      <c r="G17">
        <v>4</v>
      </c>
      <c r="H17">
        <v>4</v>
      </c>
      <c r="I17">
        <v>2803000</v>
      </c>
      <c r="J17">
        <v>6533.8</v>
      </c>
      <c r="K17">
        <v>0</v>
      </c>
      <c r="L17" t="s">
        <v>20</v>
      </c>
      <c r="M17">
        <v>60</v>
      </c>
      <c r="N17" t="s">
        <v>21</v>
      </c>
      <c r="P17">
        <f t="shared" si="0"/>
        <v>2803000</v>
      </c>
      <c r="Q17">
        <f t="shared" si="1"/>
        <v>429</v>
      </c>
      <c r="R17" t="e">
        <f t="shared" si="2"/>
        <v>#N/A</v>
      </c>
      <c r="S17" t="e">
        <f t="shared" si="3"/>
        <v>#N/A</v>
      </c>
      <c r="T17" t="e">
        <f t="shared" si="4"/>
        <v>#N/A</v>
      </c>
      <c r="U17" t="e">
        <f t="shared" si="5"/>
        <v>#N/A</v>
      </c>
      <c r="V17" t="e">
        <f t="shared" si="6"/>
        <v>#N/A</v>
      </c>
      <c r="W17" t="e">
        <f t="shared" si="7"/>
        <v>#N/A</v>
      </c>
      <c r="X17" t="e">
        <f t="shared" si="8"/>
        <v>#N/A</v>
      </c>
      <c r="Y17" t="e">
        <f t="shared" si="9"/>
        <v>#N/A</v>
      </c>
    </row>
    <row r="18" spans="1:25" x14ac:dyDescent="0.2">
      <c r="A18">
        <v>1016</v>
      </c>
      <c r="B18" t="s">
        <v>37</v>
      </c>
      <c r="C18" t="s">
        <v>15</v>
      </c>
      <c r="D18">
        <v>2024</v>
      </c>
      <c r="E18" t="s">
        <v>16</v>
      </c>
      <c r="F18">
        <v>127</v>
      </c>
      <c r="G18">
        <v>3</v>
      </c>
      <c r="H18">
        <v>3</v>
      </c>
      <c r="I18">
        <v>601000</v>
      </c>
      <c r="J18">
        <v>4732.3</v>
      </c>
      <c r="K18">
        <v>10</v>
      </c>
      <c r="L18" t="s">
        <v>20</v>
      </c>
      <c r="M18">
        <v>18</v>
      </c>
      <c r="N18" t="s">
        <v>27</v>
      </c>
      <c r="P18" t="e">
        <f t="shared" si="0"/>
        <v>#N/A</v>
      </c>
      <c r="Q18" t="e">
        <f t="shared" si="1"/>
        <v>#N/A</v>
      </c>
      <c r="R18">
        <f t="shared" si="2"/>
        <v>601000</v>
      </c>
      <c r="S18">
        <f t="shared" si="3"/>
        <v>127</v>
      </c>
      <c r="T18" t="e">
        <f t="shared" si="4"/>
        <v>#N/A</v>
      </c>
      <c r="U18" t="e">
        <f t="shared" si="5"/>
        <v>#N/A</v>
      </c>
      <c r="V18" t="e">
        <f t="shared" si="6"/>
        <v>#N/A</v>
      </c>
      <c r="W18" t="e">
        <f t="shared" si="7"/>
        <v>#N/A</v>
      </c>
      <c r="X18" t="e">
        <f t="shared" si="8"/>
        <v>#N/A</v>
      </c>
      <c r="Y18" t="e">
        <f t="shared" si="9"/>
        <v>#N/A</v>
      </c>
    </row>
    <row r="19" spans="1:25" x14ac:dyDescent="0.2">
      <c r="A19">
        <v>1017</v>
      </c>
      <c r="B19" t="s">
        <v>42</v>
      </c>
      <c r="C19" t="s">
        <v>15</v>
      </c>
      <c r="D19">
        <v>2024</v>
      </c>
      <c r="E19" t="s">
        <v>26</v>
      </c>
      <c r="F19">
        <v>136</v>
      </c>
      <c r="G19">
        <v>2</v>
      </c>
      <c r="H19">
        <v>2</v>
      </c>
      <c r="I19">
        <v>668000</v>
      </c>
      <c r="J19">
        <v>4911.8</v>
      </c>
      <c r="K19">
        <v>10</v>
      </c>
      <c r="L19" t="s">
        <v>34</v>
      </c>
      <c r="M19">
        <v>20</v>
      </c>
      <c r="N19" t="s">
        <v>21</v>
      </c>
      <c r="P19" t="e">
        <f t="shared" si="0"/>
        <v>#N/A</v>
      </c>
      <c r="Q19" t="e">
        <f t="shared" si="1"/>
        <v>#N/A</v>
      </c>
      <c r="R19">
        <f t="shared" si="2"/>
        <v>668000</v>
      </c>
      <c r="S19">
        <f t="shared" si="3"/>
        <v>136</v>
      </c>
      <c r="T19" t="e">
        <f t="shared" si="4"/>
        <v>#N/A</v>
      </c>
      <c r="U19" t="e">
        <f t="shared" si="5"/>
        <v>#N/A</v>
      </c>
      <c r="V19" t="e">
        <f t="shared" si="6"/>
        <v>#N/A</v>
      </c>
      <c r="W19" t="e">
        <f t="shared" si="7"/>
        <v>#N/A</v>
      </c>
      <c r="X19" t="e">
        <f t="shared" si="8"/>
        <v>#N/A</v>
      </c>
      <c r="Y19" t="e">
        <f t="shared" si="9"/>
        <v>#N/A</v>
      </c>
    </row>
    <row r="20" spans="1:25" x14ac:dyDescent="0.2">
      <c r="A20">
        <v>1018</v>
      </c>
      <c r="B20" t="s">
        <v>40</v>
      </c>
      <c r="C20" t="s">
        <v>15</v>
      </c>
      <c r="D20">
        <v>2024</v>
      </c>
      <c r="E20" t="s">
        <v>16</v>
      </c>
      <c r="F20">
        <v>145</v>
      </c>
      <c r="G20">
        <v>4</v>
      </c>
      <c r="H20">
        <v>4</v>
      </c>
      <c r="I20">
        <v>506000</v>
      </c>
      <c r="J20">
        <v>3489.7</v>
      </c>
      <c r="K20">
        <v>1</v>
      </c>
      <c r="L20" t="s">
        <v>34</v>
      </c>
      <c r="M20">
        <v>80</v>
      </c>
      <c r="N20" t="s">
        <v>18</v>
      </c>
      <c r="P20" t="e">
        <f t="shared" si="0"/>
        <v>#N/A</v>
      </c>
      <c r="Q20" t="e">
        <f t="shared" si="1"/>
        <v>#N/A</v>
      </c>
      <c r="R20">
        <f t="shared" si="2"/>
        <v>506000</v>
      </c>
      <c r="S20">
        <f t="shared" si="3"/>
        <v>145</v>
      </c>
      <c r="T20" t="e">
        <f t="shared" si="4"/>
        <v>#N/A</v>
      </c>
      <c r="U20" t="e">
        <f t="shared" si="5"/>
        <v>#N/A</v>
      </c>
      <c r="V20" t="e">
        <f t="shared" si="6"/>
        <v>#N/A</v>
      </c>
      <c r="W20" t="e">
        <f t="shared" si="7"/>
        <v>#N/A</v>
      </c>
      <c r="X20" t="e">
        <f t="shared" si="8"/>
        <v>#N/A</v>
      </c>
      <c r="Y20" t="e">
        <f t="shared" si="9"/>
        <v>#N/A</v>
      </c>
    </row>
    <row r="21" spans="1:25" x14ac:dyDescent="0.2">
      <c r="A21">
        <v>1019</v>
      </c>
      <c r="B21" t="s">
        <v>31</v>
      </c>
      <c r="C21" t="s">
        <v>15</v>
      </c>
      <c r="D21">
        <v>2021</v>
      </c>
      <c r="E21" t="s">
        <v>30</v>
      </c>
      <c r="F21">
        <v>113</v>
      </c>
      <c r="G21">
        <v>3</v>
      </c>
      <c r="H21">
        <v>3</v>
      </c>
      <c r="I21">
        <v>296000</v>
      </c>
      <c r="J21">
        <v>2619.5</v>
      </c>
      <c r="K21">
        <v>4</v>
      </c>
      <c r="L21" t="s">
        <v>34</v>
      </c>
      <c r="M21">
        <v>163</v>
      </c>
      <c r="N21" t="s">
        <v>21</v>
      </c>
      <c r="P21" t="e">
        <f t="shared" si="0"/>
        <v>#N/A</v>
      </c>
      <c r="Q21" t="e">
        <f t="shared" si="1"/>
        <v>#N/A</v>
      </c>
      <c r="R21">
        <f t="shared" si="2"/>
        <v>296000</v>
      </c>
      <c r="S21">
        <f t="shared" si="3"/>
        <v>113</v>
      </c>
      <c r="T21" t="e">
        <f t="shared" si="4"/>
        <v>#N/A</v>
      </c>
      <c r="U21" t="e">
        <f t="shared" si="5"/>
        <v>#N/A</v>
      </c>
      <c r="V21" t="e">
        <f t="shared" si="6"/>
        <v>#N/A</v>
      </c>
      <c r="W21" t="e">
        <f t="shared" si="7"/>
        <v>#N/A</v>
      </c>
      <c r="X21" t="e">
        <f t="shared" si="8"/>
        <v>#N/A</v>
      </c>
      <c r="Y21" t="e">
        <f t="shared" si="9"/>
        <v>#N/A</v>
      </c>
    </row>
    <row r="22" spans="1:25" x14ac:dyDescent="0.2">
      <c r="A22">
        <v>1020</v>
      </c>
      <c r="B22" t="s">
        <v>22</v>
      </c>
      <c r="C22" t="s">
        <v>15</v>
      </c>
      <c r="D22">
        <v>2024</v>
      </c>
      <c r="E22" t="s">
        <v>24</v>
      </c>
      <c r="F22">
        <v>170</v>
      </c>
      <c r="G22">
        <v>4</v>
      </c>
      <c r="H22">
        <v>4</v>
      </c>
      <c r="I22">
        <v>651000</v>
      </c>
      <c r="J22">
        <v>3829.4</v>
      </c>
      <c r="K22">
        <v>20</v>
      </c>
      <c r="L22" t="s">
        <v>34</v>
      </c>
      <c r="M22">
        <v>101</v>
      </c>
      <c r="N22" t="s">
        <v>18</v>
      </c>
      <c r="P22" t="e">
        <f t="shared" si="0"/>
        <v>#N/A</v>
      </c>
      <c r="Q22" t="e">
        <f t="shared" si="1"/>
        <v>#N/A</v>
      </c>
      <c r="R22">
        <f t="shared" si="2"/>
        <v>651000</v>
      </c>
      <c r="S22">
        <f t="shared" si="3"/>
        <v>170</v>
      </c>
      <c r="T22" t="e">
        <f t="shared" si="4"/>
        <v>#N/A</v>
      </c>
      <c r="U22" t="e">
        <f t="shared" si="5"/>
        <v>#N/A</v>
      </c>
      <c r="V22" t="e">
        <f t="shared" si="6"/>
        <v>#N/A</v>
      </c>
      <c r="W22" t="e">
        <f t="shared" si="7"/>
        <v>#N/A</v>
      </c>
      <c r="X22" t="e">
        <f t="shared" si="8"/>
        <v>#N/A</v>
      </c>
      <c r="Y22" t="e">
        <f t="shared" si="9"/>
        <v>#N/A</v>
      </c>
    </row>
    <row r="23" spans="1:25" x14ac:dyDescent="0.2">
      <c r="A23">
        <v>1021</v>
      </c>
      <c r="B23" t="s">
        <v>43</v>
      </c>
      <c r="C23" t="s">
        <v>15</v>
      </c>
      <c r="D23">
        <v>2023</v>
      </c>
      <c r="E23" t="s">
        <v>16</v>
      </c>
      <c r="F23">
        <v>108</v>
      </c>
      <c r="G23">
        <v>2</v>
      </c>
      <c r="H23">
        <v>2</v>
      </c>
      <c r="I23">
        <v>477000</v>
      </c>
      <c r="J23">
        <v>4416.7</v>
      </c>
      <c r="K23">
        <v>0</v>
      </c>
      <c r="L23" t="s">
        <v>17</v>
      </c>
      <c r="M23">
        <v>166</v>
      </c>
      <c r="N23" t="s">
        <v>27</v>
      </c>
      <c r="P23" t="e">
        <f t="shared" si="0"/>
        <v>#N/A</v>
      </c>
      <c r="Q23" t="e">
        <f t="shared" si="1"/>
        <v>#N/A</v>
      </c>
      <c r="R23">
        <f t="shared" si="2"/>
        <v>477000</v>
      </c>
      <c r="S23">
        <f t="shared" si="3"/>
        <v>108</v>
      </c>
      <c r="T23" t="e">
        <f t="shared" si="4"/>
        <v>#N/A</v>
      </c>
      <c r="U23" t="e">
        <f t="shared" si="5"/>
        <v>#N/A</v>
      </c>
      <c r="V23" t="e">
        <f t="shared" si="6"/>
        <v>#N/A</v>
      </c>
      <c r="W23" t="e">
        <f t="shared" si="7"/>
        <v>#N/A</v>
      </c>
      <c r="X23" t="e">
        <f t="shared" si="8"/>
        <v>#N/A</v>
      </c>
      <c r="Y23" t="e">
        <f t="shared" si="9"/>
        <v>#N/A</v>
      </c>
    </row>
    <row r="24" spans="1:25" x14ac:dyDescent="0.2">
      <c r="A24">
        <v>1022</v>
      </c>
      <c r="B24" t="s">
        <v>37</v>
      </c>
      <c r="C24" t="s">
        <v>15</v>
      </c>
      <c r="D24">
        <v>2021</v>
      </c>
      <c r="E24" t="s">
        <v>16</v>
      </c>
      <c r="F24">
        <v>105</v>
      </c>
      <c r="G24">
        <v>2</v>
      </c>
      <c r="H24">
        <v>2</v>
      </c>
      <c r="I24">
        <v>419000</v>
      </c>
      <c r="J24">
        <v>3990.5</v>
      </c>
      <c r="K24">
        <v>0</v>
      </c>
      <c r="L24" t="s">
        <v>34</v>
      </c>
      <c r="M24">
        <v>45</v>
      </c>
      <c r="N24" t="s">
        <v>27</v>
      </c>
      <c r="P24" t="e">
        <f t="shared" si="0"/>
        <v>#N/A</v>
      </c>
      <c r="Q24" t="e">
        <f t="shared" si="1"/>
        <v>#N/A</v>
      </c>
      <c r="R24">
        <f t="shared" si="2"/>
        <v>419000</v>
      </c>
      <c r="S24">
        <f t="shared" si="3"/>
        <v>105</v>
      </c>
      <c r="T24" t="e">
        <f t="shared" si="4"/>
        <v>#N/A</v>
      </c>
      <c r="U24" t="e">
        <f t="shared" si="5"/>
        <v>#N/A</v>
      </c>
      <c r="V24" t="e">
        <f t="shared" si="6"/>
        <v>#N/A</v>
      </c>
      <c r="W24" t="e">
        <f t="shared" si="7"/>
        <v>#N/A</v>
      </c>
      <c r="X24" t="e">
        <f t="shared" si="8"/>
        <v>#N/A</v>
      </c>
      <c r="Y24" t="e">
        <f t="shared" si="9"/>
        <v>#N/A</v>
      </c>
    </row>
    <row r="25" spans="1:25" x14ac:dyDescent="0.2">
      <c r="A25">
        <v>1023</v>
      </c>
      <c r="B25" t="s">
        <v>25</v>
      </c>
      <c r="C25" t="s">
        <v>15</v>
      </c>
      <c r="D25">
        <v>2021</v>
      </c>
      <c r="E25" t="s">
        <v>26</v>
      </c>
      <c r="F25">
        <v>151</v>
      </c>
      <c r="G25">
        <v>3</v>
      </c>
      <c r="H25">
        <v>3</v>
      </c>
      <c r="I25">
        <v>356000</v>
      </c>
      <c r="J25">
        <v>2357.6</v>
      </c>
      <c r="K25">
        <v>7</v>
      </c>
      <c r="L25" t="s">
        <v>20</v>
      </c>
      <c r="M25">
        <v>72</v>
      </c>
      <c r="N25" t="s">
        <v>27</v>
      </c>
      <c r="P25" t="e">
        <f t="shared" si="0"/>
        <v>#N/A</v>
      </c>
      <c r="Q25" t="e">
        <f t="shared" si="1"/>
        <v>#N/A</v>
      </c>
      <c r="R25">
        <f t="shared" si="2"/>
        <v>356000</v>
      </c>
      <c r="S25">
        <f t="shared" si="3"/>
        <v>151</v>
      </c>
      <c r="T25" t="e">
        <f t="shared" si="4"/>
        <v>#N/A</v>
      </c>
      <c r="U25" t="e">
        <f t="shared" si="5"/>
        <v>#N/A</v>
      </c>
      <c r="V25" t="e">
        <f t="shared" si="6"/>
        <v>#N/A</v>
      </c>
      <c r="W25" t="e">
        <f t="shared" si="7"/>
        <v>#N/A</v>
      </c>
      <c r="X25" t="e">
        <f t="shared" si="8"/>
        <v>#N/A</v>
      </c>
      <c r="Y25" t="e">
        <f t="shared" si="9"/>
        <v>#N/A</v>
      </c>
    </row>
    <row r="26" spans="1:25" x14ac:dyDescent="0.2">
      <c r="A26">
        <v>1024</v>
      </c>
      <c r="B26" t="s">
        <v>44</v>
      </c>
      <c r="C26" t="s">
        <v>29</v>
      </c>
      <c r="D26">
        <v>2021</v>
      </c>
      <c r="E26" t="s">
        <v>30</v>
      </c>
      <c r="F26">
        <v>479</v>
      </c>
      <c r="G26">
        <v>4</v>
      </c>
      <c r="H26">
        <v>4</v>
      </c>
      <c r="I26">
        <v>1872000</v>
      </c>
      <c r="J26">
        <v>3908.1</v>
      </c>
      <c r="K26">
        <v>1</v>
      </c>
      <c r="L26" t="s">
        <v>20</v>
      </c>
      <c r="M26">
        <v>168</v>
      </c>
      <c r="N26" t="s">
        <v>18</v>
      </c>
      <c r="P26">
        <f t="shared" si="0"/>
        <v>1872000</v>
      </c>
      <c r="Q26">
        <f t="shared" si="1"/>
        <v>479</v>
      </c>
      <c r="R26" t="e">
        <f t="shared" si="2"/>
        <v>#N/A</v>
      </c>
      <c r="S26" t="e">
        <f t="shared" si="3"/>
        <v>#N/A</v>
      </c>
      <c r="T26" t="e">
        <f t="shared" si="4"/>
        <v>#N/A</v>
      </c>
      <c r="U26" t="e">
        <f t="shared" si="5"/>
        <v>#N/A</v>
      </c>
      <c r="V26" t="e">
        <f t="shared" si="6"/>
        <v>#N/A</v>
      </c>
      <c r="W26" t="e">
        <f t="shared" si="7"/>
        <v>#N/A</v>
      </c>
      <c r="X26" t="e">
        <f t="shared" si="8"/>
        <v>#N/A</v>
      </c>
      <c r="Y26" t="e">
        <f t="shared" si="9"/>
        <v>#N/A</v>
      </c>
    </row>
    <row r="27" spans="1:25" x14ac:dyDescent="0.2">
      <c r="A27">
        <v>1025</v>
      </c>
      <c r="B27" t="s">
        <v>39</v>
      </c>
      <c r="C27" t="s">
        <v>38</v>
      </c>
      <c r="D27">
        <v>2023</v>
      </c>
      <c r="E27" t="s">
        <v>24</v>
      </c>
      <c r="F27">
        <v>57</v>
      </c>
      <c r="G27">
        <v>0</v>
      </c>
      <c r="H27">
        <v>1</v>
      </c>
      <c r="I27">
        <v>286000</v>
      </c>
      <c r="J27">
        <v>5017.5</v>
      </c>
      <c r="K27">
        <v>20</v>
      </c>
      <c r="L27" t="s">
        <v>34</v>
      </c>
      <c r="M27">
        <v>96</v>
      </c>
      <c r="N27" t="s">
        <v>21</v>
      </c>
      <c r="P27" t="e">
        <f t="shared" si="0"/>
        <v>#N/A</v>
      </c>
      <c r="Q27" t="e">
        <f t="shared" si="1"/>
        <v>#N/A</v>
      </c>
      <c r="R27" t="e">
        <f t="shared" si="2"/>
        <v>#N/A</v>
      </c>
      <c r="S27" t="e">
        <f t="shared" si="3"/>
        <v>#N/A</v>
      </c>
      <c r="T27" t="e">
        <f t="shared" si="4"/>
        <v>#N/A</v>
      </c>
      <c r="U27" t="e">
        <f t="shared" si="5"/>
        <v>#N/A</v>
      </c>
      <c r="V27">
        <f t="shared" si="6"/>
        <v>286000</v>
      </c>
      <c r="W27">
        <f t="shared" si="7"/>
        <v>57</v>
      </c>
      <c r="X27" t="e">
        <f t="shared" si="8"/>
        <v>#N/A</v>
      </c>
      <c r="Y27" t="e">
        <f t="shared" si="9"/>
        <v>#N/A</v>
      </c>
    </row>
    <row r="28" spans="1:25" x14ac:dyDescent="0.2">
      <c r="A28">
        <v>1026</v>
      </c>
      <c r="B28" t="s">
        <v>31</v>
      </c>
      <c r="C28" t="s">
        <v>15</v>
      </c>
      <c r="D28">
        <v>2021</v>
      </c>
      <c r="E28" t="s">
        <v>16</v>
      </c>
      <c r="F28">
        <v>142</v>
      </c>
      <c r="G28">
        <v>3</v>
      </c>
      <c r="H28">
        <v>3</v>
      </c>
      <c r="I28">
        <v>343000</v>
      </c>
      <c r="J28">
        <v>2415.5</v>
      </c>
      <c r="K28">
        <v>5</v>
      </c>
      <c r="L28" t="s">
        <v>20</v>
      </c>
      <c r="M28">
        <v>109</v>
      </c>
      <c r="N28" t="s">
        <v>21</v>
      </c>
      <c r="P28" t="e">
        <f t="shared" si="0"/>
        <v>#N/A</v>
      </c>
      <c r="Q28" t="e">
        <f t="shared" si="1"/>
        <v>#N/A</v>
      </c>
      <c r="R28">
        <f t="shared" si="2"/>
        <v>343000</v>
      </c>
      <c r="S28">
        <f t="shared" si="3"/>
        <v>142</v>
      </c>
      <c r="T28" t="e">
        <f t="shared" si="4"/>
        <v>#N/A</v>
      </c>
      <c r="U28" t="e">
        <f t="shared" si="5"/>
        <v>#N/A</v>
      </c>
      <c r="V28" t="e">
        <f t="shared" si="6"/>
        <v>#N/A</v>
      </c>
      <c r="W28" t="e">
        <f t="shared" si="7"/>
        <v>#N/A</v>
      </c>
      <c r="X28" t="e">
        <f t="shared" si="8"/>
        <v>#N/A</v>
      </c>
      <c r="Y28" t="e">
        <f t="shared" si="9"/>
        <v>#N/A</v>
      </c>
    </row>
    <row r="29" spans="1:25" x14ac:dyDescent="0.2">
      <c r="A29">
        <v>1027</v>
      </c>
      <c r="B29" t="s">
        <v>32</v>
      </c>
      <c r="C29" t="s">
        <v>15</v>
      </c>
      <c r="D29">
        <v>2023</v>
      </c>
      <c r="E29" t="s">
        <v>26</v>
      </c>
      <c r="F29">
        <v>136</v>
      </c>
      <c r="G29">
        <v>3</v>
      </c>
      <c r="H29">
        <v>3</v>
      </c>
      <c r="I29">
        <v>386000</v>
      </c>
      <c r="J29">
        <v>2838.2</v>
      </c>
      <c r="K29">
        <v>3</v>
      </c>
      <c r="L29" t="s">
        <v>20</v>
      </c>
      <c r="M29">
        <v>1</v>
      </c>
      <c r="N29" t="s">
        <v>18</v>
      </c>
      <c r="P29" t="e">
        <f t="shared" si="0"/>
        <v>#N/A</v>
      </c>
      <c r="Q29" t="e">
        <f t="shared" si="1"/>
        <v>#N/A</v>
      </c>
      <c r="R29">
        <f t="shared" si="2"/>
        <v>386000</v>
      </c>
      <c r="S29">
        <f t="shared" si="3"/>
        <v>136</v>
      </c>
      <c r="T29" t="e">
        <f t="shared" si="4"/>
        <v>#N/A</v>
      </c>
      <c r="U29" t="e">
        <f t="shared" si="5"/>
        <v>#N/A</v>
      </c>
      <c r="V29" t="e">
        <f t="shared" si="6"/>
        <v>#N/A</v>
      </c>
      <c r="W29" t="e">
        <f t="shared" si="7"/>
        <v>#N/A</v>
      </c>
      <c r="X29" t="e">
        <f t="shared" si="8"/>
        <v>#N/A</v>
      </c>
      <c r="Y29" t="e">
        <f t="shared" si="9"/>
        <v>#N/A</v>
      </c>
    </row>
    <row r="30" spans="1:25" x14ac:dyDescent="0.2">
      <c r="A30">
        <v>1028</v>
      </c>
      <c r="B30" t="s">
        <v>45</v>
      </c>
      <c r="C30" t="s">
        <v>29</v>
      </c>
      <c r="D30">
        <v>2023</v>
      </c>
      <c r="E30" t="s">
        <v>16</v>
      </c>
      <c r="F30">
        <v>383</v>
      </c>
      <c r="G30">
        <v>4</v>
      </c>
      <c r="H30">
        <v>4</v>
      </c>
      <c r="I30">
        <v>2324000</v>
      </c>
      <c r="J30">
        <v>6067.9</v>
      </c>
      <c r="K30">
        <v>0</v>
      </c>
      <c r="L30" t="s">
        <v>34</v>
      </c>
      <c r="M30">
        <v>163</v>
      </c>
      <c r="N30" t="s">
        <v>21</v>
      </c>
      <c r="P30">
        <f t="shared" si="0"/>
        <v>2324000</v>
      </c>
      <c r="Q30">
        <f t="shared" si="1"/>
        <v>383</v>
      </c>
      <c r="R30" t="e">
        <f t="shared" si="2"/>
        <v>#N/A</v>
      </c>
      <c r="S30" t="e">
        <f t="shared" si="3"/>
        <v>#N/A</v>
      </c>
      <c r="T30" t="e">
        <f t="shared" si="4"/>
        <v>#N/A</v>
      </c>
      <c r="U30" t="e">
        <f t="shared" si="5"/>
        <v>#N/A</v>
      </c>
      <c r="V30" t="e">
        <f t="shared" si="6"/>
        <v>#N/A</v>
      </c>
      <c r="W30" t="e">
        <f t="shared" si="7"/>
        <v>#N/A</v>
      </c>
      <c r="X30" t="e">
        <f t="shared" si="8"/>
        <v>#N/A</v>
      </c>
      <c r="Y30" t="e">
        <f t="shared" si="9"/>
        <v>#N/A</v>
      </c>
    </row>
    <row r="31" spans="1:25" x14ac:dyDescent="0.2">
      <c r="A31">
        <v>1029</v>
      </c>
      <c r="B31" t="s">
        <v>31</v>
      </c>
      <c r="C31" t="s">
        <v>15</v>
      </c>
      <c r="D31">
        <v>2023</v>
      </c>
      <c r="E31" t="s">
        <v>16</v>
      </c>
      <c r="F31">
        <v>177</v>
      </c>
      <c r="G31">
        <v>4</v>
      </c>
      <c r="H31">
        <v>4</v>
      </c>
      <c r="I31">
        <v>513000</v>
      </c>
      <c r="J31">
        <v>2898.3</v>
      </c>
      <c r="K31">
        <v>2</v>
      </c>
      <c r="L31" t="s">
        <v>34</v>
      </c>
      <c r="M31">
        <v>175</v>
      </c>
      <c r="N31" t="s">
        <v>21</v>
      </c>
      <c r="P31" t="e">
        <f t="shared" si="0"/>
        <v>#N/A</v>
      </c>
      <c r="Q31" t="e">
        <f t="shared" si="1"/>
        <v>#N/A</v>
      </c>
      <c r="R31">
        <f t="shared" si="2"/>
        <v>513000</v>
      </c>
      <c r="S31">
        <f t="shared" si="3"/>
        <v>177</v>
      </c>
      <c r="T31" t="e">
        <f t="shared" si="4"/>
        <v>#N/A</v>
      </c>
      <c r="U31" t="e">
        <f t="shared" si="5"/>
        <v>#N/A</v>
      </c>
      <c r="V31" t="e">
        <f t="shared" si="6"/>
        <v>#N/A</v>
      </c>
      <c r="W31" t="e">
        <f t="shared" si="7"/>
        <v>#N/A</v>
      </c>
      <c r="X31" t="e">
        <f t="shared" si="8"/>
        <v>#N/A</v>
      </c>
      <c r="Y31" t="e">
        <f t="shared" si="9"/>
        <v>#N/A</v>
      </c>
    </row>
    <row r="32" spans="1:25" x14ac:dyDescent="0.2">
      <c r="A32">
        <v>1030</v>
      </c>
      <c r="B32" t="s">
        <v>19</v>
      </c>
      <c r="C32" t="s">
        <v>38</v>
      </c>
      <c r="D32">
        <v>2022</v>
      </c>
      <c r="E32" t="s">
        <v>16</v>
      </c>
      <c r="F32">
        <v>58</v>
      </c>
      <c r="G32">
        <v>0</v>
      </c>
      <c r="H32">
        <v>1</v>
      </c>
      <c r="I32">
        <v>218000</v>
      </c>
      <c r="J32">
        <v>3758.6</v>
      </c>
      <c r="K32">
        <v>10</v>
      </c>
      <c r="L32" t="s">
        <v>34</v>
      </c>
      <c r="M32">
        <v>43</v>
      </c>
      <c r="N32" t="s">
        <v>21</v>
      </c>
      <c r="P32" t="e">
        <f t="shared" si="0"/>
        <v>#N/A</v>
      </c>
      <c r="Q32" t="e">
        <f t="shared" si="1"/>
        <v>#N/A</v>
      </c>
      <c r="R32" t="e">
        <f t="shared" si="2"/>
        <v>#N/A</v>
      </c>
      <c r="S32" t="e">
        <f t="shared" si="3"/>
        <v>#N/A</v>
      </c>
      <c r="T32" t="e">
        <f t="shared" si="4"/>
        <v>#N/A</v>
      </c>
      <c r="U32" t="e">
        <f t="shared" si="5"/>
        <v>#N/A</v>
      </c>
      <c r="V32">
        <f t="shared" si="6"/>
        <v>218000</v>
      </c>
      <c r="W32">
        <f t="shared" si="7"/>
        <v>58</v>
      </c>
      <c r="X32" t="e">
        <f t="shared" si="8"/>
        <v>#N/A</v>
      </c>
      <c r="Y32" t="e">
        <f t="shared" si="9"/>
        <v>#N/A</v>
      </c>
    </row>
    <row r="33" spans="1:25" x14ac:dyDescent="0.2">
      <c r="A33">
        <v>1031</v>
      </c>
      <c r="B33" t="s">
        <v>22</v>
      </c>
      <c r="C33" t="s">
        <v>36</v>
      </c>
      <c r="D33">
        <v>2022</v>
      </c>
      <c r="E33" t="s">
        <v>26</v>
      </c>
      <c r="F33">
        <v>327</v>
      </c>
      <c r="G33">
        <v>4</v>
      </c>
      <c r="H33">
        <v>4</v>
      </c>
      <c r="I33">
        <v>933000</v>
      </c>
      <c r="J33">
        <v>2853.2</v>
      </c>
      <c r="K33">
        <v>10</v>
      </c>
      <c r="L33" t="s">
        <v>34</v>
      </c>
      <c r="M33">
        <v>146</v>
      </c>
      <c r="N33" t="s">
        <v>18</v>
      </c>
      <c r="P33" t="e">
        <f t="shared" si="0"/>
        <v>#N/A</v>
      </c>
      <c r="Q33" t="e">
        <f t="shared" si="1"/>
        <v>#N/A</v>
      </c>
      <c r="R33" t="e">
        <f t="shared" si="2"/>
        <v>#N/A</v>
      </c>
      <c r="S33" t="e">
        <f t="shared" si="3"/>
        <v>#N/A</v>
      </c>
      <c r="T33" t="e">
        <f t="shared" si="4"/>
        <v>#N/A</v>
      </c>
      <c r="U33" t="e">
        <f t="shared" si="5"/>
        <v>#N/A</v>
      </c>
      <c r="V33" t="e">
        <f t="shared" si="6"/>
        <v>#N/A</v>
      </c>
      <c r="W33" t="e">
        <f t="shared" si="7"/>
        <v>#N/A</v>
      </c>
      <c r="X33">
        <f t="shared" si="8"/>
        <v>933000</v>
      </c>
      <c r="Y33">
        <f t="shared" si="9"/>
        <v>327</v>
      </c>
    </row>
    <row r="34" spans="1:25" x14ac:dyDescent="0.2">
      <c r="A34">
        <v>1032</v>
      </c>
      <c r="B34" t="s">
        <v>35</v>
      </c>
      <c r="C34" t="s">
        <v>15</v>
      </c>
      <c r="D34">
        <v>2021</v>
      </c>
      <c r="E34" t="s">
        <v>26</v>
      </c>
      <c r="F34">
        <v>125</v>
      </c>
      <c r="G34">
        <v>2</v>
      </c>
      <c r="H34">
        <v>2</v>
      </c>
      <c r="I34">
        <v>360000</v>
      </c>
      <c r="J34">
        <v>2880</v>
      </c>
      <c r="K34">
        <v>10</v>
      </c>
      <c r="L34" t="s">
        <v>17</v>
      </c>
      <c r="M34">
        <v>55</v>
      </c>
      <c r="N34" t="s">
        <v>18</v>
      </c>
      <c r="P34" t="e">
        <f t="shared" si="0"/>
        <v>#N/A</v>
      </c>
      <c r="Q34" t="e">
        <f t="shared" si="1"/>
        <v>#N/A</v>
      </c>
      <c r="R34">
        <f t="shared" si="2"/>
        <v>360000</v>
      </c>
      <c r="S34">
        <f t="shared" si="3"/>
        <v>125</v>
      </c>
      <c r="T34" t="e">
        <f t="shared" si="4"/>
        <v>#N/A</v>
      </c>
      <c r="U34" t="e">
        <f t="shared" si="5"/>
        <v>#N/A</v>
      </c>
      <c r="V34" t="e">
        <f t="shared" si="6"/>
        <v>#N/A</v>
      </c>
      <c r="W34" t="e">
        <f t="shared" si="7"/>
        <v>#N/A</v>
      </c>
      <c r="X34" t="e">
        <f t="shared" si="8"/>
        <v>#N/A</v>
      </c>
      <c r="Y34" t="e">
        <f t="shared" si="9"/>
        <v>#N/A</v>
      </c>
    </row>
    <row r="35" spans="1:25" x14ac:dyDescent="0.2">
      <c r="A35">
        <v>1033</v>
      </c>
      <c r="B35" t="s">
        <v>46</v>
      </c>
      <c r="C35" t="s">
        <v>15</v>
      </c>
      <c r="D35">
        <v>2022</v>
      </c>
      <c r="E35" t="s">
        <v>26</v>
      </c>
      <c r="F35">
        <v>163</v>
      </c>
      <c r="G35">
        <v>3</v>
      </c>
      <c r="H35">
        <v>3</v>
      </c>
      <c r="I35">
        <v>546000</v>
      </c>
      <c r="J35">
        <v>3349.7</v>
      </c>
      <c r="K35">
        <v>2</v>
      </c>
      <c r="L35" t="s">
        <v>17</v>
      </c>
      <c r="M35">
        <v>123</v>
      </c>
      <c r="N35" t="s">
        <v>18</v>
      </c>
      <c r="P35" t="e">
        <f t="shared" si="0"/>
        <v>#N/A</v>
      </c>
      <c r="Q35" t="e">
        <f t="shared" si="1"/>
        <v>#N/A</v>
      </c>
      <c r="R35">
        <f t="shared" si="2"/>
        <v>546000</v>
      </c>
      <c r="S35">
        <f t="shared" si="3"/>
        <v>163</v>
      </c>
      <c r="T35" t="e">
        <f t="shared" si="4"/>
        <v>#N/A</v>
      </c>
      <c r="U35" t="e">
        <f t="shared" si="5"/>
        <v>#N/A</v>
      </c>
      <c r="V35" t="e">
        <f t="shared" si="6"/>
        <v>#N/A</v>
      </c>
      <c r="W35" t="e">
        <f t="shared" si="7"/>
        <v>#N/A</v>
      </c>
      <c r="X35" t="e">
        <f t="shared" si="8"/>
        <v>#N/A</v>
      </c>
      <c r="Y35" t="e">
        <f t="shared" si="9"/>
        <v>#N/A</v>
      </c>
    </row>
    <row r="36" spans="1:25" x14ac:dyDescent="0.2">
      <c r="A36">
        <v>1034</v>
      </c>
      <c r="B36" t="s">
        <v>31</v>
      </c>
      <c r="C36" t="s">
        <v>15</v>
      </c>
      <c r="D36">
        <v>2021</v>
      </c>
      <c r="E36" t="s">
        <v>30</v>
      </c>
      <c r="F36">
        <v>176</v>
      </c>
      <c r="G36">
        <v>3</v>
      </c>
      <c r="H36">
        <v>3</v>
      </c>
      <c r="I36">
        <v>452000</v>
      </c>
      <c r="J36">
        <v>2568.1999999999998</v>
      </c>
      <c r="K36">
        <v>0</v>
      </c>
      <c r="L36" t="s">
        <v>17</v>
      </c>
      <c r="M36">
        <v>132</v>
      </c>
      <c r="N36" t="s">
        <v>21</v>
      </c>
      <c r="P36" t="e">
        <f t="shared" si="0"/>
        <v>#N/A</v>
      </c>
      <c r="Q36" t="e">
        <f t="shared" si="1"/>
        <v>#N/A</v>
      </c>
      <c r="R36">
        <f t="shared" si="2"/>
        <v>452000</v>
      </c>
      <c r="S36">
        <f t="shared" si="3"/>
        <v>176</v>
      </c>
      <c r="T36" t="e">
        <f t="shared" si="4"/>
        <v>#N/A</v>
      </c>
      <c r="U36" t="e">
        <f t="shared" si="5"/>
        <v>#N/A</v>
      </c>
      <c r="V36" t="e">
        <f t="shared" si="6"/>
        <v>#N/A</v>
      </c>
      <c r="W36" t="e">
        <f t="shared" si="7"/>
        <v>#N/A</v>
      </c>
      <c r="X36" t="e">
        <f t="shared" si="8"/>
        <v>#N/A</v>
      </c>
      <c r="Y36" t="e">
        <f t="shared" si="9"/>
        <v>#N/A</v>
      </c>
    </row>
    <row r="37" spans="1:25" x14ac:dyDescent="0.2">
      <c r="A37">
        <v>1035</v>
      </c>
      <c r="B37" t="s">
        <v>32</v>
      </c>
      <c r="C37" t="s">
        <v>29</v>
      </c>
      <c r="D37">
        <v>2021</v>
      </c>
      <c r="E37" t="s">
        <v>26</v>
      </c>
      <c r="F37">
        <v>495</v>
      </c>
      <c r="G37">
        <v>4</v>
      </c>
      <c r="H37">
        <v>4</v>
      </c>
      <c r="I37">
        <v>1768000</v>
      </c>
      <c r="J37">
        <v>3571.7</v>
      </c>
      <c r="K37">
        <v>3</v>
      </c>
      <c r="L37" t="s">
        <v>17</v>
      </c>
      <c r="M37">
        <v>146</v>
      </c>
      <c r="N37" t="s">
        <v>18</v>
      </c>
      <c r="P37">
        <f t="shared" si="0"/>
        <v>1768000</v>
      </c>
      <c r="Q37">
        <f t="shared" si="1"/>
        <v>495</v>
      </c>
      <c r="R37" t="e">
        <f t="shared" si="2"/>
        <v>#N/A</v>
      </c>
      <c r="S37" t="e">
        <f t="shared" si="3"/>
        <v>#N/A</v>
      </c>
      <c r="T37" t="e">
        <f t="shared" si="4"/>
        <v>#N/A</v>
      </c>
      <c r="U37" t="e">
        <f t="shared" si="5"/>
        <v>#N/A</v>
      </c>
      <c r="V37" t="e">
        <f t="shared" si="6"/>
        <v>#N/A</v>
      </c>
      <c r="W37" t="e">
        <f t="shared" si="7"/>
        <v>#N/A</v>
      </c>
      <c r="X37" t="e">
        <f t="shared" si="8"/>
        <v>#N/A</v>
      </c>
      <c r="Y37" t="e">
        <f t="shared" si="9"/>
        <v>#N/A</v>
      </c>
    </row>
    <row r="38" spans="1:25" x14ac:dyDescent="0.2">
      <c r="A38">
        <v>1036</v>
      </c>
      <c r="B38" t="s">
        <v>40</v>
      </c>
      <c r="C38" t="s">
        <v>15</v>
      </c>
      <c r="D38">
        <v>2021</v>
      </c>
      <c r="E38" t="s">
        <v>24</v>
      </c>
      <c r="F38">
        <v>120</v>
      </c>
      <c r="G38">
        <v>3</v>
      </c>
      <c r="H38">
        <v>3</v>
      </c>
      <c r="I38">
        <v>386000</v>
      </c>
      <c r="J38">
        <v>3216.7</v>
      </c>
      <c r="K38">
        <v>2</v>
      </c>
      <c r="L38" t="s">
        <v>17</v>
      </c>
      <c r="M38">
        <v>73</v>
      </c>
      <c r="N38" t="s">
        <v>18</v>
      </c>
      <c r="P38" t="e">
        <f t="shared" si="0"/>
        <v>#N/A</v>
      </c>
      <c r="Q38" t="e">
        <f t="shared" si="1"/>
        <v>#N/A</v>
      </c>
      <c r="R38">
        <f t="shared" si="2"/>
        <v>386000</v>
      </c>
      <c r="S38">
        <f t="shared" si="3"/>
        <v>120</v>
      </c>
      <c r="T38" t="e">
        <f t="shared" si="4"/>
        <v>#N/A</v>
      </c>
      <c r="U38" t="e">
        <f t="shared" si="5"/>
        <v>#N/A</v>
      </c>
      <c r="V38" t="e">
        <f t="shared" si="6"/>
        <v>#N/A</v>
      </c>
      <c r="W38" t="e">
        <f t="shared" si="7"/>
        <v>#N/A</v>
      </c>
      <c r="X38" t="e">
        <f t="shared" si="8"/>
        <v>#N/A</v>
      </c>
      <c r="Y38" t="e">
        <f t="shared" si="9"/>
        <v>#N/A</v>
      </c>
    </row>
    <row r="39" spans="1:25" x14ac:dyDescent="0.2">
      <c r="A39">
        <v>1037</v>
      </c>
      <c r="B39" t="s">
        <v>44</v>
      </c>
      <c r="C39" t="s">
        <v>29</v>
      </c>
      <c r="D39">
        <v>2022</v>
      </c>
      <c r="E39" t="s">
        <v>26</v>
      </c>
      <c r="F39">
        <v>395</v>
      </c>
      <c r="G39">
        <v>5</v>
      </c>
      <c r="H39">
        <v>5</v>
      </c>
      <c r="I39">
        <v>1820000</v>
      </c>
      <c r="J39">
        <v>4607.6000000000004</v>
      </c>
      <c r="K39">
        <v>5</v>
      </c>
      <c r="L39" t="s">
        <v>20</v>
      </c>
      <c r="M39">
        <v>52</v>
      </c>
      <c r="N39" t="s">
        <v>18</v>
      </c>
      <c r="P39">
        <f t="shared" si="0"/>
        <v>1820000</v>
      </c>
      <c r="Q39">
        <f t="shared" si="1"/>
        <v>395</v>
      </c>
      <c r="R39" t="e">
        <f t="shared" si="2"/>
        <v>#N/A</v>
      </c>
      <c r="S39" t="e">
        <f t="shared" si="3"/>
        <v>#N/A</v>
      </c>
      <c r="T39" t="e">
        <f t="shared" si="4"/>
        <v>#N/A</v>
      </c>
      <c r="U39" t="e">
        <f t="shared" si="5"/>
        <v>#N/A</v>
      </c>
      <c r="V39" t="e">
        <f t="shared" si="6"/>
        <v>#N/A</v>
      </c>
      <c r="W39" t="e">
        <f t="shared" si="7"/>
        <v>#N/A</v>
      </c>
      <c r="X39" t="e">
        <f t="shared" si="8"/>
        <v>#N/A</v>
      </c>
      <c r="Y39" t="e">
        <f t="shared" si="9"/>
        <v>#N/A</v>
      </c>
    </row>
    <row r="40" spans="1:25" x14ac:dyDescent="0.2">
      <c r="A40">
        <v>1038</v>
      </c>
      <c r="B40" t="s">
        <v>42</v>
      </c>
      <c r="C40" t="s">
        <v>23</v>
      </c>
      <c r="D40">
        <v>2023</v>
      </c>
      <c r="E40" t="s">
        <v>26</v>
      </c>
      <c r="F40">
        <v>256</v>
      </c>
      <c r="G40">
        <v>5</v>
      </c>
      <c r="H40">
        <v>5</v>
      </c>
      <c r="I40">
        <v>1360000</v>
      </c>
      <c r="J40">
        <v>5312.5</v>
      </c>
      <c r="K40">
        <v>4</v>
      </c>
      <c r="L40" t="s">
        <v>34</v>
      </c>
      <c r="M40">
        <v>144</v>
      </c>
      <c r="N40" t="s">
        <v>21</v>
      </c>
      <c r="P40" t="e">
        <f t="shared" si="0"/>
        <v>#N/A</v>
      </c>
      <c r="Q40" t="e">
        <f t="shared" si="1"/>
        <v>#N/A</v>
      </c>
      <c r="R40" t="e">
        <f t="shared" si="2"/>
        <v>#N/A</v>
      </c>
      <c r="S40" t="e">
        <f t="shared" si="3"/>
        <v>#N/A</v>
      </c>
      <c r="T40">
        <f t="shared" si="4"/>
        <v>1360000</v>
      </c>
      <c r="U40">
        <f t="shared" si="5"/>
        <v>256</v>
      </c>
      <c r="V40" t="e">
        <f t="shared" si="6"/>
        <v>#N/A</v>
      </c>
      <c r="W40" t="e">
        <f t="shared" si="7"/>
        <v>#N/A</v>
      </c>
      <c r="X40" t="e">
        <f t="shared" si="8"/>
        <v>#N/A</v>
      </c>
      <c r="Y40" t="e">
        <f t="shared" si="9"/>
        <v>#N/A</v>
      </c>
    </row>
    <row r="41" spans="1:25" x14ac:dyDescent="0.2">
      <c r="A41">
        <v>1039</v>
      </c>
      <c r="B41" t="s">
        <v>22</v>
      </c>
      <c r="C41" t="s">
        <v>23</v>
      </c>
      <c r="D41">
        <v>2023</v>
      </c>
      <c r="E41" t="s">
        <v>24</v>
      </c>
      <c r="F41">
        <v>271</v>
      </c>
      <c r="G41">
        <v>4</v>
      </c>
      <c r="H41">
        <v>4</v>
      </c>
      <c r="I41">
        <v>1150000</v>
      </c>
      <c r="J41">
        <v>4243.5</v>
      </c>
      <c r="K41">
        <v>10</v>
      </c>
      <c r="L41" t="s">
        <v>20</v>
      </c>
      <c r="M41">
        <v>9</v>
      </c>
      <c r="N41" t="s">
        <v>18</v>
      </c>
      <c r="P41" t="e">
        <f t="shared" si="0"/>
        <v>#N/A</v>
      </c>
      <c r="Q41" t="e">
        <f t="shared" si="1"/>
        <v>#N/A</v>
      </c>
      <c r="R41" t="e">
        <f t="shared" si="2"/>
        <v>#N/A</v>
      </c>
      <c r="S41" t="e">
        <f t="shared" si="3"/>
        <v>#N/A</v>
      </c>
      <c r="T41">
        <f t="shared" si="4"/>
        <v>1150000</v>
      </c>
      <c r="U41">
        <f t="shared" si="5"/>
        <v>271</v>
      </c>
      <c r="V41" t="e">
        <f t="shared" si="6"/>
        <v>#N/A</v>
      </c>
      <c r="W41" t="e">
        <f t="shared" si="7"/>
        <v>#N/A</v>
      </c>
      <c r="X41" t="e">
        <f t="shared" si="8"/>
        <v>#N/A</v>
      </c>
      <c r="Y41" t="e">
        <f t="shared" si="9"/>
        <v>#N/A</v>
      </c>
    </row>
    <row r="42" spans="1:25" x14ac:dyDescent="0.2">
      <c r="A42">
        <v>1040</v>
      </c>
      <c r="B42" t="s">
        <v>43</v>
      </c>
      <c r="C42" t="s">
        <v>29</v>
      </c>
      <c r="D42">
        <v>2021</v>
      </c>
      <c r="E42" t="s">
        <v>26</v>
      </c>
      <c r="F42">
        <v>485</v>
      </c>
      <c r="G42">
        <v>6</v>
      </c>
      <c r="H42">
        <v>6</v>
      </c>
      <c r="I42">
        <v>2949000</v>
      </c>
      <c r="J42">
        <v>6080.4</v>
      </c>
      <c r="K42">
        <v>3</v>
      </c>
      <c r="L42" t="s">
        <v>20</v>
      </c>
      <c r="M42">
        <v>124</v>
      </c>
      <c r="N42" t="s">
        <v>27</v>
      </c>
      <c r="P42">
        <f t="shared" si="0"/>
        <v>2949000</v>
      </c>
      <c r="Q42">
        <f t="shared" si="1"/>
        <v>485</v>
      </c>
      <c r="R42" t="e">
        <f t="shared" si="2"/>
        <v>#N/A</v>
      </c>
      <c r="S42" t="e">
        <f t="shared" si="3"/>
        <v>#N/A</v>
      </c>
      <c r="T42" t="e">
        <f t="shared" si="4"/>
        <v>#N/A</v>
      </c>
      <c r="U42" t="e">
        <f t="shared" si="5"/>
        <v>#N/A</v>
      </c>
      <c r="V42" t="e">
        <f t="shared" si="6"/>
        <v>#N/A</v>
      </c>
      <c r="W42" t="e">
        <f t="shared" si="7"/>
        <v>#N/A</v>
      </c>
      <c r="X42" t="e">
        <f t="shared" si="8"/>
        <v>#N/A</v>
      </c>
      <c r="Y42" t="e">
        <f t="shared" si="9"/>
        <v>#N/A</v>
      </c>
    </row>
    <row r="43" spans="1:25" x14ac:dyDescent="0.2">
      <c r="A43">
        <v>1041</v>
      </c>
      <c r="B43" t="s">
        <v>14</v>
      </c>
      <c r="C43" t="s">
        <v>23</v>
      </c>
      <c r="D43">
        <v>2022</v>
      </c>
      <c r="E43" t="s">
        <v>16</v>
      </c>
      <c r="F43">
        <v>348</v>
      </c>
      <c r="G43">
        <v>3</v>
      </c>
      <c r="H43">
        <v>3</v>
      </c>
      <c r="I43">
        <v>1460000</v>
      </c>
      <c r="J43">
        <v>4195.3999999999996</v>
      </c>
      <c r="K43">
        <v>3</v>
      </c>
      <c r="L43" t="s">
        <v>34</v>
      </c>
      <c r="M43">
        <v>121</v>
      </c>
      <c r="N43" t="s">
        <v>18</v>
      </c>
      <c r="P43" t="e">
        <f t="shared" si="0"/>
        <v>#N/A</v>
      </c>
      <c r="Q43" t="e">
        <f t="shared" si="1"/>
        <v>#N/A</v>
      </c>
      <c r="R43" t="e">
        <f t="shared" si="2"/>
        <v>#N/A</v>
      </c>
      <c r="S43" t="e">
        <f t="shared" si="3"/>
        <v>#N/A</v>
      </c>
      <c r="T43">
        <f t="shared" si="4"/>
        <v>1460000</v>
      </c>
      <c r="U43">
        <f t="shared" si="5"/>
        <v>348</v>
      </c>
      <c r="V43" t="e">
        <f t="shared" si="6"/>
        <v>#N/A</v>
      </c>
      <c r="W43" t="e">
        <f t="shared" si="7"/>
        <v>#N/A</v>
      </c>
      <c r="X43" t="e">
        <f t="shared" si="8"/>
        <v>#N/A</v>
      </c>
      <c r="Y43" t="e">
        <f t="shared" si="9"/>
        <v>#N/A</v>
      </c>
    </row>
    <row r="44" spans="1:25" x14ac:dyDescent="0.2">
      <c r="A44">
        <v>1042</v>
      </c>
      <c r="B44" t="s">
        <v>31</v>
      </c>
      <c r="C44" t="s">
        <v>29</v>
      </c>
      <c r="D44">
        <v>2024</v>
      </c>
      <c r="E44" t="s">
        <v>26</v>
      </c>
      <c r="F44">
        <v>449</v>
      </c>
      <c r="G44">
        <v>6</v>
      </c>
      <c r="H44">
        <v>6</v>
      </c>
      <c r="I44">
        <v>2172000</v>
      </c>
      <c r="J44">
        <v>4837.3999999999996</v>
      </c>
      <c r="K44">
        <v>1</v>
      </c>
      <c r="L44" t="s">
        <v>20</v>
      </c>
      <c r="M44">
        <v>115</v>
      </c>
      <c r="N44" t="s">
        <v>21</v>
      </c>
      <c r="P44">
        <f t="shared" si="0"/>
        <v>2172000</v>
      </c>
      <c r="Q44">
        <f t="shared" si="1"/>
        <v>449</v>
      </c>
      <c r="R44" t="e">
        <f t="shared" si="2"/>
        <v>#N/A</v>
      </c>
      <c r="S44" t="e">
        <f t="shared" si="3"/>
        <v>#N/A</v>
      </c>
      <c r="T44" t="e">
        <f t="shared" si="4"/>
        <v>#N/A</v>
      </c>
      <c r="U44" t="e">
        <f t="shared" si="5"/>
        <v>#N/A</v>
      </c>
      <c r="V44" t="e">
        <f t="shared" si="6"/>
        <v>#N/A</v>
      </c>
      <c r="W44" t="e">
        <f t="shared" si="7"/>
        <v>#N/A</v>
      </c>
      <c r="X44" t="e">
        <f t="shared" si="8"/>
        <v>#N/A</v>
      </c>
      <c r="Y44" t="e">
        <f t="shared" si="9"/>
        <v>#N/A</v>
      </c>
    </row>
    <row r="45" spans="1:25" x14ac:dyDescent="0.2">
      <c r="A45">
        <v>1043</v>
      </c>
      <c r="B45" t="s">
        <v>37</v>
      </c>
      <c r="C45" t="s">
        <v>29</v>
      </c>
      <c r="D45">
        <v>2022</v>
      </c>
      <c r="E45" t="s">
        <v>24</v>
      </c>
      <c r="F45">
        <v>368</v>
      </c>
      <c r="G45">
        <v>5</v>
      </c>
      <c r="H45">
        <v>5</v>
      </c>
      <c r="I45">
        <v>2263000</v>
      </c>
      <c r="J45">
        <v>6149.5</v>
      </c>
      <c r="K45">
        <v>2</v>
      </c>
      <c r="L45" t="s">
        <v>17</v>
      </c>
      <c r="M45">
        <v>98</v>
      </c>
      <c r="N45" t="s">
        <v>27</v>
      </c>
      <c r="P45">
        <f t="shared" si="0"/>
        <v>2263000</v>
      </c>
      <c r="Q45">
        <f t="shared" si="1"/>
        <v>368</v>
      </c>
      <c r="R45" t="e">
        <f t="shared" si="2"/>
        <v>#N/A</v>
      </c>
      <c r="S45" t="e">
        <f t="shared" si="3"/>
        <v>#N/A</v>
      </c>
      <c r="T45" t="e">
        <f t="shared" si="4"/>
        <v>#N/A</v>
      </c>
      <c r="U45" t="e">
        <f t="shared" si="5"/>
        <v>#N/A</v>
      </c>
      <c r="V45" t="e">
        <f t="shared" si="6"/>
        <v>#N/A</v>
      </c>
      <c r="W45" t="e">
        <f t="shared" si="7"/>
        <v>#N/A</v>
      </c>
      <c r="X45" t="e">
        <f t="shared" si="8"/>
        <v>#N/A</v>
      </c>
      <c r="Y45" t="e">
        <f t="shared" si="9"/>
        <v>#N/A</v>
      </c>
    </row>
    <row r="46" spans="1:25" x14ac:dyDescent="0.2">
      <c r="A46">
        <v>1044</v>
      </c>
      <c r="B46" t="s">
        <v>45</v>
      </c>
      <c r="C46" t="s">
        <v>15</v>
      </c>
      <c r="D46">
        <v>2024</v>
      </c>
      <c r="E46" t="s">
        <v>16</v>
      </c>
      <c r="F46">
        <v>144</v>
      </c>
      <c r="G46">
        <v>3</v>
      </c>
      <c r="H46">
        <v>3</v>
      </c>
      <c r="I46">
        <v>633000</v>
      </c>
      <c r="J46">
        <v>4395.8</v>
      </c>
      <c r="K46">
        <v>2</v>
      </c>
      <c r="L46" t="s">
        <v>17</v>
      </c>
      <c r="M46">
        <v>12</v>
      </c>
      <c r="N46" t="s">
        <v>21</v>
      </c>
      <c r="P46" t="e">
        <f t="shared" si="0"/>
        <v>#N/A</v>
      </c>
      <c r="Q46" t="e">
        <f t="shared" si="1"/>
        <v>#N/A</v>
      </c>
      <c r="R46">
        <f t="shared" si="2"/>
        <v>633000</v>
      </c>
      <c r="S46">
        <f t="shared" si="3"/>
        <v>144</v>
      </c>
      <c r="T46" t="e">
        <f t="shared" si="4"/>
        <v>#N/A</v>
      </c>
      <c r="U46" t="e">
        <f t="shared" si="5"/>
        <v>#N/A</v>
      </c>
      <c r="V46" t="e">
        <f t="shared" si="6"/>
        <v>#N/A</v>
      </c>
      <c r="W46" t="e">
        <f t="shared" si="7"/>
        <v>#N/A</v>
      </c>
      <c r="X46" t="e">
        <f t="shared" si="8"/>
        <v>#N/A</v>
      </c>
      <c r="Y46" t="e">
        <f t="shared" si="9"/>
        <v>#N/A</v>
      </c>
    </row>
    <row r="47" spans="1:25" x14ac:dyDescent="0.2">
      <c r="A47">
        <v>1045</v>
      </c>
      <c r="B47" t="s">
        <v>42</v>
      </c>
      <c r="C47" t="s">
        <v>15</v>
      </c>
      <c r="D47">
        <v>2021</v>
      </c>
      <c r="E47" t="s">
        <v>26</v>
      </c>
      <c r="F47">
        <v>192</v>
      </c>
      <c r="G47">
        <v>4</v>
      </c>
      <c r="H47">
        <v>4</v>
      </c>
      <c r="I47">
        <v>759000</v>
      </c>
      <c r="J47">
        <v>3953.1</v>
      </c>
      <c r="K47">
        <v>10</v>
      </c>
      <c r="L47" t="s">
        <v>34</v>
      </c>
      <c r="M47">
        <v>172</v>
      </c>
      <c r="N47" t="s">
        <v>21</v>
      </c>
      <c r="P47" t="e">
        <f t="shared" si="0"/>
        <v>#N/A</v>
      </c>
      <c r="Q47" t="e">
        <f t="shared" si="1"/>
        <v>#N/A</v>
      </c>
      <c r="R47">
        <f t="shared" si="2"/>
        <v>759000</v>
      </c>
      <c r="S47">
        <f t="shared" si="3"/>
        <v>192</v>
      </c>
      <c r="T47" t="e">
        <f t="shared" si="4"/>
        <v>#N/A</v>
      </c>
      <c r="U47" t="e">
        <f t="shared" si="5"/>
        <v>#N/A</v>
      </c>
      <c r="V47" t="e">
        <f t="shared" si="6"/>
        <v>#N/A</v>
      </c>
      <c r="W47" t="e">
        <f t="shared" si="7"/>
        <v>#N/A</v>
      </c>
      <c r="X47" t="e">
        <f t="shared" si="8"/>
        <v>#N/A</v>
      </c>
      <c r="Y47" t="e">
        <f t="shared" si="9"/>
        <v>#N/A</v>
      </c>
    </row>
    <row r="48" spans="1:25" x14ac:dyDescent="0.2">
      <c r="A48">
        <v>1046</v>
      </c>
      <c r="B48" t="s">
        <v>42</v>
      </c>
      <c r="C48" t="s">
        <v>29</v>
      </c>
      <c r="D48">
        <v>2022</v>
      </c>
      <c r="E48" t="s">
        <v>26</v>
      </c>
      <c r="F48">
        <v>427</v>
      </c>
      <c r="G48">
        <v>6</v>
      </c>
      <c r="H48">
        <v>6</v>
      </c>
      <c r="I48">
        <v>2720000</v>
      </c>
      <c r="J48">
        <v>6370</v>
      </c>
      <c r="K48">
        <v>0</v>
      </c>
      <c r="L48" t="s">
        <v>17</v>
      </c>
      <c r="M48">
        <v>123</v>
      </c>
      <c r="N48" t="s">
        <v>21</v>
      </c>
      <c r="P48">
        <f t="shared" si="0"/>
        <v>2720000</v>
      </c>
      <c r="Q48">
        <f t="shared" si="1"/>
        <v>427</v>
      </c>
      <c r="R48" t="e">
        <f t="shared" si="2"/>
        <v>#N/A</v>
      </c>
      <c r="S48" t="e">
        <f t="shared" si="3"/>
        <v>#N/A</v>
      </c>
      <c r="T48" t="e">
        <f t="shared" si="4"/>
        <v>#N/A</v>
      </c>
      <c r="U48" t="e">
        <f t="shared" si="5"/>
        <v>#N/A</v>
      </c>
      <c r="V48" t="e">
        <f t="shared" si="6"/>
        <v>#N/A</v>
      </c>
      <c r="W48" t="e">
        <f t="shared" si="7"/>
        <v>#N/A</v>
      </c>
      <c r="X48" t="e">
        <f t="shared" si="8"/>
        <v>#N/A</v>
      </c>
      <c r="Y48" t="e">
        <f t="shared" si="9"/>
        <v>#N/A</v>
      </c>
    </row>
    <row r="49" spans="1:25" x14ac:dyDescent="0.2">
      <c r="A49">
        <v>1047</v>
      </c>
      <c r="B49" t="s">
        <v>47</v>
      </c>
      <c r="C49" t="s">
        <v>23</v>
      </c>
      <c r="D49">
        <v>2024</v>
      </c>
      <c r="E49" t="s">
        <v>16</v>
      </c>
      <c r="F49">
        <v>265</v>
      </c>
      <c r="G49">
        <v>5</v>
      </c>
      <c r="H49">
        <v>5</v>
      </c>
      <c r="I49">
        <v>1038000</v>
      </c>
      <c r="J49">
        <v>3917</v>
      </c>
      <c r="K49">
        <v>7</v>
      </c>
      <c r="L49" t="s">
        <v>20</v>
      </c>
      <c r="M49">
        <v>84</v>
      </c>
      <c r="N49" t="s">
        <v>21</v>
      </c>
      <c r="P49" t="e">
        <f t="shared" si="0"/>
        <v>#N/A</v>
      </c>
      <c r="Q49" t="e">
        <f t="shared" si="1"/>
        <v>#N/A</v>
      </c>
      <c r="R49" t="e">
        <f t="shared" si="2"/>
        <v>#N/A</v>
      </c>
      <c r="S49" t="e">
        <f t="shared" si="3"/>
        <v>#N/A</v>
      </c>
      <c r="T49">
        <f t="shared" si="4"/>
        <v>1038000</v>
      </c>
      <c r="U49">
        <f t="shared" si="5"/>
        <v>265</v>
      </c>
      <c r="V49" t="e">
        <f t="shared" si="6"/>
        <v>#N/A</v>
      </c>
      <c r="W49" t="e">
        <f t="shared" si="7"/>
        <v>#N/A</v>
      </c>
      <c r="X49" t="e">
        <f t="shared" si="8"/>
        <v>#N/A</v>
      </c>
      <c r="Y49" t="e">
        <f t="shared" si="9"/>
        <v>#N/A</v>
      </c>
    </row>
    <row r="50" spans="1:25" x14ac:dyDescent="0.2">
      <c r="A50">
        <v>1048</v>
      </c>
      <c r="B50" t="s">
        <v>19</v>
      </c>
      <c r="C50" t="s">
        <v>15</v>
      </c>
      <c r="D50">
        <v>2023</v>
      </c>
      <c r="E50" t="s">
        <v>16</v>
      </c>
      <c r="F50">
        <v>138</v>
      </c>
      <c r="G50">
        <v>4</v>
      </c>
      <c r="H50">
        <v>4</v>
      </c>
      <c r="I50">
        <v>452000</v>
      </c>
      <c r="J50">
        <v>3275.4</v>
      </c>
      <c r="K50">
        <v>2</v>
      </c>
      <c r="L50" t="s">
        <v>34</v>
      </c>
      <c r="M50">
        <v>76</v>
      </c>
      <c r="N50" t="s">
        <v>21</v>
      </c>
      <c r="P50" t="e">
        <f t="shared" si="0"/>
        <v>#N/A</v>
      </c>
      <c r="Q50" t="e">
        <f t="shared" si="1"/>
        <v>#N/A</v>
      </c>
      <c r="R50">
        <f t="shared" si="2"/>
        <v>452000</v>
      </c>
      <c r="S50">
        <f t="shared" si="3"/>
        <v>138</v>
      </c>
      <c r="T50" t="e">
        <f t="shared" si="4"/>
        <v>#N/A</v>
      </c>
      <c r="U50" t="e">
        <f t="shared" si="5"/>
        <v>#N/A</v>
      </c>
      <c r="V50" t="e">
        <f t="shared" si="6"/>
        <v>#N/A</v>
      </c>
      <c r="W50" t="e">
        <f t="shared" si="7"/>
        <v>#N/A</v>
      </c>
      <c r="X50" t="e">
        <f t="shared" si="8"/>
        <v>#N/A</v>
      </c>
      <c r="Y50" t="e">
        <f t="shared" si="9"/>
        <v>#N/A</v>
      </c>
    </row>
    <row r="51" spans="1:25" x14ac:dyDescent="0.2">
      <c r="A51">
        <v>1049</v>
      </c>
      <c r="B51" t="s">
        <v>39</v>
      </c>
      <c r="C51" t="s">
        <v>29</v>
      </c>
      <c r="D51">
        <v>2021</v>
      </c>
      <c r="E51" t="s">
        <v>24</v>
      </c>
      <c r="F51">
        <v>449</v>
      </c>
      <c r="G51">
        <v>4</v>
      </c>
      <c r="H51">
        <v>4</v>
      </c>
      <c r="I51">
        <v>2429000</v>
      </c>
      <c r="J51">
        <v>5409.8</v>
      </c>
      <c r="K51">
        <v>20</v>
      </c>
      <c r="L51" t="s">
        <v>20</v>
      </c>
      <c r="M51">
        <v>4</v>
      </c>
      <c r="N51" t="s">
        <v>21</v>
      </c>
      <c r="P51">
        <f t="shared" si="0"/>
        <v>2429000</v>
      </c>
      <c r="Q51">
        <f t="shared" si="1"/>
        <v>449</v>
      </c>
      <c r="R51" t="e">
        <f t="shared" si="2"/>
        <v>#N/A</v>
      </c>
      <c r="S51" t="e">
        <f t="shared" si="3"/>
        <v>#N/A</v>
      </c>
      <c r="T51" t="e">
        <f t="shared" si="4"/>
        <v>#N/A</v>
      </c>
      <c r="U51" t="e">
        <f t="shared" si="5"/>
        <v>#N/A</v>
      </c>
      <c r="V51" t="e">
        <f t="shared" si="6"/>
        <v>#N/A</v>
      </c>
      <c r="W51" t="e">
        <f t="shared" si="7"/>
        <v>#N/A</v>
      </c>
      <c r="X51" t="e">
        <f t="shared" si="8"/>
        <v>#N/A</v>
      </c>
      <c r="Y51" t="e">
        <f t="shared" si="9"/>
        <v>#N/A</v>
      </c>
    </row>
    <row r="52" spans="1:25" x14ac:dyDescent="0.2">
      <c r="A52">
        <v>1050</v>
      </c>
      <c r="B52" t="s">
        <v>45</v>
      </c>
      <c r="C52" t="s">
        <v>15</v>
      </c>
      <c r="D52">
        <v>2024</v>
      </c>
      <c r="E52" t="s">
        <v>30</v>
      </c>
      <c r="F52">
        <v>121</v>
      </c>
      <c r="G52">
        <v>3</v>
      </c>
      <c r="H52">
        <v>3</v>
      </c>
      <c r="I52">
        <v>567000</v>
      </c>
      <c r="J52">
        <v>4686</v>
      </c>
      <c r="K52">
        <v>1</v>
      </c>
      <c r="L52" t="s">
        <v>17</v>
      </c>
      <c r="M52">
        <v>135</v>
      </c>
      <c r="N52" t="s">
        <v>21</v>
      </c>
      <c r="P52" t="e">
        <f t="shared" si="0"/>
        <v>#N/A</v>
      </c>
      <c r="Q52" t="e">
        <f t="shared" si="1"/>
        <v>#N/A</v>
      </c>
      <c r="R52">
        <f t="shared" si="2"/>
        <v>567000</v>
      </c>
      <c r="S52">
        <f t="shared" si="3"/>
        <v>121</v>
      </c>
      <c r="T52" t="e">
        <f t="shared" si="4"/>
        <v>#N/A</v>
      </c>
      <c r="U52" t="e">
        <f t="shared" si="5"/>
        <v>#N/A</v>
      </c>
      <c r="V52" t="e">
        <f t="shared" si="6"/>
        <v>#N/A</v>
      </c>
      <c r="W52" t="e">
        <f t="shared" si="7"/>
        <v>#N/A</v>
      </c>
      <c r="X52" t="e">
        <f t="shared" si="8"/>
        <v>#N/A</v>
      </c>
      <c r="Y52" t="e">
        <f t="shared" si="9"/>
        <v>#N/A</v>
      </c>
    </row>
    <row r="53" spans="1:25" x14ac:dyDescent="0.2">
      <c r="A53">
        <v>1051</v>
      </c>
      <c r="B53" t="s">
        <v>14</v>
      </c>
      <c r="C53" t="s">
        <v>23</v>
      </c>
      <c r="D53">
        <v>2022</v>
      </c>
      <c r="E53" t="s">
        <v>24</v>
      </c>
      <c r="F53">
        <v>255</v>
      </c>
      <c r="G53">
        <v>3</v>
      </c>
      <c r="H53">
        <v>3</v>
      </c>
      <c r="I53">
        <v>1128000</v>
      </c>
      <c r="J53">
        <v>4423.5</v>
      </c>
      <c r="K53">
        <v>7</v>
      </c>
      <c r="L53" t="s">
        <v>34</v>
      </c>
      <c r="M53">
        <v>72</v>
      </c>
      <c r="N53" t="s">
        <v>18</v>
      </c>
      <c r="P53" t="e">
        <f t="shared" si="0"/>
        <v>#N/A</v>
      </c>
      <c r="Q53" t="e">
        <f t="shared" si="1"/>
        <v>#N/A</v>
      </c>
      <c r="R53" t="e">
        <f t="shared" si="2"/>
        <v>#N/A</v>
      </c>
      <c r="S53" t="e">
        <f t="shared" si="3"/>
        <v>#N/A</v>
      </c>
      <c r="T53">
        <f t="shared" si="4"/>
        <v>1128000</v>
      </c>
      <c r="U53">
        <f t="shared" si="5"/>
        <v>255</v>
      </c>
      <c r="V53" t="e">
        <f t="shared" si="6"/>
        <v>#N/A</v>
      </c>
      <c r="W53" t="e">
        <f t="shared" si="7"/>
        <v>#N/A</v>
      </c>
      <c r="X53" t="e">
        <f t="shared" si="8"/>
        <v>#N/A</v>
      </c>
      <c r="Y53" t="e">
        <f t="shared" si="9"/>
        <v>#N/A</v>
      </c>
    </row>
    <row r="54" spans="1:25" x14ac:dyDescent="0.2">
      <c r="A54">
        <v>1052</v>
      </c>
      <c r="B54" t="s">
        <v>40</v>
      </c>
      <c r="C54" t="s">
        <v>15</v>
      </c>
      <c r="D54">
        <v>2022</v>
      </c>
      <c r="E54" t="s">
        <v>30</v>
      </c>
      <c r="F54">
        <v>172</v>
      </c>
      <c r="G54">
        <v>3</v>
      </c>
      <c r="H54">
        <v>3</v>
      </c>
      <c r="I54">
        <v>592000</v>
      </c>
      <c r="J54">
        <v>3441.9</v>
      </c>
      <c r="K54">
        <v>4</v>
      </c>
      <c r="L54" t="s">
        <v>17</v>
      </c>
      <c r="M54">
        <v>13</v>
      </c>
      <c r="N54" t="s">
        <v>18</v>
      </c>
      <c r="P54" t="e">
        <f t="shared" si="0"/>
        <v>#N/A</v>
      </c>
      <c r="Q54" t="e">
        <f t="shared" si="1"/>
        <v>#N/A</v>
      </c>
      <c r="R54">
        <f t="shared" si="2"/>
        <v>592000</v>
      </c>
      <c r="S54">
        <f t="shared" si="3"/>
        <v>172</v>
      </c>
      <c r="T54" t="e">
        <f t="shared" si="4"/>
        <v>#N/A</v>
      </c>
      <c r="U54" t="e">
        <f t="shared" si="5"/>
        <v>#N/A</v>
      </c>
      <c r="V54" t="e">
        <f t="shared" si="6"/>
        <v>#N/A</v>
      </c>
      <c r="W54" t="e">
        <f t="shared" si="7"/>
        <v>#N/A</v>
      </c>
      <c r="X54" t="e">
        <f t="shared" si="8"/>
        <v>#N/A</v>
      </c>
      <c r="Y54" t="e">
        <f t="shared" si="9"/>
        <v>#N/A</v>
      </c>
    </row>
    <row r="55" spans="1:25" x14ac:dyDescent="0.2">
      <c r="A55">
        <v>1053</v>
      </c>
      <c r="B55" t="s">
        <v>32</v>
      </c>
      <c r="C55" t="s">
        <v>15</v>
      </c>
      <c r="D55">
        <v>2024</v>
      </c>
      <c r="E55" t="s">
        <v>26</v>
      </c>
      <c r="F55">
        <v>155</v>
      </c>
      <c r="G55">
        <v>2</v>
      </c>
      <c r="H55">
        <v>2</v>
      </c>
      <c r="I55">
        <v>460000</v>
      </c>
      <c r="J55">
        <v>2967.7</v>
      </c>
      <c r="K55">
        <v>15</v>
      </c>
      <c r="L55" t="s">
        <v>17</v>
      </c>
      <c r="M55">
        <v>28</v>
      </c>
      <c r="N55" t="s">
        <v>18</v>
      </c>
      <c r="P55" t="e">
        <f t="shared" si="0"/>
        <v>#N/A</v>
      </c>
      <c r="Q55" t="e">
        <f t="shared" si="1"/>
        <v>#N/A</v>
      </c>
      <c r="R55">
        <f t="shared" si="2"/>
        <v>460000</v>
      </c>
      <c r="S55">
        <f t="shared" si="3"/>
        <v>155</v>
      </c>
      <c r="T55" t="e">
        <f t="shared" si="4"/>
        <v>#N/A</v>
      </c>
      <c r="U55" t="e">
        <f t="shared" si="5"/>
        <v>#N/A</v>
      </c>
      <c r="V55" t="e">
        <f t="shared" si="6"/>
        <v>#N/A</v>
      </c>
      <c r="W55" t="e">
        <f t="shared" si="7"/>
        <v>#N/A</v>
      </c>
      <c r="X55" t="e">
        <f t="shared" si="8"/>
        <v>#N/A</v>
      </c>
      <c r="Y55" t="e">
        <f t="shared" si="9"/>
        <v>#N/A</v>
      </c>
    </row>
    <row r="56" spans="1:25" x14ac:dyDescent="0.2">
      <c r="A56">
        <v>1054</v>
      </c>
      <c r="B56" t="s">
        <v>22</v>
      </c>
      <c r="C56" t="s">
        <v>23</v>
      </c>
      <c r="D56">
        <v>2023</v>
      </c>
      <c r="E56" t="s">
        <v>26</v>
      </c>
      <c r="F56">
        <v>285</v>
      </c>
      <c r="G56">
        <v>5</v>
      </c>
      <c r="H56">
        <v>5</v>
      </c>
      <c r="I56">
        <v>1306000</v>
      </c>
      <c r="J56">
        <v>4582.5</v>
      </c>
      <c r="K56">
        <v>15</v>
      </c>
      <c r="L56" t="s">
        <v>34</v>
      </c>
      <c r="M56">
        <v>16</v>
      </c>
      <c r="N56" t="s">
        <v>18</v>
      </c>
      <c r="P56" t="e">
        <f t="shared" si="0"/>
        <v>#N/A</v>
      </c>
      <c r="Q56" t="e">
        <f t="shared" si="1"/>
        <v>#N/A</v>
      </c>
      <c r="R56" t="e">
        <f t="shared" si="2"/>
        <v>#N/A</v>
      </c>
      <c r="S56" t="e">
        <f t="shared" si="3"/>
        <v>#N/A</v>
      </c>
      <c r="T56">
        <f t="shared" si="4"/>
        <v>1306000</v>
      </c>
      <c r="U56">
        <f t="shared" si="5"/>
        <v>285</v>
      </c>
      <c r="V56" t="e">
        <f t="shared" si="6"/>
        <v>#N/A</v>
      </c>
      <c r="W56" t="e">
        <f t="shared" si="7"/>
        <v>#N/A</v>
      </c>
      <c r="X56" t="e">
        <f t="shared" si="8"/>
        <v>#N/A</v>
      </c>
      <c r="Y56" t="e">
        <f t="shared" si="9"/>
        <v>#N/A</v>
      </c>
    </row>
    <row r="57" spans="1:25" x14ac:dyDescent="0.2">
      <c r="A57">
        <v>1055</v>
      </c>
      <c r="B57" t="s">
        <v>48</v>
      </c>
      <c r="C57" t="s">
        <v>15</v>
      </c>
      <c r="D57">
        <v>2024</v>
      </c>
      <c r="E57" t="s">
        <v>26</v>
      </c>
      <c r="F57">
        <v>174</v>
      </c>
      <c r="G57">
        <v>3</v>
      </c>
      <c r="H57">
        <v>3</v>
      </c>
      <c r="I57">
        <v>611000</v>
      </c>
      <c r="J57">
        <v>3511.5</v>
      </c>
      <c r="K57">
        <v>1</v>
      </c>
      <c r="L57" t="s">
        <v>20</v>
      </c>
      <c r="M57">
        <v>144</v>
      </c>
      <c r="N57" t="s">
        <v>27</v>
      </c>
      <c r="P57" t="e">
        <f t="shared" si="0"/>
        <v>#N/A</v>
      </c>
      <c r="Q57" t="e">
        <f t="shared" si="1"/>
        <v>#N/A</v>
      </c>
      <c r="R57">
        <f t="shared" si="2"/>
        <v>611000</v>
      </c>
      <c r="S57">
        <f t="shared" si="3"/>
        <v>174</v>
      </c>
      <c r="T57" t="e">
        <f t="shared" si="4"/>
        <v>#N/A</v>
      </c>
      <c r="U57" t="e">
        <f t="shared" si="5"/>
        <v>#N/A</v>
      </c>
      <c r="V57" t="e">
        <f t="shared" si="6"/>
        <v>#N/A</v>
      </c>
      <c r="W57" t="e">
        <f t="shared" si="7"/>
        <v>#N/A</v>
      </c>
      <c r="X57" t="e">
        <f t="shared" si="8"/>
        <v>#N/A</v>
      </c>
      <c r="Y57" t="e">
        <f t="shared" si="9"/>
        <v>#N/A</v>
      </c>
    </row>
    <row r="58" spans="1:25" x14ac:dyDescent="0.2">
      <c r="A58">
        <v>1056</v>
      </c>
      <c r="B58" t="s">
        <v>32</v>
      </c>
      <c r="C58" t="s">
        <v>15</v>
      </c>
      <c r="D58">
        <v>2023</v>
      </c>
      <c r="E58" t="s">
        <v>30</v>
      </c>
      <c r="F58">
        <v>124</v>
      </c>
      <c r="G58">
        <v>3</v>
      </c>
      <c r="H58">
        <v>3</v>
      </c>
      <c r="I58">
        <v>350000</v>
      </c>
      <c r="J58">
        <v>2822.6</v>
      </c>
      <c r="K58">
        <v>3</v>
      </c>
      <c r="L58" t="s">
        <v>17</v>
      </c>
      <c r="M58">
        <v>44</v>
      </c>
      <c r="N58" t="s">
        <v>18</v>
      </c>
      <c r="P58" t="e">
        <f t="shared" si="0"/>
        <v>#N/A</v>
      </c>
      <c r="Q58" t="e">
        <f t="shared" si="1"/>
        <v>#N/A</v>
      </c>
      <c r="R58">
        <f t="shared" si="2"/>
        <v>350000</v>
      </c>
      <c r="S58">
        <f t="shared" si="3"/>
        <v>124</v>
      </c>
      <c r="T58" t="e">
        <f t="shared" si="4"/>
        <v>#N/A</v>
      </c>
      <c r="U58" t="e">
        <f t="shared" si="5"/>
        <v>#N/A</v>
      </c>
      <c r="V58" t="e">
        <f t="shared" si="6"/>
        <v>#N/A</v>
      </c>
      <c r="W58" t="e">
        <f t="shared" si="7"/>
        <v>#N/A</v>
      </c>
      <c r="X58" t="e">
        <f t="shared" si="8"/>
        <v>#N/A</v>
      </c>
      <c r="Y58" t="e">
        <f t="shared" si="9"/>
        <v>#N/A</v>
      </c>
    </row>
    <row r="59" spans="1:25" x14ac:dyDescent="0.2">
      <c r="A59">
        <v>1057</v>
      </c>
      <c r="B59" t="s">
        <v>43</v>
      </c>
      <c r="C59" t="s">
        <v>29</v>
      </c>
      <c r="D59">
        <v>2024</v>
      </c>
      <c r="E59" t="s">
        <v>26</v>
      </c>
      <c r="F59">
        <v>394</v>
      </c>
      <c r="G59">
        <v>5</v>
      </c>
      <c r="H59">
        <v>5</v>
      </c>
      <c r="I59">
        <v>2765000</v>
      </c>
      <c r="J59">
        <v>7017.8</v>
      </c>
      <c r="K59">
        <v>3</v>
      </c>
      <c r="L59" t="s">
        <v>20</v>
      </c>
      <c r="M59">
        <v>120</v>
      </c>
      <c r="N59" t="s">
        <v>27</v>
      </c>
      <c r="P59">
        <f t="shared" si="0"/>
        <v>2765000</v>
      </c>
      <c r="Q59">
        <f t="shared" si="1"/>
        <v>394</v>
      </c>
      <c r="R59" t="e">
        <f t="shared" si="2"/>
        <v>#N/A</v>
      </c>
      <c r="S59" t="e">
        <f t="shared" si="3"/>
        <v>#N/A</v>
      </c>
      <c r="T59" t="e">
        <f t="shared" si="4"/>
        <v>#N/A</v>
      </c>
      <c r="U59" t="e">
        <f t="shared" si="5"/>
        <v>#N/A</v>
      </c>
      <c r="V59" t="e">
        <f t="shared" si="6"/>
        <v>#N/A</v>
      </c>
      <c r="W59" t="e">
        <f t="shared" si="7"/>
        <v>#N/A</v>
      </c>
      <c r="X59" t="e">
        <f t="shared" si="8"/>
        <v>#N/A</v>
      </c>
      <c r="Y59" t="e">
        <f t="shared" si="9"/>
        <v>#N/A</v>
      </c>
    </row>
    <row r="60" spans="1:25" x14ac:dyDescent="0.2">
      <c r="A60">
        <v>1058</v>
      </c>
      <c r="B60" t="s">
        <v>28</v>
      </c>
      <c r="C60" t="s">
        <v>29</v>
      </c>
      <c r="D60">
        <v>2023</v>
      </c>
      <c r="E60" t="s">
        <v>26</v>
      </c>
      <c r="F60">
        <v>444</v>
      </c>
      <c r="G60">
        <v>6</v>
      </c>
      <c r="H60">
        <v>6</v>
      </c>
      <c r="I60">
        <v>1897000</v>
      </c>
      <c r="J60">
        <v>4272.5</v>
      </c>
      <c r="K60">
        <v>2</v>
      </c>
      <c r="L60" t="s">
        <v>20</v>
      </c>
      <c r="M60">
        <v>130</v>
      </c>
      <c r="N60" t="s">
        <v>27</v>
      </c>
      <c r="P60">
        <f t="shared" si="0"/>
        <v>1897000</v>
      </c>
      <c r="Q60">
        <f t="shared" si="1"/>
        <v>444</v>
      </c>
      <c r="R60" t="e">
        <f t="shared" si="2"/>
        <v>#N/A</v>
      </c>
      <c r="S60" t="e">
        <f t="shared" si="3"/>
        <v>#N/A</v>
      </c>
      <c r="T60" t="e">
        <f t="shared" si="4"/>
        <v>#N/A</v>
      </c>
      <c r="U60" t="e">
        <f t="shared" si="5"/>
        <v>#N/A</v>
      </c>
      <c r="V60" t="e">
        <f t="shared" si="6"/>
        <v>#N/A</v>
      </c>
      <c r="W60" t="e">
        <f t="shared" si="7"/>
        <v>#N/A</v>
      </c>
      <c r="X60" t="e">
        <f t="shared" si="8"/>
        <v>#N/A</v>
      </c>
      <c r="Y60" t="e">
        <f t="shared" si="9"/>
        <v>#N/A</v>
      </c>
    </row>
    <row r="61" spans="1:25" x14ac:dyDescent="0.2">
      <c r="A61">
        <v>1059</v>
      </c>
      <c r="B61" t="s">
        <v>32</v>
      </c>
      <c r="C61" t="s">
        <v>15</v>
      </c>
      <c r="D61">
        <v>2022</v>
      </c>
      <c r="E61" t="s">
        <v>16</v>
      </c>
      <c r="F61">
        <v>153</v>
      </c>
      <c r="G61">
        <v>3</v>
      </c>
      <c r="H61">
        <v>3</v>
      </c>
      <c r="I61">
        <v>417000</v>
      </c>
      <c r="J61">
        <v>2725.5</v>
      </c>
      <c r="K61">
        <v>5</v>
      </c>
      <c r="L61" t="s">
        <v>34</v>
      </c>
      <c r="M61">
        <v>108</v>
      </c>
      <c r="N61" t="s">
        <v>18</v>
      </c>
      <c r="P61" t="e">
        <f t="shared" si="0"/>
        <v>#N/A</v>
      </c>
      <c r="Q61" t="e">
        <f t="shared" si="1"/>
        <v>#N/A</v>
      </c>
      <c r="R61">
        <f t="shared" si="2"/>
        <v>417000</v>
      </c>
      <c r="S61">
        <f t="shared" si="3"/>
        <v>153</v>
      </c>
      <c r="T61" t="e">
        <f t="shared" si="4"/>
        <v>#N/A</v>
      </c>
      <c r="U61" t="e">
        <f t="shared" si="5"/>
        <v>#N/A</v>
      </c>
      <c r="V61" t="e">
        <f t="shared" si="6"/>
        <v>#N/A</v>
      </c>
      <c r="W61" t="e">
        <f t="shared" si="7"/>
        <v>#N/A</v>
      </c>
      <c r="X61" t="e">
        <f t="shared" si="8"/>
        <v>#N/A</v>
      </c>
      <c r="Y61" t="e">
        <f t="shared" si="9"/>
        <v>#N/A</v>
      </c>
    </row>
    <row r="62" spans="1:25" x14ac:dyDescent="0.2">
      <c r="A62">
        <v>1060</v>
      </c>
      <c r="B62" t="s">
        <v>14</v>
      </c>
      <c r="C62" t="s">
        <v>38</v>
      </c>
      <c r="D62">
        <v>2023</v>
      </c>
      <c r="E62" t="s">
        <v>16</v>
      </c>
      <c r="F62">
        <v>41</v>
      </c>
      <c r="G62">
        <v>0</v>
      </c>
      <c r="H62">
        <v>1</v>
      </c>
      <c r="I62">
        <v>198000</v>
      </c>
      <c r="J62">
        <v>4829.3</v>
      </c>
      <c r="K62">
        <v>7</v>
      </c>
      <c r="L62" t="s">
        <v>20</v>
      </c>
      <c r="M62">
        <v>9</v>
      </c>
      <c r="N62" t="s">
        <v>18</v>
      </c>
      <c r="P62" t="e">
        <f t="shared" si="0"/>
        <v>#N/A</v>
      </c>
      <c r="Q62" t="e">
        <f t="shared" si="1"/>
        <v>#N/A</v>
      </c>
      <c r="R62" t="e">
        <f t="shared" si="2"/>
        <v>#N/A</v>
      </c>
      <c r="S62" t="e">
        <f t="shared" si="3"/>
        <v>#N/A</v>
      </c>
      <c r="T62" t="e">
        <f t="shared" si="4"/>
        <v>#N/A</v>
      </c>
      <c r="U62" t="e">
        <f t="shared" si="5"/>
        <v>#N/A</v>
      </c>
      <c r="V62">
        <f t="shared" si="6"/>
        <v>198000</v>
      </c>
      <c r="W62">
        <f t="shared" si="7"/>
        <v>41</v>
      </c>
      <c r="X62" t="e">
        <f t="shared" si="8"/>
        <v>#N/A</v>
      </c>
      <c r="Y62" t="e">
        <f t="shared" si="9"/>
        <v>#N/A</v>
      </c>
    </row>
    <row r="63" spans="1:25" x14ac:dyDescent="0.2">
      <c r="A63">
        <v>1061</v>
      </c>
      <c r="B63" t="s">
        <v>19</v>
      </c>
      <c r="C63" t="s">
        <v>29</v>
      </c>
      <c r="D63">
        <v>2022</v>
      </c>
      <c r="E63" t="s">
        <v>26</v>
      </c>
      <c r="F63">
        <v>386</v>
      </c>
      <c r="G63">
        <v>5</v>
      </c>
      <c r="H63">
        <v>5</v>
      </c>
      <c r="I63">
        <v>1753000</v>
      </c>
      <c r="J63">
        <v>4541.5</v>
      </c>
      <c r="K63">
        <v>4</v>
      </c>
      <c r="L63" t="s">
        <v>17</v>
      </c>
      <c r="M63">
        <v>174</v>
      </c>
      <c r="N63" t="s">
        <v>21</v>
      </c>
      <c r="P63">
        <f t="shared" si="0"/>
        <v>1753000</v>
      </c>
      <c r="Q63">
        <f t="shared" si="1"/>
        <v>386</v>
      </c>
      <c r="R63" t="e">
        <f t="shared" si="2"/>
        <v>#N/A</v>
      </c>
      <c r="S63" t="e">
        <f t="shared" si="3"/>
        <v>#N/A</v>
      </c>
      <c r="T63" t="e">
        <f t="shared" si="4"/>
        <v>#N/A</v>
      </c>
      <c r="U63" t="e">
        <f t="shared" si="5"/>
        <v>#N/A</v>
      </c>
      <c r="V63" t="e">
        <f t="shared" si="6"/>
        <v>#N/A</v>
      </c>
      <c r="W63" t="e">
        <f t="shared" si="7"/>
        <v>#N/A</v>
      </c>
      <c r="X63" t="e">
        <f t="shared" si="8"/>
        <v>#N/A</v>
      </c>
      <c r="Y63" t="e">
        <f t="shared" si="9"/>
        <v>#N/A</v>
      </c>
    </row>
    <row r="64" spans="1:25" x14ac:dyDescent="0.2">
      <c r="A64">
        <v>1062</v>
      </c>
      <c r="B64" t="s">
        <v>35</v>
      </c>
      <c r="C64" t="s">
        <v>36</v>
      </c>
      <c r="D64">
        <v>2024</v>
      </c>
      <c r="E64" t="s">
        <v>30</v>
      </c>
      <c r="F64">
        <v>340</v>
      </c>
      <c r="G64">
        <v>3</v>
      </c>
      <c r="H64">
        <v>3</v>
      </c>
      <c r="I64">
        <v>1018000</v>
      </c>
      <c r="J64">
        <v>2994.1</v>
      </c>
      <c r="K64">
        <v>5</v>
      </c>
      <c r="L64" t="s">
        <v>17</v>
      </c>
      <c r="M64">
        <v>28</v>
      </c>
      <c r="N64" t="s">
        <v>18</v>
      </c>
      <c r="P64" t="e">
        <f t="shared" si="0"/>
        <v>#N/A</v>
      </c>
      <c r="Q64" t="e">
        <f t="shared" si="1"/>
        <v>#N/A</v>
      </c>
      <c r="R64" t="e">
        <f t="shared" si="2"/>
        <v>#N/A</v>
      </c>
      <c r="S64" t="e">
        <f t="shared" si="3"/>
        <v>#N/A</v>
      </c>
      <c r="T64" t="e">
        <f t="shared" si="4"/>
        <v>#N/A</v>
      </c>
      <c r="U64" t="e">
        <f t="shared" si="5"/>
        <v>#N/A</v>
      </c>
      <c r="V64" t="e">
        <f t="shared" si="6"/>
        <v>#N/A</v>
      </c>
      <c r="W64" t="e">
        <f t="shared" si="7"/>
        <v>#N/A</v>
      </c>
      <c r="X64">
        <f t="shared" si="8"/>
        <v>1018000</v>
      </c>
      <c r="Y64">
        <f t="shared" si="9"/>
        <v>340</v>
      </c>
    </row>
    <row r="65" spans="1:25" x14ac:dyDescent="0.2">
      <c r="A65">
        <v>1063</v>
      </c>
      <c r="B65" t="s">
        <v>33</v>
      </c>
      <c r="C65" t="s">
        <v>36</v>
      </c>
      <c r="D65">
        <v>2021</v>
      </c>
      <c r="E65" t="s">
        <v>16</v>
      </c>
      <c r="F65">
        <v>374</v>
      </c>
      <c r="G65">
        <v>5</v>
      </c>
      <c r="H65">
        <v>5</v>
      </c>
      <c r="I65">
        <v>688000</v>
      </c>
      <c r="J65">
        <v>1839.6</v>
      </c>
      <c r="K65">
        <v>3</v>
      </c>
      <c r="L65" t="s">
        <v>34</v>
      </c>
      <c r="M65">
        <v>54</v>
      </c>
      <c r="N65" t="s">
        <v>27</v>
      </c>
      <c r="P65" t="e">
        <f t="shared" si="0"/>
        <v>#N/A</v>
      </c>
      <c r="Q65" t="e">
        <f t="shared" si="1"/>
        <v>#N/A</v>
      </c>
      <c r="R65" t="e">
        <f t="shared" si="2"/>
        <v>#N/A</v>
      </c>
      <c r="S65" t="e">
        <f t="shared" si="3"/>
        <v>#N/A</v>
      </c>
      <c r="T65" t="e">
        <f t="shared" si="4"/>
        <v>#N/A</v>
      </c>
      <c r="U65" t="e">
        <f t="shared" si="5"/>
        <v>#N/A</v>
      </c>
      <c r="V65" t="e">
        <f t="shared" si="6"/>
        <v>#N/A</v>
      </c>
      <c r="W65" t="e">
        <f t="shared" si="7"/>
        <v>#N/A</v>
      </c>
      <c r="X65">
        <f t="shared" si="8"/>
        <v>688000</v>
      </c>
      <c r="Y65">
        <f t="shared" si="9"/>
        <v>374</v>
      </c>
    </row>
    <row r="66" spans="1:25" x14ac:dyDescent="0.2">
      <c r="A66">
        <v>1064</v>
      </c>
      <c r="B66" t="s">
        <v>33</v>
      </c>
      <c r="C66" t="s">
        <v>36</v>
      </c>
      <c r="D66">
        <v>2023</v>
      </c>
      <c r="E66" t="s">
        <v>30</v>
      </c>
      <c r="F66">
        <v>365</v>
      </c>
      <c r="G66">
        <v>4</v>
      </c>
      <c r="H66">
        <v>4</v>
      </c>
      <c r="I66">
        <v>818000</v>
      </c>
      <c r="J66">
        <v>2241.1</v>
      </c>
      <c r="K66">
        <v>7</v>
      </c>
      <c r="L66" t="s">
        <v>20</v>
      </c>
      <c r="M66">
        <v>32</v>
      </c>
      <c r="N66" t="s">
        <v>27</v>
      </c>
      <c r="P66" t="e">
        <f t="shared" si="0"/>
        <v>#N/A</v>
      </c>
      <c r="Q66" t="e">
        <f t="shared" si="1"/>
        <v>#N/A</v>
      </c>
      <c r="R66" t="e">
        <f t="shared" si="2"/>
        <v>#N/A</v>
      </c>
      <c r="S66" t="e">
        <f t="shared" si="3"/>
        <v>#N/A</v>
      </c>
      <c r="T66" t="e">
        <f t="shared" si="4"/>
        <v>#N/A</v>
      </c>
      <c r="U66" t="e">
        <f t="shared" si="5"/>
        <v>#N/A</v>
      </c>
      <c r="V66" t="e">
        <f t="shared" si="6"/>
        <v>#N/A</v>
      </c>
      <c r="W66" t="e">
        <f t="shared" si="7"/>
        <v>#N/A</v>
      </c>
      <c r="X66">
        <f t="shared" si="8"/>
        <v>818000</v>
      </c>
      <c r="Y66">
        <f t="shared" si="9"/>
        <v>365</v>
      </c>
    </row>
    <row r="67" spans="1:25" x14ac:dyDescent="0.2">
      <c r="A67">
        <v>1065</v>
      </c>
      <c r="B67" t="s">
        <v>39</v>
      </c>
      <c r="C67" t="s">
        <v>15</v>
      </c>
      <c r="D67">
        <v>2024</v>
      </c>
      <c r="E67" t="s">
        <v>26</v>
      </c>
      <c r="F67">
        <v>143</v>
      </c>
      <c r="G67">
        <v>4</v>
      </c>
      <c r="H67">
        <v>4</v>
      </c>
      <c r="I67">
        <v>582000</v>
      </c>
      <c r="J67">
        <v>4069.9</v>
      </c>
      <c r="K67">
        <v>2</v>
      </c>
      <c r="L67" t="s">
        <v>20</v>
      </c>
      <c r="M67">
        <v>155</v>
      </c>
      <c r="N67" t="s">
        <v>21</v>
      </c>
      <c r="P67" t="e">
        <f t="shared" ref="P67:P130" si="10">IF(C67="Villa", I67, NA())</f>
        <v>#N/A</v>
      </c>
      <c r="Q67" t="e">
        <f t="shared" ref="Q67:Q130" si="11">IF(C67="Villa", F67, NA())</f>
        <v>#N/A</v>
      </c>
      <c r="R67">
        <f t="shared" ref="R67:R130" si="12">IF(C67="Apartment",I67,NA())</f>
        <v>582000</v>
      </c>
      <c r="S67">
        <f t="shared" ref="S67:S130" si="13">IF(C67="Apartment",F67,NA())</f>
        <v>143</v>
      </c>
      <c r="T67" t="e">
        <f t="shared" ref="T67:T130" si="14">IF(C67="Duplex",I67,NA())</f>
        <v>#N/A</v>
      </c>
      <c r="U67" t="e">
        <f t="shared" ref="U67:U130" si="15">IF(C67="Duplex",F67,NA())</f>
        <v>#N/A</v>
      </c>
      <c r="V67" t="e">
        <f t="shared" ref="V67:V130" si="16">IF(C67="Studio",I67,NA())</f>
        <v>#N/A</v>
      </c>
      <c r="W67" t="e">
        <f t="shared" ref="W67:W130" si="17">IF(C67="Studio",F67,NA())</f>
        <v>#N/A</v>
      </c>
      <c r="X67" t="e">
        <f t="shared" ref="X67:X130" si="18">IF(C67="Floor",I67,NA())</f>
        <v>#N/A</v>
      </c>
      <c r="Y67" t="e">
        <f t="shared" ref="Y67:Y130" si="19">IF(C67="Floor",F67,NA())</f>
        <v>#N/A</v>
      </c>
    </row>
    <row r="68" spans="1:25" x14ac:dyDescent="0.2">
      <c r="A68">
        <v>1066</v>
      </c>
      <c r="B68" t="s">
        <v>39</v>
      </c>
      <c r="C68" t="s">
        <v>23</v>
      </c>
      <c r="D68">
        <v>2023</v>
      </c>
      <c r="E68" t="s">
        <v>16</v>
      </c>
      <c r="F68">
        <v>184</v>
      </c>
      <c r="G68">
        <v>3</v>
      </c>
      <c r="H68">
        <v>3</v>
      </c>
      <c r="I68">
        <v>832000</v>
      </c>
      <c r="J68">
        <v>4521.7</v>
      </c>
      <c r="K68">
        <v>0</v>
      </c>
      <c r="L68" t="s">
        <v>20</v>
      </c>
      <c r="M68">
        <v>26</v>
      </c>
      <c r="N68" t="s">
        <v>21</v>
      </c>
      <c r="P68" t="e">
        <f t="shared" si="10"/>
        <v>#N/A</v>
      </c>
      <c r="Q68" t="e">
        <f t="shared" si="11"/>
        <v>#N/A</v>
      </c>
      <c r="R68" t="e">
        <f t="shared" si="12"/>
        <v>#N/A</v>
      </c>
      <c r="S68" t="e">
        <f t="shared" si="13"/>
        <v>#N/A</v>
      </c>
      <c r="T68">
        <f t="shared" si="14"/>
        <v>832000</v>
      </c>
      <c r="U68">
        <f t="shared" si="15"/>
        <v>184</v>
      </c>
      <c r="V68" t="e">
        <f t="shared" si="16"/>
        <v>#N/A</v>
      </c>
      <c r="W68" t="e">
        <f t="shared" si="17"/>
        <v>#N/A</v>
      </c>
      <c r="X68" t="e">
        <f t="shared" si="18"/>
        <v>#N/A</v>
      </c>
      <c r="Y68" t="e">
        <f t="shared" si="19"/>
        <v>#N/A</v>
      </c>
    </row>
    <row r="69" spans="1:25" x14ac:dyDescent="0.2">
      <c r="A69">
        <v>1067</v>
      </c>
      <c r="B69" t="s">
        <v>19</v>
      </c>
      <c r="C69" t="s">
        <v>15</v>
      </c>
      <c r="D69">
        <v>2023</v>
      </c>
      <c r="E69" t="s">
        <v>24</v>
      </c>
      <c r="F69">
        <v>144</v>
      </c>
      <c r="G69">
        <v>4</v>
      </c>
      <c r="H69">
        <v>4</v>
      </c>
      <c r="I69">
        <v>443000</v>
      </c>
      <c r="J69">
        <v>3076.4</v>
      </c>
      <c r="K69">
        <v>2</v>
      </c>
      <c r="L69" t="s">
        <v>17</v>
      </c>
      <c r="M69">
        <v>50</v>
      </c>
      <c r="N69" t="s">
        <v>21</v>
      </c>
      <c r="P69" t="e">
        <f t="shared" si="10"/>
        <v>#N/A</v>
      </c>
      <c r="Q69" t="e">
        <f t="shared" si="11"/>
        <v>#N/A</v>
      </c>
      <c r="R69">
        <f t="shared" si="12"/>
        <v>443000</v>
      </c>
      <c r="S69">
        <f t="shared" si="13"/>
        <v>144</v>
      </c>
      <c r="T69" t="e">
        <f t="shared" si="14"/>
        <v>#N/A</v>
      </c>
      <c r="U69" t="e">
        <f t="shared" si="15"/>
        <v>#N/A</v>
      </c>
      <c r="V69" t="e">
        <f t="shared" si="16"/>
        <v>#N/A</v>
      </c>
      <c r="W69" t="e">
        <f t="shared" si="17"/>
        <v>#N/A</v>
      </c>
      <c r="X69" t="e">
        <f t="shared" si="18"/>
        <v>#N/A</v>
      </c>
      <c r="Y69" t="e">
        <f t="shared" si="19"/>
        <v>#N/A</v>
      </c>
    </row>
    <row r="70" spans="1:25" x14ac:dyDescent="0.2">
      <c r="A70">
        <v>1068</v>
      </c>
      <c r="B70" t="s">
        <v>31</v>
      </c>
      <c r="C70" t="s">
        <v>29</v>
      </c>
      <c r="D70">
        <v>2021</v>
      </c>
      <c r="E70" t="s">
        <v>30</v>
      </c>
      <c r="F70">
        <v>425</v>
      </c>
      <c r="G70">
        <v>5</v>
      </c>
      <c r="H70">
        <v>5</v>
      </c>
      <c r="I70">
        <v>1477000</v>
      </c>
      <c r="J70">
        <v>3475.3</v>
      </c>
      <c r="K70">
        <v>0</v>
      </c>
      <c r="L70" t="s">
        <v>34</v>
      </c>
      <c r="M70">
        <v>151</v>
      </c>
      <c r="N70" t="s">
        <v>21</v>
      </c>
      <c r="P70">
        <f t="shared" si="10"/>
        <v>1477000</v>
      </c>
      <c r="Q70">
        <f t="shared" si="11"/>
        <v>425</v>
      </c>
      <c r="R70" t="e">
        <f t="shared" si="12"/>
        <v>#N/A</v>
      </c>
      <c r="S70" t="e">
        <f t="shared" si="13"/>
        <v>#N/A</v>
      </c>
      <c r="T70" t="e">
        <f t="shared" si="14"/>
        <v>#N/A</v>
      </c>
      <c r="U70" t="e">
        <f t="shared" si="15"/>
        <v>#N/A</v>
      </c>
      <c r="V70" t="e">
        <f t="shared" si="16"/>
        <v>#N/A</v>
      </c>
      <c r="W70" t="e">
        <f t="shared" si="17"/>
        <v>#N/A</v>
      </c>
      <c r="X70" t="e">
        <f t="shared" si="18"/>
        <v>#N/A</v>
      </c>
      <c r="Y70" t="e">
        <f t="shared" si="19"/>
        <v>#N/A</v>
      </c>
    </row>
    <row r="71" spans="1:25" x14ac:dyDescent="0.2">
      <c r="A71">
        <v>1069</v>
      </c>
      <c r="B71" t="s">
        <v>33</v>
      </c>
      <c r="C71" t="s">
        <v>29</v>
      </c>
      <c r="D71">
        <v>2021</v>
      </c>
      <c r="E71" t="s">
        <v>24</v>
      </c>
      <c r="F71">
        <v>617</v>
      </c>
      <c r="G71">
        <v>6</v>
      </c>
      <c r="H71">
        <v>6</v>
      </c>
      <c r="I71">
        <v>2097000</v>
      </c>
      <c r="J71">
        <v>3398.7</v>
      </c>
      <c r="K71">
        <v>7</v>
      </c>
      <c r="L71" t="s">
        <v>34</v>
      </c>
      <c r="M71">
        <v>33</v>
      </c>
      <c r="N71" t="s">
        <v>27</v>
      </c>
      <c r="P71">
        <f t="shared" si="10"/>
        <v>2097000</v>
      </c>
      <c r="Q71">
        <f t="shared" si="11"/>
        <v>617</v>
      </c>
      <c r="R71" t="e">
        <f t="shared" si="12"/>
        <v>#N/A</v>
      </c>
      <c r="S71" t="e">
        <f t="shared" si="13"/>
        <v>#N/A</v>
      </c>
      <c r="T71" t="e">
        <f t="shared" si="14"/>
        <v>#N/A</v>
      </c>
      <c r="U71" t="e">
        <f t="shared" si="15"/>
        <v>#N/A</v>
      </c>
      <c r="V71" t="e">
        <f t="shared" si="16"/>
        <v>#N/A</v>
      </c>
      <c r="W71" t="e">
        <f t="shared" si="17"/>
        <v>#N/A</v>
      </c>
      <c r="X71" t="e">
        <f t="shared" si="18"/>
        <v>#N/A</v>
      </c>
      <c r="Y71" t="e">
        <f t="shared" si="19"/>
        <v>#N/A</v>
      </c>
    </row>
    <row r="72" spans="1:25" x14ac:dyDescent="0.2">
      <c r="A72">
        <v>1070</v>
      </c>
      <c r="B72" t="s">
        <v>33</v>
      </c>
      <c r="C72" t="s">
        <v>29</v>
      </c>
      <c r="D72">
        <v>2024</v>
      </c>
      <c r="E72" t="s">
        <v>30</v>
      </c>
      <c r="F72">
        <v>405</v>
      </c>
      <c r="G72">
        <v>6</v>
      </c>
      <c r="H72">
        <v>6</v>
      </c>
      <c r="I72">
        <v>1669000</v>
      </c>
      <c r="J72">
        <v>4121</v>
      </c>
      <c r="K72">
        <v>2</v>
      </c>
      <c r="L72" t="s">
        <v>20</v>
      </c>
      <c r="M72">
        <v>29</v>
      </c>
      <c r="N72" t="s">
        <v>27</v>
      </c>
      <c r="P72">
        <f t="shared" si="10"/>
        <v>1669000</v>
      </c>
      <c r="Q72">
        <f t="shared" si="11"/>
        <v>405</v>
      </c>
      <c r="R72" t="e">
        <f t="shared" si="12"/>
        <v>#N/A</v>
      </c>
      <c r="S72" t="e">
        <f t="shared" si="13"/>
        <v>#N/A</v>
      </c>
      <c r="T72" t="e">
        <f t="shared" si="14"/>
        <v>#N/A</v>
      </c>
      <c r="U72" t="e">
        <f t="shared" si="15"/>
        <v>#N/A</v>
      </c>
      <c r="V72" t="e">
        <f t="shared" si="16"/>
        <v>#N/A</v>
      </c>
      <c r="W72" t="e">
        <f t="shared" si="17"/>
        <v>#N/A</v>
      </c>
      <c r="X72" t="e">
        <f t="shared" si="18"/>
        <v>#N/A</v>
      </c>
      <c r="Y72" t="e">
        <f t="shared" si="19"/>
        <v>#N/A</v>
      </c>
    </row>
    <row r="73" spans="1:25" x14ac:dyDescent="0.2">
      <c r="A73">
        <v>1071</v>
      </c>
      <c r="B73" t="s">
        <v>42</v>
      </c>
      <c r="C73" t="s">
        <v>23</v>
      </c>
      <c r="D73">
        <v>2023</v>
      </c>
      <c r="E73" t="s">
        <v>26</v>
      </c>
      <c r="F73">
        <v>295</v>
      </c>
      <c r="G73">
        <v>5</v>
      </c>
      <c r="H73">
        <v>5</v>
      </c>
      <c r="I73">
        <v>1613000</v>
      </c>
      <c r="J73">
        <v>5467.8</v>
      </c>
      <c r="K73">
        <v>1</v>
      </c>
      <c r="L73" t="s">
        <v>20</v>
      </c>
      <c r="M73">
        <v>140</v>
      </c>
      <c r="N73" t="s">
        <v>21</v>
      </c>
      <c r="P73" t="e">
        <f t="shared" si="10"/>
        <v>#N/A</v>
      </c>
      <c r="Q73" t="e">
        <f t="shared" si="11"/>
        <v>#N/A</v>
      </c>
      <c r="R73" t="e">
        <f t="shared" si="12"/>
        <v>#N/A</v>
      </c>
      <c r="S73" t="e">
        <f t="shared" si="13"/>
        <v>#N/A</v>
      </c>
      <c r="T73">
        <f t="shared" si="14"/>
        <v>1613000</v>
      </c>
      <c r="U73">
        <f t="shared" si="15"/>
        <v>295</v>
      </c>
      <c r="V73" t="e">
        <f t="shared" si="16"/>
        <v>#N/A</v>
      </c>
      <c r="W73" t="e">
        <f t="shared" si="17"/>
        <v>#N/A</v>
      </c>
      <c r="X73" t="e">
        <f t="shared" si="18"/>
        <v>#N/A</v>
      </c>
      <c r="Y73" t="e">
        <f t="shared" si="19"/>
        <v>#N/A</v>
      </c>
    </row>
    <row r="74" spans="1:25" x14ac:dyDescent="0.2">
      <c r="A74">
        <v>1072</v>
      </c>
      <c r="B74" t="s">
        <v>37</v>
      </c>
      <c r="C74" t="s">
        <v>38</v>
      </c>
      <c r="D74">
        <v>2021</v>
      </c>
      <c r="E74" t="s">
        <v>26</v>
      </c>
      <c r="F74">
        <v>66</v>
      </c>
      <c r="G74">
        <v>0</v>
      </c>
      <c r="H74">
        <v>1</v>
      </c>
      <c r="I74">
        <v>309000</v>
      </c>
      <c r="J74">
        <v>4681.8</v>
      </c>
      <c r="K74">
        <v>2</v>
      </c>
      <c r="L74" t="s">
        <v>34</v>
      </c>
      <c r="M74">
        <v>113</v>
      </c>
      <c r="N74" t="s">
        <v>27</v>
      </c>
      <c r="P74" t="e">
        <f t="shared" si="10"/>
        <v>#N/A</v>
      </c>
      <c r="Q74" t="e">
        <f t="shared" si="11"/>
        <v>#N/A</v>
      </c>
      <c r="R74" t="e">
        <f t="shared" si="12"/>
        <v>#N/A</v>
      </c>
      <c r="S74" t="e">
        <f t="shared" si="13"/>
        <v>#N/A</v>
      </c>
      <c r="T74" t="e">
        <f t="shared" si="14"/>
        <v>#N/A</v>
      </c>
      <c r="U74" t="e">
        <f t="shared" si="15"/>
        <v>#N/A</v>
      </c>
      <c r="V74">
        <f t="shared" si="16"/>
        <v>309000</v>
      </c>
      <c r="W74">
        <f t="shared" si="17"/>
        <v>66</v>
      </c>
      <c r="X74" t="e">
        <f t="shared" si="18"/>
        <v>#N/A</v>
      </c>
      <c r="Y74" t="e">
        <f t="shared" si="19"/>
        <v>#N/A</v>
      </c>
    </row>
    <row r="75" spans="1:25" x14ac:dyDescent="0.2">
      <c r="A75">
        <v>1073</v>
      </c>
      <c r="B75" t="s">
        <v>19</v>
      </c>
      <c r="C75" t="s">
        <v>15</v>
      </c>
      <c r="D75">
        <v>2022</v>
      </c>
      <c r="E75" t="s">
        <v>24</v>
      </c>
      <c r="F75">
        <v>168</v>
      </c>
      <c r="G75">
        <v>4</v>
      </c>
      <c r="H75">
        <v>4</v>
      </c>
      <c r="I75">
        <v>534000</v>
      </c>
      <c r="J75">
        <v>3178.6</v>
      </c>
      <c r="K75">
        <v>20</v>
      </c>
      <c r="L75" t="s">
        <v>17</v>
      </c>
      <c r="M75">
        <v>44</v>
      </c>
      <c r="N75" t="s">
        <v>21</v>
      </c>
      <c r="P75" t="e">
        <f t="shared" si="10"/>
        <v>#N/A</v>
      </c>
      <c r="Q75" t="e">
        <f t="shared" si="11"/>
        <v>#N/A</v>
      </c>
      <c r="R75">
        <f t="shared" si="12"/>
        <v>534000</v>
      </c>
      <c r="S75">
        <f t="shared" si="13"/>
        <v>168</v>
      </c>
      <c r="T75" t="e">
        <f t="shared" si="14"/>
        <v>#N/A</v>
      </c>
      <c r="U75" t="e">
        <f t="shared" si="15"/>
        <v>#N/A</v>
      </c>
      <c r="V75" t="e">
        <f t="shared" si="16"/>
        <v>#N/A</v>
      </c>
      <c r="W75" t="e">
        <f t="shared" si="17"/>
        <v>#N/A</v>
      </c>
      <c r="X75" t="e">
        <f t="shared" si="18"/>
        <v>#N/A</v>
      </c>
      <c r="Y75" t="e">
        <f t="shared" si="19"/>
        <v>#N/A</v>
      </c>
    </row>
    <row r="76" spans="1:25" x14ac:dyDescent="0.2">
      <c r="A76">
        <v>1074</v>
      </c>
      <c r="B76" t="s">
        <v>22</v>
      </c>
      <c r="C76" t="s">
        <v>15</v>
      </c>
      <c r="D76">
        <v>2021</v>
      </c>
      <c r="E76" t="s">
        <v>26</v>
      </c>
      <c r="F76">
        <v>187</v>
      </c>
      <c r="G76">
        <v>2</v>
      </c>
      <c r="H76">
        <v>2</v>
      </c>
      <c r="I76">
        <v>609000</v>
      </c>
      <c r="J76">
        <v>3256.7</v>
      </c>
      <c r="K76">
        <v>20</v>
      </c>
      <c r="L76" t="s">
        <v>17</v>
      </c>
      <c r="M76">
        <v>28</v>
      </c>
      <c r="N76" t="s">
        <v>18</v>
      </c>
      <c r="P76" t="e">
        <f t="shared" si="10"/>
        <v>#N/A</v>
      </c>
      <c r="Q76" t="e">
        <f t="shared" si="11"/>
        <v>#N/A</v>
      </c>
      <c r="R76">
        <f t="shared" si="12"/>
        <v>609000</v>
      </c>
      <c r="S76">
        <f t="shared" si="13"/>
        <v>187</v>
      </c>
      <c r="T76" t="e">
        <f t="shared" si="14"/>
        <v>#N/A</v>
      </c>
      <c r="U76" t="e">
        <f t="shared" si="15"/>
        <v>#N/A</v>
      </c>
      <c r="V76" t="e">
        <f t="shared" si="16"/>
        <v>#N/A</v>
      </c>
      <c r="W76" t="e">
        <f t="shared" si="17"/>
        <v>#N/A</v>
      </c>
      <c r="X76" t="e">
        <f t="shared" si="18"/>
        <v>#N/A</v>
      </c>
      <c r="Y76" t="e">
        <f t="shared" si="19"/>
        <v>#N/A</v>
      </c>
    </row>
    <row r="77" spans="1:25" x14ac:dyDescent="0.2">
      <c r="A77">
        <v>1075</v>
      </c>
      <c r="B77" t="s">
        <v>44</v>
      </c>
      <c r="C77" t="s">
        <v>29</v>
      </c>
      <c r="D77">
        <v>2023</v>
      </c>
      <c r="E77" t="s">
        <v>26</v>
      </c>
      <c r="F77">
        <v>308</v>
      </c>
      <c r="G77">
        <v>5</v>
      </c>
      <c r="H77">
        <v>5</v>
      </c>
      <c r="I77">
        <v>1517000</v>
      </c>
      <c r="J77">
        <v>4925.3</v>
      </c>
      <c r="K77">
        <v>5</v>
      </c>
      <c r="L77" t="s">
        <v>17</v>
      </c>
      <c r="M77">
        <v>166</v>
      </c>
      <c r="N77" t="s">
        <v>18</v>
      </c>
      <c r="P77">
        <f t="shared" si="10"/>
        <v>1517000</v>
      </c>
      <c r="Q77">
        <f t="shared" si="11"/>
        <v>308</v>
      </c>
      <c r="R77" t="e">
        <f t="shared" si="12"/>
        <v>#N/A</v>
      </c>
      <c r="S77" t="e">
        <f t="shared" si="13"/>
        <v>#N/A</v>
      </c>
      <c r="T77" t="e">
        <f t="shared" si="14"/>
        <v>#N/A</v>
      </c>
      <c r="U77" t="e">
        <f t="shared" si="15"/>
        <v>#N/A</v>
      </c>
      <c r="V77" t="e">
        <f t="shared" si="16"/>
        <v>#N/A</v>
      </c>
      <c r="W77" t="e">
        <f t="shared" si="17"/>
        <v>#N/A</v>
      </c>
      <c r="X77" t="e">
        <f t="shared" si="18"/>
        <v>#N/A</v>
      </c>
      <c r="Y77" t="e">
        <f t="shared" si="19"/>
        <v>#N/A</v>
      </c>
    </row>
    <row r="78" spans="1:25" x14ac:dyDescent="0.2">
      <c r="A78">
        <v>1076</v>
      </c>
      <c r="B78" t="s">
        <v>37</v>
      </c>
      <c r="C78" t="s">
        <v>23</v>
      </c>
      <c r="D78">
        <v>2022</v>
      </c>
      <c r="E78" t="s">
        <v>30</v>
      </c>
      <c r="F78">
        <v>230</v>
      </c>
      <c r="G78">
        <v>5</v>
      </c>
      <c r="H78">
        <v>5</v>
      </c>
      <c r="I78">
        <v>1000000</v>
      </c>
      <c r="J78">
        <v>4347.8</v>
      </c>
      <c r="K78">
        <v>1</v>
      </c>
      <c r="L78" t="s">
        <v>20</v>
      </c>
      <c r="M78">
        <v>131</v>
      </c>
      <c r="N78" t="s">
        <v>27</v>
      </c>
      <c r="P78" t="e">
        <f t="shared" si="10"/>
        <v>#N/A</v>
      </c>
      <c r="Q78" t="e">
        <f t="shared" si="11"/>
        <v>#N/A</v>
      </c>
      <c r="R78" t="e">
        <f t="shared" si="12"/>
        <v>#N/A</v>
      </c>
      <c r="S78" t="e">
        <f t="shared" si="13"/>
        <v>#N/A</v>
      </c>
      <c r="T78">
        <f t="shared" si="14"/>
        <v>1000000</v>
      </c>
      <c r="U78">
        <f t="shared" si="15"/>
        <v>230</v>
      </c>
      <c r="V78" t="e">
        <f t="shared" si="16"/>
        <v>#N/A</v>
      </c>
      <c r="W78" t="e">
        <f t="shared" si="17"/>
        <v>#N/A</v>
      </c>
      <c r="X78" t="e">
        <f t="shared" si="18"/>
        <v>#N/A</v>
      </c>
      <c r="Y78" t="e">
        <f t="shared" si="19"/>
        <v>#N/A</v>
      </c>
    </row>
    <row r="79" spans="1:25" x14ac:dyDescent="0.2">
      <c r="A79">
        <v>1077</v>
      </c>
      <c r="B79" t="s">
        <v>33</v>
      </c>
      <c r="C79" t="s">
        <v>29</v>
      </c>
      <c r="D79">
        <v>2024</v>
      </c>
      <c r="E79" t="s">
        <v>16</v>
      </c>
      <c r="F79">
        <v>375</v>
      </c>
      <c r="G79">
        <v>5</v>
      </c>
      <c r="H79">
        <v>5</v>
      </c>
      <c r="I79">
        <v>1662000</v>
      </c>
      <c r="J79">
        <v>4432</v>
      </c>
      <c r="K79">
        <v>5</v>
      </c>
      <c r="L79" t="s">
        <v>17</v>
      </c>
      <c r="M79">
        <v>82</v>
      </c>
      <c r="N79" t="s">
        <v>27</v>
      </c>
      <c r="P79">
        <f t="shared" si="10"/>
        <v>1662000</v>
      </c>
      <c r="Q79">
        <f t="shared" si="11"/>
        <v>375</v>
      </c>
      <c r="R79" t="e">
        <f t="shared" si="12"/>
        <v>#N/A</v>
      </c>
      <c r="S79" t="e">
        <f t="shared" si="13"/>
        <v>#N/A</v>
      </c>
      <c r="T79" t="e">
        <f t="shared" si="14"/>
        <v>#N/A</v>
      </c>
      <c r="U79" t="e">
        <f t="shared" si="15"/>
        <v>#N/A</v>
      </c>
      <c r="V79" t="e">
        <f t="shared" si="16"/>
        <v>#N/A</v>
      </c>
      <c r="W79" t="e">
        <f t="shared" si="17"/>
        <v>#N/A</v>
      </c>
      <c r="X79" t="e">
        <f t="shared" si="18"/>
        <v>#N/A</v>
      </c>
      <c r="Y79" t="e">
        <f t="shared" si="19"/>
        <v>#N/A</v>
      </c>
    </row>
    <row r="80" spans="1:25" x14ac:dyDescent="0.2">
      <c r="A80">
        <v>1078</v>
      </c>
      <c r="B80" t="s">
        <v>32</v>
      </c>
      <c r="C80" t="s">
        <v>38</v>
      </c>
      <c r="D80">
        <v>2022</v>
      </c>
      <c r="E80" t="s">
        <v>26</v>
      </c>
      <c r="F80">
        <v>39</v>
      </c>
      <c r="G80">
        <v>0</v>
      </c>
      <c r="H80">
        <v>1</v>
      </c>
      <c r="I80">
        <v>143000</v>
      </c>
      <c r="J80">
        <v>3666.7</v>
      </c>
      <c r="K80">
        <v>10</v>
      </c>
      <c r="L80" t="s">
        <v>17</v>
      </c>
      <c r="M80">
        <v>147</v>
      </c>
      <c r="N80" t="s">
        <v>18</v>
      </c>
      <c r="P80" t="e">
        <f t="shared" si="10"/>
        <v>#N/A</v>
      </c>
      <c r="Q80" t="e">
        <f t="shared" si="11"/>
        <v>#N/A</v>
      </c>
      <c r="R80" t="e">
        <f t="shared" si="12"/>
        <v>#N/A</v>
      </c>
      <c r="S80" t="e">
        <f t="shared" si="13"/>
        <v>#N/A</v>
      </c>
      <c r="T80" t="e">
        <f t="shared" si="14"/>
        <v>#N/A</v>
      </c>
      <c r="U80" t="e">
        <f t="shared" si="15"/>
        <v>#N/A</v>
      </c>
      <c r="V80">
        <f t="shared" si="16"/>
        <v>143000</v>
      </c>
      <c r="W80">
        <f t="shared" si="17"/>
        <v>39</v>
      </c>
      <c r="X80" t="e">
        <f t="shared" si="18"/>
        <v>#N/A</v>
      </c>
      <c r="Y80" t="e">
        <f t="shared" si="19"/>
        <v>#N/A</v>
      </c>
    </row>
    <row r="81" spans="1:25" x14ac:dyDescent="0.2">
      <c r="A81">
        <v>1079</v>
      </c>
      <c r="B81" t="s">
        <v>47</v>
      </c>
      <c r="C81" t="s">
        <v>36</v>
      </c>
      <c r="D81">
        <v>2022</v>
      </c>
      <c r="E81" t="s">
        <v>26</v>
      </c>
      <c r="F81">
        <v>354</v>
      </c>
      <c r="G81">
        <v>3</v>
      </c>
      <c r="H81">
        <v>3</v>
      </c>
      <c r="I81">
        <v>751000</v>
      </c>
      <c r="J81">
        <v>2121.5</v>
      </c>
      <c r="K81">
        <v>15</v>
      </c>
      <c r="L81" t="s">
        <v>17</v>
      </c>
      <c r="M81">
        <v>95</v>
      </c>
      <c r="N81" t="s">
        <v>21</v>
      </c>
      <c r="P81" t="e">
        <f t="shared" si="10"/>
        <v>#N/A</v>
      </c>
      <c r="Q81" t="e">
        <f t="shared" si="11"/>
        <v>#N/A</v>
      </c>
      <c r="R81" t="e">
        <f t="shared" si="12"/>
        <v>#N/A</v>
      </c>
      <c r="S81" t="e">
        <f t="shared" si="13"/>
        <v>#N/A</v>
      </c>
      <c r="T81" t="e">
        <f t="shared" si="14"/>
        <v>#N/A</v>
      </c>
      <c r="U81" t="e">
        <f t="shared" si="15"/>
        <v>#N/A</v>
      </c>
      <c r="V81" t="e">
        <f t="shared" si="16"/>
        <v>#N/A</v>
      </c>
      <c r="W81" t="e">
        <f t="shared" si="17"/>
        <v>#N/A</v>
      </c>
      <c r="X81">
        <f t="shared" si="18"/>
        <v>751000</v>
      </c>
      <c r="Y81">
        <f t="shared" si="19"/>
        <v>354</v>
      </c>
    </row>
    <row r="82" spans="1:25" x14ac:dyDescent="0.2">
      <c r="A82">
        <v>1080</v>
      </c>
      <c r="B82" t="s">
        <v>48</v>
      </c>
      <c r="C82" t="s">
        <v>15</v>
      </c>
      <c r="D82">
        <v>2022</v>
      </c>
      <c r="E82" t="s">
        <v>26</v>
      </c>
      <c r="F82">
        <v>117</v>
      </c>
      <c r="G82">
        <v>3</v>
      </c>
      <c r="H82">
        <v>3</v>
      </c>
      <c r="I82">
        <v>360000</v>
      </c>
      <c r="J82">
        <v>3076.9</v>
      </c>
      <c r="K82">
        <v>2</v>
      </c>
      <c r="L82" t="s">
        <v>17</v>
      </c>
      <c r="M82">
        <v>117</v>
      </c>
      <c r="N82" t="s">
        <v>27</v>
      </c>
      <c r="P82" t="e">
        <f t="shared" si="10"/>
        <v>#N/A</v>
      </c>
      <c r="Q82" t="e">
        <f t="shared" si="11"/>
        <v>#N/A</v>
      </c>
      <c r="R82">
        <f t="shared" si="12"/>
        <v>360000</v>
      </c>
      <c r="S82">
        <f t="shared" si="13"/>
        <v>117</v>
      </c>
      <c r="T82" t="e">
        <f t="shared" si="14"/>
        <v>#N/A</v>
      </c>
      <c r="U82" t="e">
        <f t="shared" si="15"/>
        <v>#N/A</v>
      </c>
      <c r="V82" t="e">
        <f t="shared" si="16"/>
        <v>#N/A</v>
      </c>
      <c r="W82" t="e">
        <f t="shared" si="17"/>
        <v>#N/A</v>
      </c>
      <c r="X82" t="e">
        <f t="shared" si="18"/>
        <v>#N/A</v>
      </c>
      <c r="Y82" t="e">
        <f t="shared" si="19"/>
        <v>#N/A</v>
      </c>
    </row>
    <row r="83" spans="1:25" x14ac:dyDescent="0.2">
      <c r="A83">
        <v>1081</v>
      </c>
      <c r="B83" t="s">
        <v>32</v>
      </c>
      <c r="C83" t="s">
        <v>38</v>
      </c>
      <c r="D83">
        <v>2024</v>
      </c>
      <c r="E83" t="s">
        <v>24</v>
      </c>
      <c r="F83">
        <v>70</v>
      </c>
      <c r="G83">
        <v>0</v>
      </c>
      <c r="H83">
        <v>1</v>
      </c>
      <c r="I83">
        <v>272000</v>
      </c>
      <c r="J83">
        <v>3885.7</v>
      </c>
      <c r="K83">
        <v>7</v>
      </c>
      <c r="L83" t="s">
        <v>34</v>
      </c>
      <c r="M83">
        <v>180</v>
      </c>
      <c r="N83" t="s">
        <v>18</v>
      </c>
      <c r="P83" t="e">
        <f t="shared" si="10"/>
        <v>#N/A</v>
      </c>
      <c r="Q83" t="e">
        <f t="shared" si="11"/>
        <v>#N/A</v>
      </c>
      <c r="R83" t="e">
        <f t="shared" si="12"/>
        <v>#N/A</v>
      </c>
      <c r="S83" t="e">
        <f t="shared" si="13"/>
        <v>#N/A</v>
      </c>
      <c r="T83" t="e">
        <f t="shared" si="14"/>
        <v>#N/A</v>
      </c>
      <c r="U83" t="e">
        <f t="shared" si="15"/>
        <v>#N/A</v>
      </c>
      <c r="V83">
        <f t="shared" si="16"/>
        <v>272000</v>
      </c>
      <c r="W83">
        <f t="shared" si="17"/>
        <v>70</v>
      </c>
      <c r="X83" t="e">
        <f t="shared" si="18"/>
        <v>#N/A</v>
      </c>
      <c r="Y83" t="e">
        <f t="shared" si="19"/>
        <v>#N/A</v>
      </c>
    </row>
    <row r="84" spans="1:25" x14ac:dyDescent="0.2">
      <c r="A84">
        <v>1082</v>
      </c>
      <c r="B84" t="s">
        <v>39</v>
      </c>
      <c r="C84" t="s">
        <v>29</v>
      </c>
      <c r="D84">
        <v>2021</v>
      </c>
      <c r="E84" t="s">
        <v>30</v>
      </c>
      <c r="F84">
        <v>357</v>
      </c>
      <c r="G84">
        <v>5</v>
      </c>
      <c r="H84">
        <v>5</v>
      </c>
      <c r="I84">
        <v>1982000</v>
      </c>
      <c r="J84">
        <v>5551.8</v>
      </c>
      <c r="K84">
        <v>0</v>
      </c>
      <c r="L84" t="s">
        <v>34</v>
      </c>
      <c r="M84">
        <v>53</v>
      </c>
      <c r="N84" t="s">
        <v>21</v>
      </c>
      <c r="P84">
        <f t="shared" si="10"/>
        <v>1982000</v>
      </c>
      <c r="Q84">
        <f t="shared" si="11"/>
        <v>357</v>
      </c>
      <c r="R84" t="e">
        <f t="shared" si="12"/>
        <v>#N/A</v>
      </c>
      <c r="S84" t="e">
        <f t="shared" si="13"/>
        <v>#N/A</v>
      </c>
      <c r="T84" t="e">
        <f t="shared" si="14"/>
        <v>#N/A</v>
      </c>
      <c r="U84" t="e">
        <f t="shared" si="15"/>
        <v>#N/A</v>
      </c>
      <c r="V84" t="e">
        <f t="shared" si="16"/>
        <v>#N/A</v>
      </c>
      <c r="W84" t="e">
        <f t="shared" si="17"/>
        <v>#N/A</v>
      </c>
      <c r="X84" t="e">
        <f t="shared" si="18"/>
        <v>#N/A</v>
      </c>
      <c r="Y84" t="e">
        <f t="shared" si="19"/>
        <v>#N/A</v>
      </c>
    </row>
    <row r="85" spans="1:25" x14ac:dyDescent="0.2">
      <c r="A85">
        <v>1083</v>
      </c>
      <c r="B85" t="s">
        <v>28</v>
      </c>
      <c r="C85" t="s">
        <v>29</v>
      </c>
      <c r="D85">
        <v>2022</v>
      </c>
      <c r="E85" t="s">
        <v>26</v>
      </c>
      <c r="F85">
        <v>394</v>
      </c>
      <c r="G85">
        <v>5</v>
      </c>
      <c r="H85">
        <v>5</v>
      </c>
      <c r="I85">
        <v>1789000</v>
      </c>
      <c r="J85">
        <v>4540.6000000000004</v>
      </c>
      <c r="K85">
        <v>5</v>
      </c>
      <c r="L85" t="s">
        <v>17</v>
      </c>
      <c r="M85">
        <v>123</v>
      </c>
      <c r="N85" t="s">
        <v>27</v>
      </c>
      <c r="P85">
        <f t="shared" si="10"/>
        <v>1789000</v>
      </c>
      <c r="Q85">
        <f t="shared" si="11"/>
        <v>394</v>
      </c>
      <c r="R85" t="e">
        <f t="shared" si="12"/>
        <v>#N/A</v>
      </c>
      <c r="S85" t="e">
        <f t="shared" si="13"/>
        <v>#N/A</v>
      </c>
      <c r="T85" t="e">
        <f t="shared" si="14"/>
        <v>#N/A</v>
      </c>
      <c r="U85" t="e">
        <f t="shared" si="15"/>
        <v>#N/A</v>
      </c>
      <c r="V85" t="e">
        <f t="shared" si="16"/>
        <v>#N/A</v>
      </c>
      <c r="W85" t="e">
        <f t="shared" si="17"/>
        <v>#N/A</v>
      </c>
      <c r="X85" t="e">
        <f t="shared" si="18"/>
        <v>#N/A</v>
      </c>
      <c r="Y85" t="e">
        <f t="shared" si="19"/>
        <v>#N/A</v>
      </c>
    </row>
    <row r="86" spans="1:25" x14ac:dyDescent="0.2">
      <c r="A86">
        <v>1084</v>
      </c>
      <c r="B86" t="s">
        <v>43</v>
      </c>
      <c r="C86" t="s">
        <v>38</v>
      </c>
      <c r="D86">
        <v>2022</v>
      </c>
      <c r="E86" t="s">
        <v>16</v>
      </c>
      <c r="F86">
        <v>63</v>
      </c>
      <c r="G86">
        <v>0</v>
      </c>
      <c r="H86">
        <v>1</v>
      </c>
      <c r="I86">
        <v>355000</v>
      </c>
      <c r="J86">
        <v>5634.9</v>
      </c>
      <c r="K86">
        <v>7</v>
      </c>
      <c r="L86" t="s">
        <v>34</v>
      </c>
      <c r="M86">
        <v>84</v>
      </c>
      <c r="N86" t="s">
        <v>27</v>
      </c>
      <c r="P86" t="e">
        <f t="shared" si="10"/>
        <v>#N/A</v>
      </c>
      <c r="Q86" t="e">
        <f t="shared" si="11"/>
        <v>#N/A</v>
      </c>
      <c r="R86" t="e">
        <f t="shared" si="12"/>
        <v>#N/A</v>
      </c>
      <c r="S86" t="e">
        <f t="shared" si="13"/>
        <v>#N/A</v>
      </c>
      <c r="T86" t="e">
        <f t="shared" si="14"/>
        <v>#N/A</v>
      </c>
      <c r="U86" t="e">
        <f t="shared" si="15"/>
        <v>#N/A</v>
      </c>
      <c r="V86">
        <f t="shared" si="16"/>
        <v>355000</v>
      </c>
      <c r="W86">
        <f t="shared" si="17"/>
        <v>63</v>
      </c>
      <c r="X86" t="e">
        <f t="shared" si="18"/>
        <v>#N/A</v>
      </c>
      <c r="Y86" t="e">
        <f t="shared" si="19"/>
        <v>#N/A</v>
      </c>
    </row>
    <row r="87" spans="1:25" x14ac:dyDescent="0.2">
      <c r="A87">
        <v>1085</v>
      </c>
      <c r="B87" t="s">
        <v>44</v>
      </c>
      <c r="C87" t="s">
        <v>23</v>
      </c>
      <c r="D87">
        <v>2022</v>
      </c>
      <c r="E87" t="s">
        <v>30</v>
      </c>
      <c r="F87">
        <v>218</v>
      </c>
      <c r="G87">
        <v>4</v>
      </c>
      <c r="H87">
        <v>4</v>
      </c>
      <c r="I87">
        <v>766000</v>
      </c>
      <c r="J87">
        <v>3513.8</v>
      </c>
      <c r="K87">
        <v>20</v>
      </c>
      <c r="L87" t="s">
        <v>17</v>
      </c>
      <c r="M87">
        <v>83</v>
      </c>
      <c r="N87" t="s">
        <v>18</v>
      </c>
      <c r="P87" t="e">
        <f t="shared" si="10"/>
        <v>#N/A</v>
      </c>
      <c r="Q87" t="e">
        <f t="shared" si="11"/>
        <v>#N/A</v>
      </c>
      <c r="R87" t="e">
        <f t="shared" si="12"/>
        <v>#N/A</v>
      </c>
      <c r="S87" t="e">
        <f t="shared" si="13"/>
        <v>#N/A</v>
      </c>
      <c r="T87">
        <f t="shared" si="14"/>
        <v>766000</v>
      </c>
      <c r="U87">
        <f t="shared" si="15"/>
        <v>218</v>
      </c>
      <c r="V87" t="e">
        <f t="shared" si="16"/>
        <v>#N/A</v>
      </c>
      <c r="W87" t="e">
        <f t="shared" si="17"/>
        <v>#N/A</v>
      </c>
      <c r="X87" t="e">
        <f t="shared" si="18"/>
        <v>#N/A</v>
      </c>
      <c r="Y87" t="e">
        <f t="shared" si="19"/>
        <v>#N/A</v>
      </c>
    </row>
    <row r="88" spans="1:25" x14ac:dyDescent="0.2">
      <c r="A88">
        <v>1086</v>
      </c>
      <c r="B88" t="s">
        <v>44</v>
      </c>
      <c r="C88" t="s">
        <v>15</v>
      </c>
      <c r="D88">
        <v>2024</v>
      </c>
      <c r="E88" t="s">
        <v>26</v>
      </c>
      <c r="F88">
        <v>97</v>
      </c>
      <c r="G88">
        <v>2</v>
      </c>
      <c r="H88">
        <v>2</v>
      </c>
      <c r="I88">
        <v>309000</v>
      </c>
      <c r="J88">
        <v>3185.6</v>
      </c>
      <c r="K88">
        <v>2</v>
      </c>
      <c r="L88" t="s">
        <v>20</v>
      </c>
      <c r="M88">
        <v>126</v>
      </c>
      <c r="N88" t="s">
        <v>18</v>
      </c>
      <c r="P88" t="e">
        <f t="shared" si="10"/>
        <v>#N/A</v>
      </c>
      <c r="Q88" t="e">
        <f t="shared" si="11"/>
        <v>#N/A</v>
      </c>
      <c r="R88">
        <f t="shared" si="12"/>
        <v>309000</v>
      </c>
      <c r="S88">
        <f t="shared" si="13"/>
        <v>97</v>
      </c>
      <c r="T88" t="e">
        <f t="shared" si="14"/>
        <v>#N/A</v>
      </c>
      <c r="U88" t="e">
        <f t="shared" si="15"/>
        <v>#N/A</v>
      </c>
      <c r="V88" t="e">
        <f t="shared" si="16"/>
        <v>#N/A</v>
      </c>
      <c r="W88" t="e">
        <f t="shared" si="17"/>
        <v>#N/A</v>
      </c>
      <c r="X88" t="e">
        <f t="shared" si="18"/>
        <v>#N/A</v>
      </c>
      <c r="Y88" t="e">
        <f t="shared" si="19"/>
        <v>#N/A</v>
      </c>
    </row>
    <row r="89" spans="1:25" x14ac:dyDescent="0.2">
      <c r="A89">
        <v>1087</v>
      </c>
      <c r="B89" t="s">
        <v>41</v>
      </c>
      <c r="C89" t="s">
        <v>36</v>
      </c>
      <c r="D89">
        <v>2024</v>
      </c>
      <c r="E89" t="s">
        <v>24</v>
      </c>
      <c r="F89">
        <v>361</v>
      </c>
      <c r="G89">
        <v>4</v>
      </c>
      <c r="H89">
        <v>4</v>
      </c>
      <c r="I89">
        <v>1538000</v>
      </c>
      <c r="J89">
        <v>4260.3999999999996</v>
      </c>
      <c r="K89">
        <v>10</v>
      </c>
      <c r="L89" t="s">
        <v>20</v>
      </c>
      <c r="M89">
        <v>145</v>
      </c>
      <c r="N89" t="s">
        <v>21</v>
      </c>
      <c r="P89" t="e">
        <f t="shared" si="10"/>
        <v>#N/A</v>
      </c>
      <c r="Q89" t="e">
        <f t="shared" si="11"/>
        <v>#N/A</v>
      </c>
      <c r="R89" t="e">
        <f t="shared" si="12"/>
        <v>#N/A</v>
      </c>
      <c r="S89" t="e">
        <f t="shared" si="13"/>
        <v>#N/A</v>
      </c>
      <c r="T89" t="e">
        <f t="shared" si="14"/>
        <v>#N/A</v>
      </c>
      <c r="U89" t="e">
        <f t="shared" si="15"/>
        <v>#N/A</v>
      </c>
      <c r="V89" t="e">
        <f t="shared" si="16"/>
        <v>#N/A</v>
      </c>
      <c r="W89" t="e">
        <f t="shared" si="17"/>
        <v>#N/A</v>
      </c>
      <c r="X89">
        <f t="shared" si="18"/>
        <v>1538000</v>
      </c>
      <c r="Y89">
        <f t="shared" si="19"/>
        <v>361</v>
      </c>
    </row>
    <row r="90" spans="1:25" x14ac:dyDescent="0.2">
      <c r="A90">
        <v>1088</v>
      </c>
      <c r="B90" t="s">
        <v>46</v>
      </c>
      <c r="C90" t="s">
        <v>29</v>
      </c>
      <c r="D90">
        <v>2023</v>
      </c>
      <c r="E90" t="s">
        <v>16</v>
      </c>
      <c r="F90">
        <v>441</v>
      </c>
      <c r="G90">
        <v>5</v>
      </c>
      <c r="H90">
        <v>5</v>
      </c>
      <c r="I90">
        <v>2258000</v>
      </c>
      <c r="J90">
        <v>5120.2</v>
      </c>
      <c r="K90">
        <v>0</v>
      </c>
      <c r="L90" t="s">
        <v>17</v>
      </c>
      <c r="M90">
        <v>24</v>
      </c>
      <c r="N90" t="s">
        <v>18</v>
      </c>
      <c r="P90">
        <f t="shared" si="10"/>
        <v>2258000</v>
      </c>
      <c r="Q90">
        <f t="shared" si="11"/>
        <v>441</v>
      </c>
      <c r="R90" t="e">
        <f t="shared" si="12"/>
        <v>#N/A</v>
      </c>
      <c r="S90" t="e">
        <f t="shared" si="13"/>
        <v>#N/A</v>
      </c>
      <c r="T90" t="e">
        <f t="shared" si="14"/>
        <v>#N/A</v>
      </c>
      <c r="U90" t="e">
        <f t="shared" si="15"/>
        <v>#N/A</v>
      </c>
      <c r="V90" t="e">
        <f t="shared" si="16"/>
        <v>#N/A</v>
      </c>
      <c r="W90" t="e">
        <f t="shared" si="17"/>
        <v>#N/A</v>
      </c>
      <c r="X90" t="e">
        <f t="shared" si="18"/>
        <v>#N/A</v>
      </c>
      <c r="Y90" t="e">
        <f t="shared" si="19"/>
        <v>#N/A</v>
      </c>
    </row>
    <row r="91" spans="1:25" x14ac:dyDescent="0.2">
      <c r="A91">
        <v>1089</v>
      </c>
      <c r="B91" t="s">
        <v>44</v>
      </c>
      <c r="C91" t="s">
        <v>15</v>
      </c>
      <c r="D91">
        <v>2024</v>
      </c>
      <c r="E91" t="s">
        <v>16</v>
      </c>
      <c r="F91">
        <v>168</v>
      </c>
      <c r="G91">
        <v>3</v>
      </c>
      <c r="H91">
        <v>3</v>
      </c>
      <c r="I91">
        <v>559000</v>
      </c>
      <c r="J91">
        <v>3327.4</v>
      </c>
      <c r="K91">
        <v>4</v>
      </c>
      <c r="L91" t="s">
        <v>20</v>
      </c>
      <c r="M91">
        <v>30</v>
      </c>
      <c r="N91" t="s">
        <v>18</v>
      </c>
      <c r="P91" t="e">
        <f t="shared" si="10"/>
        <v>#N/A</v>
      </c>
      <c r="Q91" t="e">
        <f t="shared" si="11"/>
        <v>#N/A</v>
      </c>
      <c r="R91">
        <f t="shared" si="12"/>
        <v>559000</v>
      </c>
      <c r="S91">
        <f t="shared" si="13"/>
        <v>168</v>
      </c>
      <c r="T91" t="e">
        <f t="shared" si="14"/>
        <v>#N/A</v>
      </c>
      <c r="U91" t="e">
        <f t="shared" si="15"/>
        <v>#N/A</v>
      </c>
      <c r="V91" t="e">
        <f t="shared" si="16"/>
        <v>#N/A</v>
      </c>
      <c r="W91" t="e">
        <f t="shared" si="17"/>
        <v>#N/A</v>
      </c>
      <c r="X91" t="e">
        <f t="shared" si="18"/>
        <v>#N/A</v>
      </c>
      <c r="Y91" t="e">
        <f t="shared" si="19"/>
        <v>#N/A</v>
      </c>
    </row>
    <row r="92" spans="1:25" x14ac:dyDescent="0.2">
      <c r="A92">
        <v>1090</v>
      </c>
      <c r="B92" t="s">
        <v>43</v>
      </c>
      <c r="C92" t="s">
        <v>36</v>
      </c>
      <c r="D92">
        <v>2023</v>
      </c>
      <c r="E92" t="s">
        <v>24</v>
      </c>
      <c r="F92">
        <v>381</v>
      </c>
      <c r="G92">
        <v>3</v>
      </c>
      <c r="H92">
        <v>3</v>
      </c>
      <c r="I92">
        <v>1371000</v>
      </c>
      <c r="J92">
        <v>3598.4</v>
      </c>
      <c r="K92">
        <v>10</v>
      </c>
      <c r="L92" t="s">
        <v>20</v>
      </c>
      <c r="M92">
        <v>122</v>
      </c>
      <c r="N92" t="s">
        <v>27</v>
      </c>
      <c r="P92" t="e">
        <f t="shared" si="10"/>
        <v>#N/A</v>
      </c>
      <c r="Q92" t="e">
        <f t="shared" si="11"/>
        <v>#N/A</v>
      </c>
      <c r="R92" t="e">
        <f t="shared" si="12"/>
        <v>#N/A</v>
      </c>
      <c r="S92" t="e">
        <f t="shared" si="13"/>
        <v>#N/A</v>
      </c>
      <c r="T92" t="e">
        <f t="shared" si="14"/>
        <v>#N/A</v>
      </c>
      <c r="U92" t="e">
        <f t="shared" si="15"/>
        <v>#N/A</v>
      </c>
      <c r="V92" t="e">
        <f t="shared" si="16"/>
        <v>#N/A</v>
      </c>
      <c r="W92" t="e">
        <f t="shared" si="17"/>
        <v>#N/A</v>
      </c>
      <c r="X92">
        <f t="shared" si="18"/>
        <v>1371000</v>
      </c>
      <c r="Y92">
        <f t="shared" si="19"/>
        <v>381</v>
      </c>
    </row>
    <row r="93" spans="1:25" x14ac:dyDescent="0.2">
      <c r="A93">
        <v>1091</v>
      </c>
      <c r="B93" t="s">
        <v>47</v>
      </c>
      <c r="C93" t="s">
        <v>36</v>
      </c>
      <c r="D93">
        <v>2023</v>
      </c>
      <c r="E93" t="s">
        <v>30</v>
      </c>
      <c r="F93">
        <v>368</v>
      </c>
      <c r="G93">
        <v>5</v>
      </c>
      <c r="H93">
        <v>5</v>
      </c>
      <c r="I93">
        <v>932000</v>
      </c>
      <c r="J93">
        <v>2532.6</v>
      </c>
      <c r="K93">
        <v>0</v>
      </c>
      <c r="L93" t="s">
        <v>17</v>
      </c>
      <c r="M93">
        <v>135</v>
      </c>
      <c r="N93" t="s">
        <v>21</v>
      </c>
      <c r="P93" t="e">
        <f t="shared" si="10"/>
        <v>#N/A</v>
      </c>
      <c r="Q93" t="e">
        <f t="shared" si="11"/>
        <v>#N/A</v>
      </c>
      <c r="R93" t="e">
        <f t="shared" si="12"/>
        <v>#N/A</v>
      </c>
      <c r="S93" t="e">
        <f t="shared" si="13"/>
        <v>#N/A</v>
      </c>
      <c r="T93" t="e">
        <f t="shared" si="14"/>
        <v>#N/A</v>
      </c>
      <c r="U93" t="e">
        <f t="shared" si="15"/>
        <v>#N/A</v>
      </c>
      <c r="V93" t="e">
        <f t="shared" si="16"/>
        <v>#N/A</v>
      </c>
      <c r="W93" t="e">
        <f t="shared" si="17"/>
        <v>#N/A</v>
      </c>
      <c r="X93">
        <f t="shared" si="18"/>
        <v>932000</v>
      </c>
      <c r="Y93">
        <f t="shared" si="19"/>
        <v>368</v>
      </c>
    </row>
    <row r="94" spans="1:25" x14ac:dyDescent="0.2">
      <c r="A94">
        <v>1092</v>
      </c>
      <c r="B94" t="s">
        <v>35</v>
      </c>
      <c r="C94" t="s">
        <v>29</v>
      </c>
      <c r="D94">
        <v>2023</v>
      </c>
      <c r="E94" t="s">
        <v>30</v>
      </c>
      <c r="F94">
        <v>366</v>
      </c>
      <c r="G94">
        <v>4</v>
      </c>
      <c r="H94">
        <v>4</v>
      </c>
      <c r="I94">
        <v>1927000</v>
      </c>
      <c r="J94">
        <v>5265</v>
      </c>
      <c r="K94">
        <v>15</v>
      </c>
      <c r="L94" t="s">
        <v>17</v>
      </c>
      <c r="M94">
        <v>165</v>
      </c>
      <c r="N94" t="s">
        <v>18</v>
      </c>
      <c r="P94">
        <f t="shared" si="10"/>
        <v>1927000</v>
      </c>
      <c r="Q94">
        <f t="shared" si="11"/>
        <v>366</v>
      </c>
      <c r="R94" t="e">
        <f t="shared" si="12"/>
        <v>#N/A</v>
      </c>
      <c r="S94" t="e">
        <f t="shared" si="13"/>
        <v>#N/A</v>
      </c>
      <c r="T94" t="e">
        <f t="shared" si="14"/>
        <v>#N/A</v>
      </c>
      <c r="U94" t="e">
        <f t="shared" si="15"/>
        <v>#N/A</v>
      </c>
      <c r="V94" t="e">
        <f t="shared" si="16"/>
        <v>#N/A</v>
      </c>
      <c r="W94" t="e">
        <f t="shared" si="17"/>
        <v>#N/A</v>
      </c>
      <c r="X94" t="e">
        <f t="shared" si="18"/>
        <v>#N/A</v>
      </c>
      <c r="Y94" t="e">
        <f t="shared" si="19"/>
        <v>#N/A</v>
      </c>
    </row>
    <row r="95" spans="1:25" x14ac:dyDescent="0.2">
      <c r="A95">
        <v>1093</v>
      </c>
      <c r="B95" t="s">
        <v>46</v>
      </c>
      <c r="C95" t="s">
        <v>29</v>
      </c>
      <c r="D95">
        <v>2024</v>
      </c>
      <c r="E95" t="s">
        <v>24</v>
      </c>
      <c r="F95">
        <v>439</v>
      </c>
      <c r="G95">
        <v>5</v>
      </c>
      <c r="H95">
        <v>5</v>
      </c>
      <c r="I95">
        <v>2602000</v>
      </c>
      <c r="J95">
        <v>5927.1</v>
      </c>
      <c r="K95">
        <v>20</v>
      </c>
      <c r="L95" t="s">
        <v>17</v>
      </c>
      <c r="M95">
        <v>89</v>
      </c>
      <c r="N95" t="s">
        <v>18</v>
      </c>
      <c r="P95">
        <f t="shared" si="10"/>
        <v>2602000</v>
      </c>
      <c r="Q95">
        <f t="shared" si="11"/>
        <v>439</v>
      </c>
      <c r="R95" t="e">
        <f t="shared" si="12"/>
        <v>#N/A</v>
      </c>
      <c r="S95" t="e">
        <f t="shared" si="13"/>
        <v>#N/A</v>
      </c>
      <c r="T95" t="e">
        <f t="shared" si="14"/>
        <v>#N/A</v>
      </c>
      <c r="U95" t="e">
        <f t="shared" si="15"/>
        <v>#N/A</v>
      </c>
      <c r="V95" t="e">
        <f t="shared" si="16"/>
        <v>#N/A</v>
      </c>
      <c r="W95" t="e">
        <f t="shared" si="17"/>
        <v>#N/A</v>
      </c>
      <c r="X95" t="e">
        <f t="shared" si="18"/>
        <v>#N/A</v>
      </c>
      <c r="Y95" t="e">
        <f t="shared" si="19"/>
        <v>#N/A</v>
      </c>
    </row>
    <row r="96" spans="1:25" x14ac:dyDescent="0.2">
      <c r="A96">
        <v>1094</v>
      </c>
      <c r="B96" t="s">
        <v>14</v>
      </c>
      <c r="C96" t="s">
        <v>15</v>
      </c>
      <c r="D96">
        <v>2022</v>
      </c>
      <c r="E96" t="s">
        <v>26</v>
      </c>
      <c r="F96">
        <v>154</v>
      </c>
      <c r="G96">
        <v>4</v>
      </c>
      <c r="H96">
        <v>4</v>
      </c>
      <c r="I96">
        <v>510000</v>
      </c>
      <c r="J96">
        <v>3311.7</v>
      </c>
      <c r="K96">
        <v>10</v>
      </c>
      <c r="L96" t="s">
        <v>20</v>
      </c>
      <c r="M96">
        <v>75</v>
      </c>
      <c r="N96" t="s">
        <v>18</v>
      </c>
      <c r="P96" t="e">
        <f t="shared" si="10"/>
        <v>#N/A</v>
      </c>
      <c r="Q96" t="e">
        <f t="shared" si="11"/>
        <v>#N/A</v>
      </c>
      <c r="R96">
        <f t="shared" si="12"/>
        <v>510000</v>
      </c>
      <c r="S96">
        <f t="shared" si="13"/>
        <v>154</v>
      </c>
      <c r="T96" t="e">
        <f t="shared" si="14"/>
        <v>#N/A</v>
      </c>
      <c r="U96" t="e">
        <f t="shared" si="15"/>
        <v>#N/A</v>
      </c>
      <c r="V96" t="e">
        <f t="shared" si="16"/>
        <v>#N/A</v>
      </c>
      <c r="W96" t="e">
        <f t="shared" si="17"/>
        <v>#N/A</v>
      </c>
      <c r="X96" t="e">
        <f t="shared" si="18"/>
        <v>#N/A</v>
      </c>
      <c r="Y96" t="e">
        <f t="shared" si="19"/>
        <v>#N/A</v>
      </c>
    </row>
    <row r="97" spans="1:25" x14ac:dyDescent="0.2">
      <c r="A97">
        <v>1095</v>
      </c>
      <c r="B97" t="s">
        <v>14</v>
      </c>
      <c r="C97" t="s">
        <v>38</v>
      </c>
      <c r="D97">
        <v>2024</v>
      </c>
      <c r="E97" t="s">
        <v>24</v>
      </c>
      <c r="F97">
        <v>48</v>
      </c>
      <c r="G97">
        <v>0</v>
      </c>
      <c r="H97">
        <v>1</v>
      </c>
      <c r="I97">
        <v>247000</v>
      </c>
      <c r="J97">
        <v>5145.8</v>
      </c>
      <c r="K97">
        <v>3</v>
      </c>
      <c r="L97" t="s">
        <v>20</v>
      </c>
      <c r="M97">
        <v>66</v>
      </c>
      <c r="N97" t="s">
        <v>18</v>
      </c>
      <c r="P97" t="e">
        <f t="shared" si="10"/>
        <v>#N/A</v>
      </c>
      <c r="Q97" t="e">
        <f t="shared" si="11"/>
        <v>#N/A</v>
      </c>
      <c r="R97" t="e">
        <f t="shared" si="12"/>
        <v>#N/A</v>
      </c>
      <c r="S97" t="e">
        <f t="shared" si="13"/>
        <v>#N/A</v>
      </c>
      <c r="T97" t="e">
        <f t="shared" si="14"/>
        <v>#N/A</v>
      </c>
      <c r="U97" t="e">
        <f t="shared" si="15"/>
        <v>#N/A</v>
      </c>
      <c r="V97">
        <f t="shared" si="16"/>
        <v>247000</v>
      </c>
      <c r="W97">
        <f t="shared" si="17"/>
        <v>48</v>
      </c>
      <c r="X97" t="e">
        <f t="shared" si="18"/>
        <v>#N/A</v>
      </c>
      <c r="Y97" t="e">
        <f t="shared" si="19"/>
        <v>#N/A</v>
      </c>
    </row>
    <row r="98" spans="1:25" x14ac:dyDescent="0.2">
      <c r="A98">
        <v>1096</v>
      </c>
      <c r="B98" t="s">
        <v>28</v>
      </c>
      <c r="C98" t="s">
        <v>29</v>
      </c>
      <c r="D98">
        <v>2023</v>
      </c>
      <c r="E98" t="s">
        <v>30</v>
      </c>
      <c r="F98">
        <v>569</v>
      </c>
      <c r="G98">
        <v>5</v>
      </c>
      <c r="H98">
        <v>5</v>
      </c>
      <c r="I98">
        <v>2703000</v>
      </c>
      <c r="J98">
        <v>4750.3999999999996</v>
      </c>
      <c r="K98">
        <v>20</v>
      </c>
      <c r="L98" t="s">
        <v>34</v>
      </c>
      <c r="M98">
        <v>17</v>
      </c>
      <c r="N98" t="s">
        <v>27</v>
      </c>
      <c r="P98">
        <f t="shared" si="10"/>
        <v>2703000</v>
      </c>
      <c r="Q98">
        <f t="shared" si="11"/>
        <v>569</v>
      </c>
      <c r="R98" t="e">
        <f t="shared" si="12"/>
        <v>#N/A</v>
      </c>
      <c r="S98" t="e">
        <f t="shared" si="13"/>
        <v>#N/A</v>
      </c>
      <c r="T98" t="e">
        <f t="shared" si="14"/>
        <v>#N/A</v>
      </c>
      <c r="U98" t="e">
        <f t="shared" si="15"/>
        <v>#N/A</v>
      </c>
      <c r="V98" t="e">
        <f t="shared" si="16"/>
        <v>#N/A</v>
      </c>
      <c r="W98" t="e">
        <f t="shared" si="17"/>
        <v>#N/A</v>
      </c>
      <c r="X98" t="e">
        <f t="shared" si="18"/>
        <v>#N/A</v>
      </c>
      <c r="Y98" t="e">
        <f t="shared" si="19"/>
        <v>#N/A</v>
      </c>
    </row>
    <row r="99" spans="1:25" x14ac:dyDescent="0.2">
      <c r="A99">
        <v>1097</v>
      </c>
      <c r="B99" t="s">
        <v>40</v>
      </c>
      <c r="C99" t="s">
        <v>29</v>
      </c>
      <c r="D99">
        <v>2021</v>
      </c>
      <c r="E99" t="s">
        <v>30</v>
      </c>
      <c r="F99">
        <v>458</v>
      </c>
      <c r="G99">
        <v>5</v>
      </c>
      <c r="H99">
        <v>5</v>
      </c>
      <c r="I99">
        <v>2025000</v>
      </c>
      <c r="J99">
        <v>4421.3999999999996</v>
      </c>
      <c r="K99">
        <v>1</v>
      </c>
      <c r="L99" t="s">
        <v>34</v>
      </c>
      <c r="M99">
        <v>100</v>
      </c>
      <c r="N99" t="s">
        <v>18</v>
      </c>
      <c r="P99">
        <f t="shared" si="10"/>
        <v>2025000</v>
      </c>
      <c r="Q99">
        <f t="shared" si="11"/>
        <v>458</v>
      </c>
      <c r="R99" t="e">
        <f t="shared" si="12"/>
        <v>#N/A</v>
      </c>
      <c r="S99" t="e">
        <f t="shared" si="13"/>
        <v>#N/A</v>
      </c>
      <c r="T99" t="e">
        <f t="shared" si="14"/>
        <v>#N/A</v>
      </c>
      <c r="U99" t="e">
        <f t="shared" si="15"/>
        <v>#N/A</v>
      </c>
      <c r="V99" t="e">
        <f t="shared" si="16"/>
        <v>#N/A</v>
      </c>
      <c r="W99" t="e">
        <f t="shared" si="17"/>
        <v>#N/A</v>
      </c>
      <c r="X99" t="e">
        <f t="shared" si="18"/>
        <v>#N/A</v>
      </c>
      <c r="Y99" t="e">
        <f t="shared" si="19"/>
        <v>#N/A</v>
      </c>
    </row>
    <row r="100" spans="1:25" x14ac:dyDescent="0.2">
      <c r="A100">
        <v>1098</v>
      </c>
      <c r="B100" t="s">
        <v>33</v>
      </c>
      <c r="C100" t="s">
        <v>15</v>
      </c>
      <c r="D100">
        <v>2022</v>
      </c>
      <c r="E100" t="s">
        <v>24</v>
      </c>
      <c r="F100">
        <v>116</v>
      </c>
      <c r="G100">
        <v>3</v>
      </c>
      <c r="H100">
        <v>3</v>
      </c>
      <c r="I100">
        <v>282000</v>
      </c>
      <c r="J100">
        <v>2431</v>
      </c>
      <c r="K100">
        <v>20</v>
      </c>
      <c r="L100" t="s">
        <v>17</v>
      </c>
      <c r="M100">
        <v>144</v>
      </c>
      <c r="N100" t="s">
        <v>27</v>
      </c>
      <c r="P100" t="e">
        <f t="shared" si="10"/>
        <v>#N/A</v>
      </c>
      <c r="Q100" t="e">
        <f t="shared" si="11"/>
        <v>#N/A</v>
      </c>
      <c r="R100">
        <f t="shared" si="12"/>
        <v>282000</v>
      </c>
      <c r="S100">
        <f t="shared" si="13"/>
        <v>116</v>
      </c>
      <c r="T100" t="e">
        <f t="shared" si="14"/>
        <v>#N/A</v>
      </c>
      <c r="U100" t="e">
        <f t="shared" si="15"/>
        <v>#N/A</v>
      </c>
      <c r="V100" t="e">
        <f t="shared" si="16"/>
        <v>#N/A</v>
      </c>
      <c r="W100" t="e">
        <f t="shared" si="17"/>
        <v>#N/A</v>
      </c>
      <c r="X100" t="e">
        <f t="shared" si="18"/>
        <v>#N/A</v>
      </c>
      <c r="Y100" t="e">
        <f t="shared" si="19"/>
        <v>#N/A</v>
      </c>
    </row>
    <row r="101" spans="1:25" x14ac:dyDescent="0.2">
      <c r="A101">
        <v>1099</v>
      </c>
      <c r="B101" t="s">
        <v>14</v>
      </c>
      <c r="C101" t="s">
        <v>23</v>
      </c>
      <c r="D101">
        <v>2021</v>
      </c>
      <c r="E101" t="s">
        <v>16</v>
      </c>
      <c r="F101">
        <v>319</v>
      </c>
      <c r="G101">
        <v>4</v>
      </c>
      <c r="H101">
        <v>4</v>
      </c>
      <c r="I101">
        <v>1294000</v>
      </c>
      <c r="J101">
        <v>4056.4</v>
      </c>
      <c r="K101">
        <v>2</v>
      </c>
      <c r="L101" t="s">
        <v>20</v>
      </c>
      <c r="M101">
        <v>10</v>
      </c>
      <c r="N101" t="s">
        <v>18</v>
      </c>
      <c r="P101" t="e">
        <f t="shared" si="10"/>
        <v>#N/A</v>
      </c>
      <c r="Q101" t="e">
        <f t="shared" si="11"/>
        <v>#N/A</v>
      </c>
      <c r="R101" t="e">
        <f t="shared" si="12"/>
        <v>#N/A</v>
      </c>
      <c r="S101" t="e">
        <f t="shared" si="13"/>
        <v>#N/A</v>
      </c>
      <c r="T101">
        <f t="shared" si="14"/>
        <v>1294000</v>
      </c>
      <c r="U101">
        <f t="shared" si="15"/>
        <v>319</v>
      </c>
      <c r="V101" t="e">
        <f t="shared" si="16"/>
        <v>#N/A</v>
      </c>
      <c r="W101" t="e">
        <f t="shared" si="17"/>
        <v>#N/A</v>
      </c>
      <c r="X101" t="e">
        <f t="shared" si="18"/>
        <v>#N/A</v>
      </c>
      <c r="Y101" t="e">
        <f t="shared" si="19"/>
        <v>#N/A</v>
      </c>
    </row>
    <row r="102" spans="1:25" x14ac:dyDescent="0.2">
      <c r="A102">
        <v>1100</v>
      </c>
      <c r="B102" t="s">
        <v>42</v>
      </c>
      <c r="C102" t="s">
        <v>29</v>
      </c>
      <c r="D102">
        <v>2021</v>
      </c>
      <c r="E102" t="s">
        <v>26</v>
      </c>
      <c r="F102">
        <v>497</v>
      </c>
      <c r="G102">
        <v>4</v>
      </c>
      <c r="H102">
        <v>4</v>
      </c>
      <c r="I102">
        <v>3097000</v>
      </c>
      <c r="J102">
        <v>6231.4</v>
      </c>
      <c r="K102">
        <v>4</v>
      </c>
      <c r="L102" t="s">
        <v>34</v>
      </c>
      <c r="M102">
        <v>8</v>
      </c>
      <c r="N102" t="s">
        <v>21</v>
      </c>
      <c r="P102">
        <f t="shared" si="10"/>
        <v>3097000</v>
      </c>
      <c r="Q102">
        <f t="shared" si="11"/>
        <v>497</v>
      </c>
      <c r="R102" t="e">
        <f t="shared" si="12"/>
        <v>#N/A</v>
      </c>
      <c r="S102" t="e">
        <f t="shared" si="13"/>
        <v>#N/A</v>
      </c>
      <c r="T102" t="e">
        <f t="shared" si="14"/>
        <v>#N/A</v>
      </c>
      <c r="U102" t="e">
        <f t="shared" si="15"/>
        <v>#N/A</v>
      </c>
      <c r="V102" t="e">
        <f t="shared" si="16"/>
        <v>#N/A</v>
      </c>
      <c r="W102" t="e">
        <f t="shared" si="17"/>
        <v>#N/A</v>
      </c>
      <c r="X102" t="e">
        <f t="shared" si="18"/>
        <v>#N/A</v>
      </c>
      <c r="Y102" t="e">
        <f t="shared" si="19"/>
        <v>#N/A</v>
      </c>
    </row>
    <row r="103" spans="1:25" x14ac:dyDescent="0.2">
      <c r="A103">
        <v>1101</v>
      </c>
      <c r="B103" t="s">
        <v>37</v>
      </c>
      <c r="C103" t="s">
        <v>15</v>
      </c>
      <c r="D103">
        <v>2021</v>
      </c>
      <c r="E103" t="s">
        <v>30</v>
      </c>
      <c r="F103">
        <v>157</v>
      </c>
      <c r="G103">
        <v>4</v>
      </c>
      <c r="H103">
        <v>4</v>
      </c>
      <c r="I103">
        <v>588000</v>
      </c>
      <c r="J103">
        <v>3745.2</v>
      </c>
      <c r="K103">
        <v>0</v>
      </c>
      <c r="L103" t="s">
        <v>17</v>
      </c>
      <c r="M103">
        <v>80</v>
      </c>
      <c r="N103" t="s">
        <v>27</v>
      </c>
      <c r="P103" t="e">
        <f t="shared" si="10"/>
        <v>#N/A</v>
      </c>
      <c r="Q103" t="e">
        <f t="shared" si="11"/>
        <v>#N/A</v>
      </c>
      <c r="R103">
        <f t="shared" si="12"/>
        <v>588000</v>
      </c>
      <c r="S103">
        <f t="shared" si="13"/>
        <v>157</v>
      </c>
      <c r="T103" t="e">
        <f t="shared" si="14"/>
        <v>#N/A</v>
      </c>
      <c r="U103" t="e">
        <f t="shared" si="15"/>
        <v>#N/A</v>
      </c>
      <c r="V103" t="e">
        <f t="shared" si="16"/>
        <v>#N/A</v>
      </c>
      <c r="W103" t="e">
        <f t="shared" si="17"/>
        <v>#N/A</v>
      </c>
      <c r="X103" t="e">
        <f t="shared" si="18"/>
        <v>#N/A</v>
      </c>
      <c r="Y103" t="e">
        <f t="shared" si="19"/>
        <v>#N/A</v>
      </c>
    </row>
    <row r="104" spans="1:25" x14ac:dyDescent="0.2">
      <c r="A104">
        <v>1102</v>
      </c>
      <c r="B104" t="s">
        <v>39</v>
      </c>
      <c r="C104" t="s">
        <v>15</v>
      </c>
      <c r="D104">
        <v>2022</v>
      </c>
      <c r="E104" t="s">
        <v>30</v>
      </c>
      <c r="F104">
        <v>138</v>
      </c>
      <c r="G104">
        <v>3</v>
      </c>
      <c r="H104">
        <v>3</v>
      </c>
      <c r="I104">
        <v>490000</v>
      </c>
      <c r="J104">
        <v>3550.7</v>
      </c>
      <c r="K104">
        <v>20</v>
      </c>
      <c r="L104" t="s">
        <v>17</v>
      </c>
      <c r="M104">
        <v>82</v>
      </c>
      <c r="N104" t="s">
        <v>21</v>
      </c>
      <c r="P104" t="e">
        <f t="shared" si="10"/>
        <v>#N/A</v>
      </c>
      <c r="Q104" t="e">
        <f t="shared" si="11"/>
        <v>#N/A</v>
      </c>
      <c r="R104">
        <f t="shared" si="12"/>
        <v>490000</v>
      </c>
      <c r="S104">
        <f t="shared" si="13"/>
        <v>138</v>
      </c>
      <c r="T104" t="e">
        <f t="shared" si="14"/>
        <v>#N/A</v>
      </c>
      <c r="U104" t="e">
        <f t="shared" si="15"/>
        <v>#N/A</v>
      </c>
      <c r="V104" t="e">
        <f t="shared" si="16"/>
        <v>#N/A</v>
      </c>
      <c r="W104" t="e">
        <f t="shared" si="17"/>
        <v>#N/A</v>
      </c>
      <c r="X104" t="e">
        <f t="shared" si="18"/>
        <v>#N/A</v>
      </c>
      <c r="Y104" t="e">
        <f t="shared" si="19"/>
        <v>#N/A</v>
      </c>
    </row>
    <row r="105" spans="1:25" x14ac:dyDescent="0.2">
      <c r="A105">
        <v>1103</v>
      </c>
      <c r="B105" t="s">
        <v>25</v>
      </c>
      <c r="C105" t="s">
        <v>29</v>
      </c>
      <c r="D105">
        <v>2021</v>
      </c>
      <c r="E105" t="s">
        <v>16</v>
      </c>
      <c r="F105">
        <v>360</v>
      </c>
      <c r="G105">
        <v>5</v>
      </c>
      <c r="H105">
        <v>5</v>
      </c>
      <c r="I105">
        <v>1186000</v>
      </c>
      <c r="J105">
        <v>3294.4</v>
      </c>
      <c r="K105">
        <v>2</v>
      </c>
      <c r="L105" t="s">
        <v>17</v>
      </c>
      <c r="M105">
        <v>75</v>
      </c>
      <c r="N105" t="s">
        <v>27</v>
      </c>
      <c r="P105">
        <f t="shared" si="10"/>
        <v>1186000</v>
      </c>
      <c r="Q105">
        <f t="shared" si="11"/>
        <v>360</v>
      </c>
      <c r="R105" t="e">
        <f t="shared" si="12"/>
        <v>#N/A</v>
      </c>
      <c r="S105" t="e">
        <f t="shared" si="13"/>
        <v>#N/A</v>
      </c>
      <c r="T105" t="e">
        <f t="shared" si="14"/>
        <v>#N/A</v>
      </c>
      <c r="U105" t="e">
        <f t="shared" si="15"/>
        <v>#N/A</v>
      </c>
      <c r="V105" t="e">
        <f t="shared" si="16"/>
        <v>#N/A</v>
      </c>
      <c r="W105" t="e">
        <f t="shared" si="17"/>
        <v>#N/A</v>
      </c>
      <c r="X105" t="e">
        <f t="shared" si="18"/>
        <v>#N/A</v>
      </c>
      <c r="Y105" t="e">
        <f t="shared" si="19"/>
        <v>#N/A</v>
      </c>
    </row>
    <row r="106" spans="1:25" x14ac:dyDescent="0.2">
      <c r="A106">
        <v>1104</v>
      </c>
      <c r="B106" t="s">
        <v>14</v>
      </c>
      <c r="C106" t="s">
        <v>15</v>
      </c>
      <c r="D106">
        <v>2023</v>
      </c>
      <c r="E106" t="s">
        <v>24</v>
      </c>
      <c r="F106">
        <v>143</v>
      </c>
      <c r="G106">
        <v>3</v>
      </c>
      <c r="H106">
        <v>3</v>
      </c>
      <c r="I106">
        <v>592000</v>
      </c>
      <c r="J106">
        <v>4139.8999999999996</v>
      </c>
      <c r="K106">
        <v>0</v>
      </c>
      <c r="L106" t="s">
        <v>20</v>
      </c>
      <c r="M106">
        <v>78</v>
      </c>
      <c r="N106" t="s">
        <v>18</v>
      </c>
      <c r="P106" t="e">
        <f t="shared" si="10"/>
        <v>#N/A</v>
      </c>
      <c r="Q106" t="e">
        <f t="shared" si="11"/>
        <v>#N/A</v>
      </c>
      <c r="R106">
        <f t="shared" si="12"/>
        <v>592000</v>
      </c>
      <c r="S106">
        <f t="shared" si="13"/>
        <v>143</v>
      </c>
      <c r="T106" t="e">
        <f t="shared" si="14"/>
        <v>#N/A</v>
      </c>
      <c r="U106" t="e">
        <f t="shared" si="15"/>
        <v>#N/A</v>
      </c>
      <c r="V106" t="e">
        <f t="shared" si="16"/>
        <v>#N/A</v>
      </c>
      <c r="W106" t="e">
        <f t="shared" si="17"/>
        <v>#N/A</v>
      </c>
      <c r="X106" t="e">
        <f t="shared" si="18"/>
        <v>#N/A</v>
      </c>
      <c r="Y106" t="e">
        <f t="shared" si="19"/>
        <v>#N/A</v>
      </c>
    </row>
    <row r="107" spans="1:25" x14ac:dyDescent="0.2">
      <c r="A107">
        <v>1105</v>
      </c>
      <c r="B107" t="s">
        <v>28</v>
      </c>
      <c r="C107" t="s">
        <v>38</v>
      </c>
      <c r="D107">
        <v>2021</v>
      </c>
      <c r="E107" t="s">
        <v>24</v>
      </c>
      <c r="F107">
        <v>58</v>
      </c>
      <c r="G107">
        <v>0</v>
      </c>
      <c r="H107">
        <v>1</v>
      </c>
      <c r="I107">
        <v>203000</v>
      </c>
      <c r="J107">
        <v>3500</v>
      </c>
      <c r="K107">
        <v>20</v>
      </c>
      <c r="L107" t="s">
        <v>17</v>
      </c>
      <c r="M107">
        <v>165</v>
      </c>
      <c r="N107" t="s">
        <v>27</v>
      </c>
      <c r="P107" t="e">
        <f t="shared" si="10"/>
        <v>#N/A</v>
      </c>
      <c r="Q107" t="e">
        <f t="shared" si="11"/>
        <v>#N/A</v>
      </c>
      <c r="R107" t="e">
        <f t="shared" si="12"/>
        <v>#N/A</v>
      </c>
      <c r="S107" t="e">
        <f t="shared" si="13"/>
        <v>#N/A</v>
      </c>
      <c r="T107" t="e">
        <f t="shared" si="14"/>
        <v>#N/A</v>
      </c>
      <c r="U107" t="e">
        <f t="shared" si="15"/>
        <v>#N/A</v>
      </c>
      <c r="V107">
        <f t="shared" si="16"/>
        <v>203000</v>
      </c>
      <c r="W107">
        <f t="shared" si="17"/>
        <v>58</v>
      </c>
      <c r="X107" t="e">
        <f t="shared" si="18"/>
        <v>#N/A</v>
      </c>
      <c r="Y107" t="e">
        <f t="shared" si="19"/>
        <v>#N/A</v>
      </c>
    </row>
    <row r="108" spans="1:25" x14ac:dyDescent="0.2">
      <c r="A108">
        <v>1106</v>
      </c>
      <c r="B108" t="s">
        <v>19</v>
      </c>
      <c r="C108" t="s">
        <v>36</v>
      </c>
      <c r="D108">
        <v>2023</v>
      </c>
      <c r="E108" t="s">
        <v>24</v>
      </c>
      <c r="F108">
        <v>351</v>
      </c>
      <c r="G108">
        <v>5</v>
      </c>
      <c r="H108">
        <v>5</v>
      </c>
      <c r="I108">
        <v>908000</v>
      </c>
      <c r="J108">
        <v>2586.9</v>
      </c>
      <c r="K108">
        <v>4</v>
      </c>
      <c r="L108" t="s">
        <v>34</v>
      </c>
      <c r="M108">
        <v>64</v>
      </c>
      <c r="N108" t="s">
        <v>21</v>
      </c>
      <c r="P108" t="e">
        <f t="shared" si="10"/>
        <v>#N/A</v>
      </c>
      <c r="Q108" t="e">
        <f t="shared" si="11"/>
        <v>#N/A</v>
      </c>
      <c r="R108" t="e">
        <f t="shared" si="12"/>
        <v>#N/A</v>
      </c>
      <c r="S108" t="e">
        <f t="shared" si="13"/>
        <v>#N/A</v>
      </c>
      <c r="T108" t="e">
        <f t="shared" si="14"/>
        <v>#N/A</v>
      </c>
      <c r="U108" t="e">
        <f t="shared" si="15"/>
        <v>#N/A</v>
      </c>
      <c r="V108" t="e">
        <f t="shared" si="16"/>
        <v>#N/A</v>
      </c>
      <c r="W108" t="e">
        <f t="shared" si="17"/>
        <v>#N/A</v>
      </c>
      <c r="X108">
        <f t="shared" si="18"/>
        <v>908000</v>
      </c>
      <c r="Y108">
        <f t="shared" si="19"/>
        <v>351</v>
      </c>
    </row>
    <row r="109" spans="1:25" x14ac:dyDescent="0.2">
      <c r="A109">
        <v>1107</v>
      </c>
      <c r="B109" t="s">
        <v>31</v>
      </c>
      <c r="C109" t="s">
        <v>15</v>
      </c>
      <c r="D109">
        <v>2023</v>
      </c>
      <c r="E109" t="s">
        <v>16</v>
      </c>
      <c r="F109">
        <v>189</v>
      </c>
      <c r="G109">
        <v>4</v>
      </c>
      <c r="H109">
        <v>4</v>
      </c>
      <c r="I109">
        <v>544000</v>
      </c>
      <c r="J109">
        <v>2878.3</v>
      </c>
      <c r="K109">
        <v>1</v>
      </c>
      <c r="L109" t="s">
        <v>17</v>
      </c>
      <c r="M109">
        <v>56</v>
      </c>
      <c r="N109" t="s">
        <v>21</v>
      </c>
      <c r="P109" t="e">
        <f t="shared" si="10"/>
        <v>#N/A</v>
      </c>
      <c r="Q109" t="e">
        <f t="shared" si="11"/>
        <v>#N/A</v>
      </c>
      <c r="R109">
        <f t="shared" si="12"/>
        <v>544000</v>
      </c>
      <c r="S109">
        <f t="shared" si="13"/>
        <v>189</v>
      </c>
      <c r="T109" t="e">
        <f t="shared" si="14"/>
        <v>#N/A</v>
      </c>
      <c r="U109" t="e">
        <f t="shared" si="15"/>
        <v>#N/A</v>
      </c>
      <c r="V109" t="e">
        <f t="shared" si="16"/>
        <v>#N/A</v>
      </c>
      <c r="W109" t="e">
        <f t="shared" si="17"/>
        <v>#N/A</v>
      </c>
      <c r="X109" t="e">
        <f t="shared" si="18"/>
        <v>#N/A</v>
      </c>
      <c r="Y109" t="e">
        <f t="shared" si="19"/>
        <v>#N/A</v>
      </c>
    </row>
    <row r="110" spans="1:25" x14ac:dyDescent="0.2">
      <c r="A110">
        <v>1108</v>
      </c>
      <c r="B110" t="s">
        <v>32</v>
      </c>
      <c r="C110" t="s">
        <v>15</v>
      </c>
      <c r="D110">
        <v>2022</v>
      </c>
      <c r="E110" t="s">
        <v>16</v>
      </c>
      <c r="F110">
        <v>164</v>
      </c>
      <c r="G110">
        <v>4</v>
      </c>
      <c r="H110">
        <v>4</v>
      </c>
      <c r="I110">
        <v>431000</v>
      </c>
      <c r="J110">
        <v>2628</v>
      </c>
      <c r="K110">
        <v>7</v>
      </c>
      <c r="L110" t="s">
        <v>20</v>
      </c>
      <c r="M110">
        <v>135</v>
      </c>
      <c r="N110" t="s">
        <v>18</v>
      </c>
      <c r="P110" t="e">
        <f t="shared" si="10"/>
        <v>#N/A</v>
      </c>
      <c r="Q110" t="e">
        <f t="shared" si="11"/>
        <v>#N/A</v>
      </c>
      <c r="R110">
        <f t="shared" si="12"/>
        <v>431000</v>
      </c>
      <c r="S110">
        <f t="shared" si="13"/>
        <v>164</v>
      </c>
      <c r="T110" t="e">
        <f t="shared" si="14"/>
        <v>#N/A</v>
      </c>
      <c r="U110" t="e">
        <f t="shared" si="15"/>
        <v>#N/A</v>
      </c>
      <c r="V110" t="e">
        <f t="shared" si="16"/>
        <v>#N/A</v>
      </c>
      <c r="W110" t="e">
        <f t="shared" si="17"/>
        <v>#N/A</v>
      </c>
      <c r="X110" t="e">
        <f t="shared" si="18"/>
        <v>#N/A</v>
      </c>
      <c r="Y110" t="e">
        <f t="shared" si="19"/>
        <v>#N/A</v>
      </c>
    </row>
    <row r="111" spans="1:25" x14ac:dyDescent="0.2">
      <c r="A111">
        <v>1109</v>
      </c>
      <c r="B111" t="s">
        <v>40</v>
      </c>
      <c r="C111" t="s">
        <v>15</v>
      </c>
      <c r="D111">
        <v>2024</v>
      </c>
      <c r="E111" t="s">
        <v>24</v>
      </c>
      <c r="F111">
        <v>119</v>
      </c>
      <c r="G111">
        <v>3</v>
      </c>
      <c r="H111">
        <v>3</v>
      </c>
      <c r="I111">
        <v>415000</v>
      </c>
      <c r="J111">
        <v>3487.4</v>
      </c>
      <c r="K111">
        <v>2</v>
      </c>
      <c r="L111" t="s">
        <v>34</v>
      </c>
      <c r="M111">
        <v>108</v>
      </c>
      <c r="N111" t="s">
        <v>18</v>
      </c>
      <c r="P111" t="e">
        <f t="shared" si="10"/>
        <v>#N/A</v>
      </c>
      <c r="Q111" t="e">
        <f t="shared" si="11"/>
        <v>#N/A</v>
      </c>
      <c r="R111">
        <f t="shared" si="12"/>
        <v>415000</v>
      </c>
      <c r="S111">
        <f t="shared" si="13"/>
        <v>119</v>
      </c>
      <c r="T111" t="e">
        <f t="shared" si="14"/>
        <v>#N/A</v>
      </c>
      <c r="U111" t="e">
        <f t="shared" si="15"/>
        <v>#N/A</v>
      </c>
      <c r="V111" t="e">
        <f t="shared" si="16"/>
        <v>#N/A</v>
      </c>
      <c r="W111" t="e">
        <f t="shared" si="17"/>
        <v>#N/A</v>
      </c>
      <c r="X111" t="e">
        <f t="shared" si="18"/>
        <v>#N/A</v>
      </c>
      <c r="Y111" t="e">
        <f t="shared" si="19"/>
        <v>#N/A</v>
      </c>
    </row>
    <row r="112" spans="1:25" x14ac:dyDescent="0.2">
      <c r="A112">
        <v>1110</v>
      </c>
      <c r="B112" t="s">
        <v>19</v>
      </c>
      <c r="C112" t="s">
        <v>15</v>
      </c>
      <c r="D112">
        <v>2021</v>
      </c>
      <c r="E112" t="s">
        <v>30</v>
      </c>
      <c r="F112">
        <v>113</v>
      </c>
      <c r="G112">
        <v>3</v>
      </c>
      <c r="H112">
        <v>3</v>
      </c>
      <c r="I112">
        <v>343000</v>
      </c>
      <c r="J112">
        <v>3035.4</v>
      </c>
      <c r="K112">
        <v>5</v>
      </c>
      <c r="L112" t="s">
        <v>17</v>
      </c>
      <c r="M112">
        <v>39</v>
      </c>
      <c r="N112" t="s">
        <v>21</v>
      </c>
      <c r="P112" t="e">
        <f t="shared" si="10"/>
        <v>#N/A</v>
      </c>
      <c r="Q112" t="e">
        <f t="shared" si="11"/>
        <v>#N/A</v>
      </c>
      <c r="R112">
        <f t="shared" si="12"/>
        <v>343000</v>
      </c>
      <c r="S112">
        <f t="shared" si="13"/>
        <v>113</v>
      </c>
      <c r="T112" t="e">
        <f t="shared" si="14"/>
        <v>#N/A</v>
      </c>
      <c r="U112" t="e">
        <f t="shared" si="15"/>
        <v>#N/A</v>
      </c>
      <c r="V112" t="e">
        <f t="shared" si="16"/>
        <v>#N/A</v>
      </c>
      <c r="W112" t="e">
        <f t="shared" si="17"/>
        <v>#N/A</v>
      </c>
      <c r="X112" t="e">
        <f t="shared" si="18"/>
        <v>#N/A</v>
      </c>
      <c r="Y112" t="e">
        <f t="shared" si="19"/>
        <v>#N/A</v>
      </c>
    </row>
    <row r="113" spans="1:25" x14ac:dyDescent="0.2">
      <c r="A113">
        <v>1111</v>
      </c>
      <c r="B113" t="s">
        <v>37</v>
      </c>
      <c r="C113" t="s">
        <v>15</v>
      </c>
      <c r="D113">
        <v>2024</v>
      </c>
      <c r="E113" t="s">
        <v>30</v>
      </c>
      <c r="F113">
        <v>159</v>
      </c>
      <c r="G113">
        <v>3</v>
      </c>
      <c r="H113">
        <v>3</v>
      </c>
      <c r="I113">
        <v>784000</v>
      </c>
      <c r="J113">
        <v>4930.8</v>
      </c>
      <c r="K113">
        <v>1</v>
      </c>
      <c r="L113" t="s">
        <v>34</v>
      </c>
      <c r="M113">
        <v>10</v>
      </c>
      <c r="N113" t="s">
        <v>27</v>
      </c>
      <c r="P113" t="e">
        <f t="shared" si="10"/>
        <v>#N/A</v>
      </c>
      <c r="Q113" t="e">
        <f t="shared" si="11"/>
        <v>#N/A</v>
      </c>
      <c r="R113">
        <f t="shared" si="12"/>
        <v>784000</v>
      </c>
      <c r="S113">
        <f t="shared" si="13"/>
        <v>159</v>
      </c>
      <c r="T113" t="e">
        <f t="shared" si="14"/>
        <v>#N/A</v>
      </c>
      <c r="U113" t="e">
        <f t="shared" si="15"/>
        <v>#N/A</v>
      </c>
      <c r="V113" t="e">
        <f t="shared" si="16"/>
        <v>#N/A</v>
      </c>
      <c r="W113" t="e">
        <f t="shared" si="17"/>
        <v>#N/A</v>
      </c>
      <c r="X113" t="e">
        <f t="shared" si="18"/>
        <v>#N/A</v>
      </c>
      <c r="Y113" t="e">
        <f t="shared" si="19"/>
        <v>#N/A</v>
      </c>
    </row>
    <row r="114" spans="1:25" x14ac:dyDescent="0.2">
      <c r="A114">
        <v>1112</v>
      </c>
      <c r="B114" t="s">
        <v>40</v>
      </c>
      <c r="C114" t="s">
        <v>15</v>
      </c>
      <c r="D114">
        <v>2022</v>
      </c>
      <c r="E114" t="s">
        <v>16</v>
      </c>
      <c r="F114">
        <v>138</v>
      </c>
      <c r="G114">
        <v>3</v>
      </c>
      <c r="H114">
        <v>3</v>
      </c>
      <c r="I114">
        <v>418000</v>
      </c>
      <c r="J114">
        <v>3029</v>
      </c>
      <c r="K114">
        <v>0</v>
      </c>
      <c r="L114" t="s">
        <v>17</v>
      </c>
      <c r="M114">
        <v>32</v>
      </c>
      <c r="N114" t="s">
        <v>18</v>
      </c>
      <c r="P114" t="e">
        <f t="shared" si="10"/>
        <v>#N/A</v>
      </c>
      <c r="Q114" t="e">
        <f t="shared" si="11"/>
        <v>#N/A</v>
      </c>
      <c r="R114">
        <f t="shared" si="12"/>
        <v>418000</v>
      </c>
      <c r="S114">
        <f t="shared" si="13"/>
        <v>138</v>
      </c>
      <c r="T114" t="e">
        <f t="shared" si="14"/>
        <v>#N/A</v>
      </c>
      <c r="U114" t="e">
        <f t="shared" si="15"/>
        <v>#N/A</v>
      </c>
      <c r="V114" t="e">
        <f t="shared" si="16"/>
        <v>#N/A</v>
      </c>
      <c r="W114" t="e">
        <f t="shared" si="17"/>
        <v>#N/A</v>
      </c>
      <c r="X114" t="e">
        <f t="shared" si="18"/>
        <v>#N/A</v>
      </c>
      <c r="Y114" t="e">
        <f t="shared" si="19"/>
        <v>#N/A</v>
      </c>
    </row>
    <row r="115" spans="1:25" x14ac:dyDescent="0.2">
      <c r="A115">
        <v>1113</v>
      </c>
      <c r="B115" t="s">
        <v>47</v>
      </c>
      <c r="C115" t="s">
        <v>29</v>
      </c>
      <c r="D115">
        <v>2022</v>
      </c>
      <c r="E115" t="s">
        <v>24</v>
      </c>
      <c r="F115">
        <v>477</v>
      </c>
      <c r="G115">
        <v>4</v>
      </c>
      <c r="H115">
        <v>4</v>
      </c>
      <c r="I115">
        <v>2255000</v>
      </c>
      <c r="J115">
        <v>4727.5</v>
      </c>
      <c r="K115">
        <v>0</v>
      </c>
      <c r="L115" t="s">
        <v>34</v>
      </c>
      <c r="M115">
        <v>156</v>
      </c>
      <c r="N115" t="s">
        <v>21</v>
      </c>
      <c r="P115">
        <f t="shared" si="10"/>
        <v>2255000</v>
      </c>
      <c r="Q115">
        <f t="shared" si="11"/>
        <v>477</v>
      </c>
      <c r="R115" t="e">
        <f t="shared" si="12"/>
        <v>#N/A</v>
      </c>
      <c r="S115" t="e">
        <f t="shared" si="13"/>
        <v>#N/A</v>
      </c>
      <c r="T115" t="e">
        <f t="shared" si="14"/>
        <v>#N/A</v>
      </c>
      <c r="U115" t="e">
        <f t="shared" si="15"/>
        <v>#N/A</v>
      </c>
      <c r="V115" t="e">
        <f t="shared" si="16"/>
        <v>#N/A</v>
      </c>
      <c r="W115" t="e">
        <f t="shared" si="17"/>
        <v>#N/A</v>
      </c>
      <c r="X115" t="e">
        <f t="shared" si="18"/>
        <v>#N/A</v>
      </c>
      <c r="Y115" t="e">
        <f t="shared" si="19"/>
        <v>#N/A</v>
      </c>
    </row>
    <row r="116" spans="1:25" x14ac:dyDescent="0.2">
      <c r="A116">
        <v>1114</v>
      </c>
      <c r="B116" t="s">
        <v>33</v>
      </c>
      <c r="C116" t="s">
        <v>29</v>
      </c>
      <c r="D116">
        <v>2024</v>
      </c>
      <c r="E116" t="s">
        <v>26</v>
      </c>
      <c r="F116">
        <v>458</v>
      </c>
      <c r="G116">
        <v>6</v>
      </c>
      <c r="H116">
        <v>6</v>
      </c>
      <c r="I116">
        <v>2150000</v>
      </c>
      <c r="J116">
        <v>4694.3</v>
      </c>
      <c r="K116">
        <v>20</v>
      </c>
      <c r="L116" t="s">
        <v>20</v>
      </c>
      <c r="M116">
        <v>171</v>
      </c>
      <c r="N116" t="s">
        <v>27</v>
      </c>
      <c r="P116">
        <f t="shared" si="10"/>
        <v>2150000</v>
      </c>
      <c r="Q116">
        <f t="shared" si="11"/>
        <v>458</v>
      </c>
      <c r="R116" t="e">
        <f t="shared" si="12"/>
        <v>#N/A</v>
      </c>
      <c r="S116" t="e">
        <f t="shared" si="13"/>
        <v>#N/A</v>
      </c>
      <c r="T116" t="e">
        <f t="shared" si="14"/>
        <v>#N/A</v>
      </c>
      <c r="U116" t="e">
        <f t="shared" si="15"/>
        <v>#N/A</v>
      </c>
      <c r="V116" t="e">
        <f t="shared" si="16"/>
        <v>#N/A</v>
      </c>
      <c r="W116" t="e">
        <f t="shared" si="17"/>
        <v>#N/A</v>
      </c>
      <c r="X116" t="e">
        <f t="shared" si="18"/>
        <v>#N/A</v>
      </c>
      <c r="Y116" t="e">
        <f t="shared" si="19"/>
        <v>#N/A</v>
      </c>
    </row>
    <row r="117" spans="1:25" x14ac:dyDescent="0.2">
      <c r="A117">
        <v>1115</v>
      </c>
      <c r="B117" t="s">
        <v>48</v>
      </c>
      <c r="C117" t="s">
        <v>38</v>
      </c>
      <c r="D117">
        <v>2023</v>
      </c>
      <c r="E117" t="s">
        <v>30</v>
      </c>
      <c r="F117">
        <v>54</v>
      </c>
      <c r="G117">
        <v>0</v>
      </c>
      <c r="H117">
        <v>1</v>
      </c>
      <c r="I117">
        <v>234000</v>
      </c>
      <c r="J117">
        <v>4333.3</v>
      </c>
      <c r="K117">
        <v>5</v>
      </c>
      <c r="L117" t="s">
        <v>17</v>
      </c>
      <c r="M117">
        <v>72</v>
      </c>
      <c r="N117" t="s">
        <v>27</v>
      </c>
      <c r="P117" t="e">
        <f t="shared" si="10"/>
        <v>#N/A</v>
      </c>
      <c r="Q117" t="e">
        <f t="shared" si="11"/>
        <v>#N/A</v>
      </c>
      <c r="R117" t="e">
        <f t="shared" si="12"/>
        <v>#N/A</v>
      </c>
      <c r="S117" t="e">
        <f t="shared" si="13"/>
        <v>#N/A</v>
      </c>
      <c r="T117" t="e">
        <f t="shared" si="14"/>
        <v>#N/A</v>
      </c>
      <c r="U117" t="e">
        <f t="shared" si="15"/>
        <v>#N/A</v>
      </c>
      <c r="V117">
        <f t="shared" si="16"/>
        <v>234000</v>
      </c>
      <c r="W117">
        <f t="shared" si="17"/>
        <v>54</v>
      </c>
      <c r="X117" t="e">
        <f t="shared" si="18"/>
        <v>#N/A</v>
      </c>
      <c r="Y117" t="e">
        <f t="shared" si="19"/>
        <v>#N/A</v>
      </c>
    </row>
    <row r="118" spans="1:25" x14ac:dyDescent="0.2">
      <c r="A118">
        <v>1116</v>
      </c>
      <c r="B118" t="s">
        <v>44</v>
      </c>
      <c r="C118" t="s">
        <v>23</v>
      </c>
      <c r="D118">
        <v>2022</v>
      </c>
      <c r="E118" t="s">
        <v>24</v>
      </c>
      <c r="F118">
        <v>238</v>
      </c>
      <c r="G118">
        <v>3</v>
      </c>
      <c r="H118">
        <v>3</v>
      </c>
      <c r="I118">
        <v>875000</v>
      </c>
      <c r="J118">
        <v>3676.5</v>
      </c>
      <c r="K118">
        <v>4</v>
      </c>
      <c r="L118" t="s">
        <v>34</v>
      </c>
      <c r="M118">
        <v>63</v>
      </c>
      <c r="N118" t="s">
        <v>18</v>
      </c>
      <c r="P118" t="e">
        <f t="shared" si="10"/>
        <v>#N/A</v>
      </c>
      <c r="Q118" t="e">
        <f t="shared" si="11"/>
        <v>#N/A</v>
      </c>
      <c r="R118" t="e">
        <f t="shared" si="12"/>
        <v>#N/A</v>
      </c>
      <c r="S118" t="e">
        <f t="shared" si="13"/>
        <v>#N/A</v>
      </c>
      <c r="T118">
        <f t="shared" si="14"/>
        <v>875000</v>
      </c>
      <c r="U118">
        <f t="shared" si="15"/>
        <v>238</v>
      </c>
      <c r="V118" t="e">
        <f t="shared" si="16"/>
        <v>#N/A</v>
      </c>
      <c r="W118" t="e">
        <f t="shared" si="17"/>
        <v>#N/A</v>
      </c>
      <c r="X118" t="e">
        <f t="shared" si="18"/>
        <v>#N/A</v>
      </c>
      <c r="Y118" t="e">
        <f t="shared" si="19"/>
        <v>#N/A</v>
      </c>
    </row>
    <row r="119" spans="1:25" x14ac:dyDescent="0.2">
      <c r="A119">
        <v>1117</v>
      </c>
      <c r="B119" t="s">
        <v>45</v>
      </c>
      <c r="C119" t="s">
        <v>15</v>
      </c>
      <c r="D119">
        <v>2022</v>
      </c>
      <c r="E119" t="s">
        <v>24</v>
      </c>
      <c r="F119">
        <v>100</v>
      </c>
      <c r="G119">
        <v>3</v>
      </c>
      <c r="H119">
        <v>3</v>
      </c>
      <c r="I119">
        <v>370000</v>
      </c>
      <c r="J119">
        <v>3700</v>
      </c>
      <c r="K119">
        <v>0</v>
      </c>
      <c r="L119" t="s">
        <v>34</v>
      </c>
      <c r="M119">
        <v>114</v>
      </c>
      <c r="N119" t="s">
        <v>21</v>
      </c>
      <c r="P119" t="e">
        <f t="shared" si="10"/>
        <v>#N/A</v>
      </c>
      <c r="Q119" t="e">
        <f t="shared" si="11"/>
        <v>#N/A</v>
      </c>
      <c r="R119">
        <f t="shared" si="12"/>
        <v>370000</v>
      </c>
      <c r="S119">
        <f t="shared" si="13"/>
        <v>100</v>
      </c>
      <c r="T119" t="e">
        <f t="shared" si="14"/>
        <v>#N/A</v>
      </c>
      <c r="U119" t="e">
        <f t="shared" si="15"/>
        <v>#N/A</v>
      </c>
      <c r="V119" t="e">
        <f t="shared" si="16"/>
        <v>#N/A</v>
      </c>
      <c r="W119" t="e">
        <f t="shared" si="17"/>
        <v>#N/A</v>
      </c>
      <c r="X119" t="e">
        <f t="shared" si="18"/>
        <v>#N/A</v>
      </c>
      <c r="Y119" t="e">
        <f t="shared" si="19"/>
        <v>#N/A</v>
      </c>
    </row>
    <row r="120" spans="1:25" x14ac:dyDescent="0.2">
      <c r="A120">
        <v>1118</v>
      </c>
      <c r="B120" t="s">
        <v>48</v>
      </c>
      <c r="C120" t="s">
        <v>23</v>
      </c>
      <c r="D120">
        <v>2024</v>
      </c>
      <c r="E120" t="s">
        <v>24</v>
      </c>
      <c r="F120">
        <v>291</v>
      </c>
      <c r="G120">
        <v>4</v>
      </c>
      <c r="H120">
        <v>4</v>
      </c>
      <c r="I120">
        <v>1205000</v>
      </c>
      <c r="J120">
        <v>4140.8999999999996</v>
      </c>
      <c r="K120">
        <v>4</v>
      </c>
      <c r="L120" t="s">
        <v>17</v>
      </c>
      <c r="M120">
        <v>144</v>
      </c>
      <c r="N120" t="s">
        <v>27</v>
      </c>
      <c r="P120" t="e">
        <f t="shared" si="10"/>
        <v>#N/A</v>
      </c>
      <c r="Q120" t="e">
        <f t="shared" si="11"/>
        <v>#N/A</v>
      </c>
      <c r="R120" t="e">
        <f t="shared" si="12"/>
        <v>#N/A</v>
      </c>
      <c r="S120" t="e">
        <f t="shared" si="13"/>
        <v>#N/A</v>
      </c>
      <c r="T120">
        <f t="shared" si="14"/>
        <v>1205000</v>
      </c>
      <c r="U120">
        <f t="shared" si="15"/>
        <v>291</v>
      </c>
      <c r="V120" t="e">
        <f t="shared" si="16"/>
        <v>#N/A</v>
      </c>
      <c r="W120" t="e">
        <f t="shared" si="17"/>
        <v>#N/A</v>
      </c>
      <c r="X120" t="e">
        <f t="shared" si="18"/>
        <v>#N/A</v>
      </c>
      <c r="Y120" t="e">
        <f t="shared" si="19"/>
        <v>#N/A</v>
      </c>
    </row>
    <row r="121" spans="1:25" x14ac:dyDescent="0.2">
      <c r="A121">
        <v>1119</v>
      </c>
      <c r="B121" t="s">
        <v>33</v>
      </c>
      <c r="C121" t="s">
        <v>15</v>
      </c>
      <c r="D121">
        <v>2021</v>
      </c>
      <c r="E121" t="s">
        <v>24</v>
      </c>
      <c r="F121">
        <v>108</v>
      </c>
      <c r="G121">
        <v>4</v>
      </c>
      <c r="H121">
        <v>4</v>
      </c>
      <c r="I121">
        <v>258000</v>
      </c>
      <c r="J121">
        <v>2388.9</v>
      </c>
      <c r="K121">
        <v>2</v>
      </c>
      <c r="L121" t="s">
        <v>20</v>
      </c>
      <c r="M121">
        <v>117</v>
      </c>
      <c r="N121" t="s">
        <v>27</v>
      </c>
      <c r="P121" t="e">
        <f t="shared" si="10"/>
        <v>#N/A</v>
      </c>
      <c r="Q121" t="e">
        <f t="shared" si="11"/>
        <v>#N/A</v>
      </c>
      <c r="R121">
        <f t="shared" si="12"/>
        <v>258000</v>
      </c>
      <c r="S121">
        <f t="shared" si="13"/>
        <v>108</v>
      </c>
      <c r="T121" t="e">
        <f t="shared" si="14"/>
        <v>#N/A</v>
      </c>
      <c r="U121" t="e">
        <f t="shared" si="15"/>
        <v>#N/A</v>
      </c>
      <c r="V121" t="e">
        <f t="shared" si="16"/>
        <v>#N/A</v>
      </c>
      <c r="W121" t="e">
        <f t="shared" si="17"/>
        <v>#N/A</v>
      </c>
      <c r="X121" t="e">
        <f t="shared" si="18"/>
        <v>#N/A</v>
      </c>
      <c r="Y121" t="e">
        <f t="shared" si="19"/>
        <v>#N/A</v>
      </c>
    </row>
    <row r="122" spans="1:25" x14ac:dyDescent="0.2">
      <c r="A122">
        <v>1120</v>
      </c>
      <c r="B122" t="s">
        <v>39</v>
      </c>
      <c r="C122" t="s">
        <v>29</v>
      </c>
      <c r="D122">
        <v>2024</v>
      </c>
      <c r="E122" t="s">
        <v>26</v>
      </c>
      <c r="F122">
        <v>349</v>
      </c>
      <c r="G122">
        <v>5</v>
      </c>
      <c r="H122">
        <v>5</v>
      </c>
      <c r="I122">
        <v>2291000</v>
      </c>
      <c r="J122">
        <v>6564.5</v>
      </c>
      <c r="K122">
        <v>5</v>
      </c>
      <c r="L122" t="s">
        <v>17</v>
      </c>
      <c r="M122">
        <v>173</v>
      </c>
      <c r="N122" t="s">
        <v>21</v>
      </c>
      <c r="P122">
        <f t="shared" si="10"/>
        <v>2291000</v>
      </c>
      <c r="Q122">
        <f t="shared" si="11"/>
        <v>349</v>
      </c>
      <c r="R122" t="e">
        <f t="shared" si="12"/>
        <v>#N/A</v>
      </c>
      <c r="S122" t="e">
        <f t="shared" si="13"/>
        <v>#N/A</v>
      </c>
      <c r="T122" t="e">
        <f t="shared" si="14"/>
        <v>#N/A</v>
      </c>
      <c r="U122" t="e">
        <f t="shared" si="15"/>
        <v>#N/A</v>
      </c>
      <c r="V122" t="e">
        <f t="shared" si="16"/>
        <v>#N/A</v>
      </c>
      <c r="W122" t="e">
        <f t="shared" si="17"/>
        <v>#N/A</v>
      </c>
      <c r="X122" t="e">
        <f t="shared" si="18"/>
        <v>#N/A</v>
      </c>
      <c r="Y122" t="e">
        <f t="shared" si="19"/>
        <v>#N/A</v>
      </c>
    </row>
    <row r="123" spans="1:25" x14ac:dyDescent="0.2">
      <c r="A123">
        <v>1121</v>
      </c>
      <c r="B123" t="s">
        <v>48</v>
      </c>
      <c r="C123" t="s">
        <v>15</v>
      </c>
      <c r="D123">
        <v>2023</v>
      </c>
      <c r="E123" t="s">
        <v>30</v>
      </c>
      <c r="F123">
        <v>150</v>
      </c>
      <c r="G123">
        <v>3</v>
      </c>
      <c r="H123">
        <v>3</v>
      </c>
      <c r="I123">
        <v>504000</v>
      </c>
      <c r="J123">
        <v>3360</v>
      </c>
      <c r="K123">
        <v>3</v>
      </c>
      <c r="L123" t="s">
        <v>17</v>
      </c>
      <c r="M123">
        <v>95</v>
      </c>
      <c r="N123" t="s">
        <v>27</v>
      </c>
      <c r="P123" t="e">
        <f t="shared" si="10"/>
        <v>#N/A</v>
      </c>
      <c r="Q123" t="e">
        <f t="shared" si="11"/>
        <v>#N/A</v>
      </c>
      <c r="R123">
        <f t="shared" si="12"/>
        <v>504000</v>
      </c>
      <c r="S123">
        <f t="shared" si="13"/>
        <v>150</v>
      </c>
      <c r="T123" t="e">
        <f t="shared" si="14"/>
        <v>#N/A</v>
      </c>
      <c r="U123" t="e">
        <f t="shared" si="15"/>
        <v>#N/A</v>
      </c>
      <c r="V123" t="e">
        <f t="shared" si="16"/>
        <v>#N/A</v>
      </c>
      <c r="W123" t="e">
        <f t="shared" si="17"/>
        <v>#N/A</v>
      </c>
      <c r="X123" t="e">
        <f t="shared" si="18"/>
        <v>#N/A</v>
      </c>
      <c r="Y123" t="e">
        <f t="shared" si="19"/>
        <v>#N/A</v>
      </c>
    </row>
    <row r="124" spans="1:25" x14ac:dyDescent="0.2">
      <c r="A124">
        <v>1122</v>
      </c>
      <c r="B124" t="s">
        <v>22</v>
      </c>
      <c r="C124" t="s">
        <v>15</v>
      </c>
      <c r="D124">
        <v>2023</v>
      </c>
      <c r="E124" t="s">
        <v>26</v>
      </c>
      <c r="F124">
        <v>147</v>
      </c>
      <c r="G124">
        <v>4</v>
      </c>
      <c r="H124">
        <v>4</v>
      </c>
      <c r="I124">
        <v>581000</v>
      </c>
      <c r="J124">
        <v>3952.4</v>
      </c>
      <c r="K124">
        <v>7</v>
      </c>
      <c r="L124" t="s">
        <v>20</v>
      </c>
      <c r="M124">
        <v>18</v>
      </c>
      <c r="N124" t="s">
        <v>18</v>
      </c>
      <c r="P124" t="e">
        <f t="shared" si="10"/>
        <v>#N/A</v>
      </c>
      <c r="Q124" t="e">
        <f t="shared" si="11"/>
        <v>#N/A</v>
      </c>
      <c r="R124">
        <f t="shared" si="12"/>
        <v>581000</v>
      </c>
      <c r="S124">
        <f t="shared" si="13"/>
        <v>147</v>
      </c>
      <c r="T124" t="e">
        <f t="shared" si="14"/>
        <v>#N/A</v>
      </c>
      <c r="U124" t="e">
        <f t="shared" si="15"/>
        <v>#N/A</v>
      </c>
      <c r="V124" t="e">
        <f t="shared" si="16"/>
        <v>#N/A</v>
      </c>
      <c r="W124" t="e">
        <f t="shared" si="17"/>
        <v>#N/A</v>
      </c>
      <c r="X124" t="e">
        <f t="shared" si="18"/>
        <v>#N/A</v>
      </c>
      <c r="Y124" t="e">
        <f t="shared" si="19"/>
        <v>#N/A</v>
      </c>
    </row>
    <row r="125" spans="1:25" x14ac:dyDescent="0.2">
      <c r="A125">
        <v>1123</v>
      </c>
      <c r="B125" t="s">
        <v>47</v>
      </c>
      <c r="C125" t="s">
        <v>15</v>
      </c>
      <c r="D125">
        <v>2022</v>
      </c>
      <c r="E125" t="s">
        <v>24</v>
      </c>
      <c r="F125">
        <v>111</v>
      </c>
      <c r="G125">
        <v>2</v>
      </c>
      <c r="H125">
        <v>2</v>
      </c>
      <c r="I125">
        <v>335000</v>
      </c>
      <c r="J125">
        <v>3018</v>
      </c>
      <c r="K125">
        <v>20</v>
      </c>
      <c r="L125" t="s">
        <v>17</v>
      </c>
      <c r="M125">
        <v>71</v>
      </c>
      <c r="N125" t="s">
        <v>21</v>
      </c>
      <c r="P125" t="e">
        <f t="shared" si="10"/>
        <v>#N/A</v>
      </c>
      <c r="Q125" t="e">
        <f t="shared" si="11"/>
        <v>#N/A</v>
      </c>
      <c r="R125">
        <f t="shared" si="12"/>
        <v>335000</v>
      </c>
      <c r="S125">
        <f t="shared" si="13"/>
        <v>111</v>
      </c>
      <c r="T125" t="e">
        <f t="shared" si="14"/>
        <v>#N/A</v>
      </c>
      <c r="U125" t="e">
        <f t="shared" si="15"/>
        <v>#N/A</v>
      </c>
      <c r="V125" t="e">
        <f t="shared" si="16"/>
        <v>#N/A</v>
      </c>
      <c r="W125" t="e">
        <f t="shared" si="17"/>
        <v>#N/A</v>
      </c>
      <c r="X125" t="e">
        <f t="shared" si="18"/>
        <v>#N/A</v>
      </c>
      <c r="Y125" t="e">
        <f t="shared" si="19"/>
        <v>#N/A</v>
      </c>
    </row>
    <row r="126" spans="1:25" x14ac:dyDescent="0.2">
      <c r="A126">
        <v>1124</v>
      </c>
      <c r="B126" t="s">
        <v>25</v>
      </c>
      <c r="C126" t="s">
        <v>23</v>
      </c>
      <c r="D126">
        <v>2021</v>
      </c>
      <c r="E126" t="s">
        <v>24</v>
      </c>
      <c r="F126">
        <v>334</v>
      </c>
      <c r="G126">
        <v>4</v>
      </c>
      <c r="H126">
        <v>4</v>
      </c>
      <c r="I126">
        <v>864000</v>
      </c>
      <c r="J126">
        <v>2586.8000000000002</v>
      </c>
      <c r="K126">
        <v>7</v>
      </c>
      <c r="L126" t="s">
        <v>34</v>
      </c>
      <c r="M126">
        <v>180</v>
      </c>
      <c r="N126" t="s">
        <v>27</v>
      </c>
      <c r="P126" t="e">
        <f t="shared" si="10"/>
        <v>#N/A</v>
      </c>
      <c r="Q126" t="e">
        <f t="shared" si="11"/>
        <v>#N/A</v>
      </c>
      <c r="R126" t="e">
        <f t="shared" si="12"/>
        <v>#N/A</v>
      </c>
      <c r="S126" t="e">
        <f t="shared" si="13"/>
        <v>#N/A</v>
      </c>
      <c r="T126">
        <f t="shared" si="14"/>
        <v>864000</v>
      </c>
      <c r="U126">
        <f t="shared" si="15"/>
        <v>334</v>
      </c>
      <c r="V126" t="e">
        <f t="shared" si="16"/>
        <v>#N/A</v>
      </c>
      <c r="W126" t="e">
        <f t="shared" si="17"/>
        <v>#N/A</v>
      </c>
      <c r="X126" t="e">
        <f t="shared" si="18"/>
        <v>#N/A</v>
      </c>
      <c r="Y126" t="e">
        <f t="shared" si="19"/>
        <v>#N/A</v>
      </c>
    </row>
    <row r="127" spans="1:25" x14ac:dyDescent="0.2">
      <c r="A127">
        <v>1125</v>
      </c>
      <c r="B127" t="s">
        <v>37</v>
      </c>
      <c r="C127" t="s">
        <v>15</v>
      </c>
      <c r="D127">
        <v>2024</v>
      </c>
      <c r="E127" t="s">
        <v>24</v>
      </c>
      <c r="F127">
        <v>177</v>
      </c>
      <c r="G127">
        <v>2</v>
      </c>
      <c r="H127">
        <v>2</v>
      </c>
      <c r="I127">
        <v>787000</v>
      </c>
      <c r="J127">
        <v>4446.3</v>
      </c>
      <c r="K127">
        <v>20</v>
      </c>
      <c r="L127" t="s">
        <v>17</v>
      </c>
      <c r="M127">
        <v>138</v>
      </c>
      <c r="N127" t="s">
        <v>27</v>
      </c>
      <c r="P127" t="e">
        <f t="shared" si="10"/>
        <v>#N/A</v>
      </c>
      <c r="Q127" t="e">
        <f t="shared" si="11"/>
        <v>#N/A</v>
      </c>
      <c r="R127">
        <f t="shared" si="12"/>
        <v>787000</v>
      </c>
      <c r="S127">
        <f t="shared" si="13"/>
        <v>177</v>
      </c>
      <c r="T127" t="e">
        <f t="shared" si="14"/>
        <v>#N/A</v>
      </c>
      <c r="U127" t="e">
        <f t="shared" si="15"/>
        <v>#N/A</v>
      </c>
      <c r="V127" t="e">
        <f t="shared" si="16"/>
        <v>#N/A</v>
      </c>
      <c r="W127" t="e">
        <f t="shared" si="17"/>
        <v>#N/A</v>
      </c>
      <c r="X127" t="e">
        <f t="shared" si="18"/>
        <v>#N/A</v>
      </c>
      <c r="Y127" t="e">
        <f t="shared" si="19"/>
        <v>#N/A</v>
      </c>
    </row>
    <row r="128" spans="1:25" x14ac:dyDescent="0.2">
      <c r="A128">
        <v>1126</v>
      </c>
      <c r="B128" t="s">
        <v>40</v>
      </c>
      <c r="C128" t="s">
        <v>15</v>
      </c>
      <c r="D128">
        <v>2022</v>
      </c>
      <c r="E128" t="s">
        <v>16</v>
      </c>
      <c r="F128">
        <v>160</v>
      </c>
      <c r="G128">
        <v>2</v>
      </c>
      <c r="H128">
        <v>2</v>
      </c>
      <c r="I128">
        <v>556000</v>
      </c>
      <c r="J128">
        <v>3475</v>
      </c>
      <c r="K128">
        <v>10</v>
      </c>
      <c r="L128" t="s">
        <v>34</v>
      </c>
      <c r="M128">
        <v>160</v>
      </c>
      <c r="N128" t="s">
        <v>18</v>
      </c>
      <c r="P128" t="e">
        <f t="shared" si="10"/>
        <v>#N/A</v>
      </c>
      <c r="Q128" t="e">
        <f t="shared" si="11"/>
        <v>#N/A</v>
      </c>
      <c r="R128">
        <f t="shared" si="12"/>
        <v>556000</v>
      </c>
      <c r="S128">
        <f t="shared" si="13"/>
        <v>160</v>
      </c>
      <c r="T128" t="e">
        <f t="shared" si="14"/>
        <v>#N/A</v>
      </c>
      <c r="U128" t="e">
        <f t="shared" si="15"/>
        <v>#N/A</v>
      </c>
      <c r="V128" t="e">
        <f t="shared" si="16"/>
        <v>#N/A</v>
      </c>
      <c r="W128" t="e">
        <f t="shared" si="17"/>
        <v>#N/A</v>
      </c>
      <c r="X128" t="e">
        <f t="shared" si="18"/>
        <v>#N/A</v>
      </c>
      <c r="Y128" t="e">
        <f t="shared" si="19"/>
        <v>#N/A</v>
      </c>
    </row>
    <row r="129" spans="1:25" x14ac:dyDescent="0.2">
      <c r="A129">
        <v>1127</v>
      </c>
      <c r="B129" t="s">
        <v>19</v>
      </c>
      <c r="C129" t="s">
        <v>23</v>
      </c>
      <c r="D129">
        <v>2022</v>
      </c>
      <c r="E129" t="s">
        <v>26</v>
      </c>
      <c r="F129">
        <v>306</v>
      </c>
      <c r="G129">
        <v>4</v>
      </c>
      <c r="H129">
        <v>4</v>
      </c>
      <c r="I129">
        <v>1172000</v>
      </c>
      <c r="J129">
        <v>3830.1</v>
      </c>
      <c r="K129">
        <v>10</v>
      </c>
      <c r="L129" t="s">
        <v>34</v>
      </c>
      <c r="M129">
        <v>30</v>
      </c>
      <c r="N129" t="s">
        <v>21</v>
      </c>
      <c r="P129" t="e">
        <f t="shared" si="10"/>
        <v>#N/A</v>
      </c>
      <c r="Q129" t="e">
        <f t="shared" si="11"/>
        <v>#N/A</v>
      </c>
      <c r="R129" t="e">
        <f t="shared" si="12"/>
        <v>#N/A</v>
      </c>
      <c r="S129" t="e">
        <f t="shared" si="13"/>
        <v>#N/A</v>
      </c>
      <c r="T129">
        <f t="shared" si="14"/>
        <v>1172000</v>
      </c>
      <c r="U129">
        <f t="shared" si="15"/>
        <v>306</v>
      </c>
      <c r="V129" t="e">
        <f t="shared" si="16"/>
        <v>#N/A</v>
      </c>
      <c r="W129" t="e">
        <f t="shared" si="17"/>
        <v>#N/A</v>
      </c>
      <c r="X129" t="e">
        <f t="shared" si="18"/>
        <v>#N/A</v>
      </c>
      <c r="Y129" t="e">
        <f t="shared" si="19"/>
        <v>#N/A</v>
      </c>
    </row>
    <row r="130" spans="1:25" x14ac:dyDescent="0.2">
      <c r="A130">
        <v>1128</v>
      </c>
      <c r="B130" t="s">
        <v>48</v>
      </c>
      <c r="C130" t="s">
        <v>15</v>
      </c>
      <c r="D130">
        <v>2023</v>
      </c>
      <c r="E130" t="s">
        <v>16</v>
      </c>
      <c r="F130">
        <v>160</v>
      </c>
      <c r="G130">
        <v>4</v>
      </c>
      <c r="H130">
        <v>4</v>
      </c>
      <c r="I130">
        <v>523000</v>
      </c>
      <c r="J130">
        <v>3268.8</v>
      </c>
      <c r="K130">
        <v>4</v>
      </c>
      <c r="L130" t="s">
        <v>17</v>
      </c>
      <c r="M130">
        <v>146</v>
      </c>
      <c r="N130" t="s">
        <v>27</v>
      </c>
      <c r="P130" t="e">
        <f t="shared" si="10"/>
        <v>#N/A</v>
      </c>
      <c r="Q130" t="e">
        <f t="shared" si="11"/>
        <v>#N/A</v>
      </c>
      <c r="R130">
        <f t="shared" si="12"/>
        <v>523000</v>
      </c>
      <c r="S130">
        <f t="shared" si="13"/>
        <v>160</v>
      </c>
      <c r="T130" t="e">
        <f t="shared" si="14"/>
        <v>#N/A</v>
      </c>
      <c r="U130" t="e">
        <f t="shared" si="15"/>
        <v>#N/A</v>
      </c>
      <c r="V130" t="e">
        <f t="shared" si="16"/>
        <v>#N/A</v>
      </c>
      <c r="W130" t="e">
        <f t="shared" si="17"/>
        <v>#N/A</v>
      </c>
      <c r="X130" t="e">
        <f t="shared" si="18"/>
        <v>#N/A</v>
      </c>
      <c r="Y130" t="e">
        <f t="shared" si="19"/>
        <v>#N/A</v>
      </c>
    </row>
    <row r="131" spans="1:25" x14ac:dyDescent="0.2">
      <c r="A131">
        <v>1129</v>
      </c>
      <c r="B131" t="s">
        <v>43</v>
      </c>
      <c r="C131" t="s">
        <v>38</v>
      </c>
      <c r="D131">
        <v>2022</v>
      </c>
      <c r="E131" t="s">
        <v>24</v>
      </c>
      <c r="F131">
        <v>94</v>
      </c>
      <c r="G131">
        <v>0</v>
      </c>
      <c r="H131">
        <v>1</v>
      </c>
      <c r="I131">
        <v>516000</v>
      </c>
      <c r="J131">
        <v>5489.4</v>
      </c>
      <c r="K131">
        <v>4</v>
      </c>
      <c r="L131" t="s">
        <v>17</v>
      </c>
      <c r="M131">
        <v>30</v>
      </c>
      <c r="N131" t="s">
        <v>27</v>
      </c>
      <c r="P131" t="e">
        <f t="shared" ref="P131:P194" si="20">IF(C131="Villa", I131, NA())</f>
        <v>#N/A</v>
      </c>
      <c r="Q131" t="e">
        <f t="shared" ref="Q131:Q194" si="21">IF(C131="Villa", F131, NA())</f>
        <v>#N/A</v>
      </c>
      <c r="R131" t="e">
        <f t="shared" ref="R131:R194" si="22">IF(C131="Apartment",I131,NA())</f>
        <v>#N/A</v>
      </c>
      <c r="S131" t="e">
        <f t="shared" ref="S131:S194" si="23">IF(C131="Apartment",F131,NA())</f>
        <v>#N/A</v>
      </c>
      <c r="T131" t="e">
        <f t="shared" ref="T131:T194" si="24">IF(C131="Duplex",I131,NA())</f>
        <v>#N/A</v>
      </c>
      <c r="U131" t="e">
        <f t="shared" ref="U131:U194" si="25">IF(C131="Duplex",F131,NA())</f>
        <v>#N/A</v>
      </c>
      <c r="V131">
        <f t="shared" ref="V131:V194" si="26">IF(C131="Studio",I131,NA())</f>
        <v>516000</v>
      </c>
      <c r="W131">
        <f t="shared" ref="W131:W194" si="27">IF(C131="Studio",F131,NA())</f>
        <v>94</v>
      </c>
      <c r="X131" t="e">
        <f t="shared" ref="X131:X194" si="28">IF(C131="Floor",I131,NA())</f>
        <v>#N/A</v>
      </c>
      <c r="Y131" t="e">
        <f t="shared" ref="Y131:Y194" si="29">IF(C131="Floor",F131,NA())</f>
        <v>#N/A</v>
      </c>
    </row>
    <row r="132" spans="1:25" x14ac:dyDescent="0.2">
      <c r="A132">
        <v>1130</v>
      </c>
      <c r="B132" t="s">
        <v>40</v>
      </c>
      <c r="C132" t="s">
        <v>38</v>
      </c>
      <c r="D132">
        <v>2022</v>
      </c>
      <c r="E132" t="s">
        <v>24</v>
      </c>
      <c r="F132">
        <v>65</v>
      </c>
      <c r="G132">
        <v>0</v>
      </c>
      <c r="H132">
        <v>1</v>
      </c>
      <c r="I132">
        <v>299000</v>
      </c>
      <c r="J132">
        <v>4600</v>
      </c>
      <c r="K132">
        <v>20</v>
      </c>
      <c r="L132" t="s">
        <v>17</v>
      </c>
      <c r="M132">
        <v>93</v>
      </c>
      <c r="N132" t="s">
        <v>18</v>
      </c>
      <c r="P132" t="e">
        <f t="shared" si="20"/>
        <v>#N/A</v>
      </c>
      <c r="Q132" t="e">
        <f t="shared" si="21"/>
        <v>#N/A</v>
      </c>
      <c r="R132" t="e">
        <f t="shared" si="22"/>
        <v>#N/A</v>
      </c>
      <c r="S132" t="e">
        <f t="shared" si="23"/>
        <v>#N/A</v>
      </c>
      <c r="T132" t="e">
        <f t="shared" si="24"/>
        <v>#N/A</v>
      </c>
      <c r="U132" t="e">
        <f t="shared" si="25"/>
        <v>#N/A</v>
      </c>
      <c r="V132">
        <f t="shared" si="26"/>
        <v>299000</v>
      </c>
      <c r="W132">
        <f t="shared" si="27"/>
        <v>65</v>
      </c>
      <c r="X132" t="e">
        <f t="shared" si="28"/>
        <v>#N/A</v>
      </c>
      <c r="Y132" t="e">
        <f t="shared" si="29"/>
        <v>#N/A</v>
      </c>
    </row>
    <row r="133" spans="1:25" x14ac:dyDescent="0.2">
      <c r="A133">
        <v>1131</v>
      </c>
      <c r="B133" t="s">
        <v>14</v>
      </c>
      <c r="C133" t="s">
        <v>15</v>
      </c>
      <c r="D133">
        <v>2022</v>
      </c>
      <c r="E133" t="s">
        <v>24</v>
      </c>
      <c r="F133">
        <v>165</v>
      </c>
      <c r="G133">
        <v>4</v>
      </c>
      <c r="H133">
        <v>4</v>
      </c>
      <c r="I133">
        <v>578000</v>
      </c>
      <c r="J133">
        <v>3503</v>
      </c>
      <c r="K133">
        <v>20</v>
      </c>
      <c r="L133" t="s">
        <v>20</v>
      </c>
      <c r="M133">
        <v>82</v>
      </c>
      <c r="N133" t="s">
        <v>18</v>
      </c>
      <c r="P133" t="e">
        <f t="shared" si="20"/>
        <v>#N/A</v>
      </c>
      <c r="Q133" t="e">
        <f t="shared" si="21"/>
        <v>#N/A</v>
      </c>
      <c r="R133">
        <f t="shared" si="22"/>
        <v>578000</v>
      </c>
      <c r="S133">
        <f t="shared" si="23"/>
        <v>165</v>
      </c>
      <c r="T133" t="e">
        <f t="shared" si="24"/>
        <v>#N/A</v>
      </c>
      <c r="U133" t="e">
        <f t="shared" si="25"/>
        <v>#N/A</v>
      </c>
      <c r="V133" t="e">
        <f t="shared" si="26"/>
        <v>#N/A</v>
      </c>
      <c r="W133" t="e">
        <f t="shared" si="27"/>
        <v>#N/A</v>
      </c>
      <c r="X133" t="e">
        <f t="shared" si="28"/>
        <v>#N/A</v>
      </c>
      <c r="Y133" t="e">
        <f t="shared" si="29"/>
        <v>#N/A</v>
      </c>
    </row>
    <row r="134" spans="1:25" x14ac:dyDescent="0.2">
      <c r="A134">
        <v>1132</v>
      </c>
      <c r="B134" t="s">
        <v>28</v>
      </c>
      <c r="C134" t="s">
        <v>36</v>
      </c>
      <c r="D134">
        <v>2024</v>
      </c>
      <c r="E134" t="s">
        <v>30</v>
      </c>
      <c r="F134">
        <v>304</v>
      </c>
      <c r="G134">
        <v>4</v>
      </c>
      <c r="H134">
        <v>4</v>
      </c>
      <c r="I134">
        <v>766000</v>
      </c>
      <c r="J134">
        <v>2519.6999999999998</v>
      </c>
      <c r="K134">
        <v>20</v>
      </c>
      <c r="L134" t="s">
        <v>17</v>
      </c>
      <c r="M134">
        <v>6</v>
      </c>
      <c r="N134" t="s">
        <v>27</v>
      </c>
      <c r="P134" t="e">
        <f t="shared" si="20"/>
        <v>#N/A</v>
      </c>
      <c r="Q134" t="e">
        <f t="shared" si="21"/>
        <v>#N/A</v>
      </c>
      <c r="R134" t="e">
        <f t="shared" si="22"/>
        <v>#N/A</v>
      </c>
      <c r="S134" t="e">
        <f t="shared" si="23"/>
        <v>#N/A</v>
      </c>
      <c r="T134" t="e">
        <f t="shared" si="24"/>
        <v>#N/A</v>
      </c>
      <c r="U134" t="e">
        <f t="shared" si="25"/>
        <v>#N/A</v>
      </c>
      <c r="V134" t="e">
        <f t="shared" si="26"/>
        <v>#N/A</v>
      </c>
      <c r="W134" t="e">
        <f t="shared" si="27"/>
        <v>#N/A</v>
      </c>
      <c r="X134">
        <f t="shared" si="28"/>
        <v>766000</v>
      </c>
      <c r="Y134">
        <f t="shared" si="29"/>
        <v>304</v>
      </c>
    </row>
    <row r="135" spans="1:25" x14ac:dyDescent="0.2">
      <c r="A135">
        <v>1133</v>
      </c>
      <c r="B135" t="s">
        <v>14</v>
      </c>
      <c r="C135" t="s">
        <v>38</v>
      </c>
      <c r="D135">
        <v>2023</v>
      </c>
      <c r="E135" t="s">
        <v>16</v>
      </c>
      <c r="F135">
        <v>53</v>
      </c>
      <c r="G135">
        <v>0</v>
      </c>
      <c r="H135">
        <v>1</v>
      </c>
      <c r="I135">
        <v>252000</v>
      </c>
      <c r="J135">
        <v>4754.7</v>
      </c>
      <c r="K135">
        <v>7</v>
      </c>
      <c r="L135" t="s">
        <v>20</v>
      </c>
      <c r="M135">
        <v>127</v>
      </c>
      <c r="N135" t="s">
        <v>18</v>
      </c>
      <c r="P135" t="e">
        <f t="shared" si="20"/>
        <v>#N/A</v>
      </c>
      <c r="Q135" t="e">
        <f t="shared" si="21"/>
        <v>#N/A</v>
      </c>
      <c r="R135" t="e">
        <f t="shared" si="22"/>
        <v>#N/A</v>
      </c>
      <c r="S135" t="e">
        <f t="shared" si="23"/>
        <v>#N/A</v>
      </c>
      <c r="T135" t="e">
        <f t="shared" si="24"/>
        <v>#N/A</v>
      </c>
      <c r="U135" t="e">
        <f t="shared" si="25"/>
        <v>#N/A</v>
      </c>
      <c r="V135">
        <f t="shared" si="26"/>
        <v>252000</v>
      </c>
      <c r="W135">
        <f t="shared" si="27"/>
        <v>53</v>
      </c>
      <c r="X135" t="e">
        <f t="shared" si="28"/>
        <v>#N/A</v>
      </c>
      <c r="Y135" t="e">
        <f t="shared" si="29"/>
        <v>#N/A</v>
      </c>
    </row>
    <row r="136" spans="1:25" x14ac:dyDescent="0.2">
      <c r="A136">
        <v>1134</v>
      </c>
      <c r="B136" t="s">
        <v>48</v>
      </c>
      <c r="C136" t="s">
        <v>29</v>
      </c>
      <c r="D136">
        <v>2021</v>
      </c>
      <c r="E136" t="s">
        <v>30</v>
      </c>
      <c r="F136">
        <v>605</v>
      </c>
      <c r="G136">
        <v>5</v>
      </c>
      <c r="H136">
        <v>5</v>
      </c>
      <c r="I136">
        <v>2368000</v>
      </c>
      <c r="J136">
        <v>3914</v>
      </c>
      <c r="K136">
        <v>20</v>
      </c>
      <c r="L136" t="s">
        <v>17</v>
      </c>
      <c r="M136">
        <v>77</v>
      </c>
      <c r="N136" t="s">
        <v>27</v>
      </c>
      <c r="P136">
        <f t="shared" si="20"/>
        <v>2368000</v>
      </c>
      <c r="Q136">
        <f t="shared" si="21"/>
        <v>605</v>
      </c>
      <c r="R136" t="e">
        <f t="shared" si="22"/>
        <v>#N/A</v>
      </c>
      <c r="S136" t="e">
        <f t="shared" si="23"/>
        <v>#N/A</v>
      </c>
      <c r="T136" t="e">
        <f t="shared" si="24"/>
        <v>#N/A</v>
      </c>
      <c r="U136" t="e">
        <f t="shared" si="25"/>
        <v>#N/A</v>
      </c>
      <c r="V136" t="e">
        <f t="shared" si="26"/>
        <v>#N/A</v>
      </c>
      <c r="W136" t="e">
        <f t="shared" si="27"/>
        <v>#N/A</v>
      </c>
      <c r="X136" t="e">
        <f t="shared" si="28"/>
        <v>#N/A</v>
      </c>
      <c r="Y136" t="e">
        <f t="shared" si="29"/>
        <v>#N/A</v>
      </c>
    </row>
    <row r="137" spans="1:25" x14ac:dyDescent="0.2">
      <c r="A137">
        <v>1135</v>
      </c>
      <c r="B137" t="s">
        <v>44</v>
      </c>
      <c r="C137" t="s">
        <v>15</v>
      </c>
      <c r="D137">
        <v>2021</v>
      </c>
      <c r="E137" t="s">
        <v>30</v>
      </c>
      <c r="F137">
        <v>89</v>
      </c>
      <c r="G137">
        <v>3</v>
      </c>
      <c r="H137">
        <v>3</v>
      </c>
      <c r="I137">
        <v>248000</v>
      </c>
      <c r="J137">
        <v>2786.5</v>
      </c>
      <c r="K137">
        <v>0</v>
      </c>
      <c r="L137" t="s">
        <v>34</v>
      </c>
      <c r="M137">
        <v>108</v>
      </c>
      <c r="N137" t="s">
        <v>18</v>
      </c>
      <c r="P137" t="e">
        <f t="shared" si="20"/>
        <v>#N/A</v>
      </c>
      <c r="Q137" t="e">
        <f t="shared" si="21"/>
        <v>#N/A</v>
      </c>
      <c r="R137">
        <f t="shared" si="22"/>
        <v>248000</v>
      </c>
      <c r="S137">
        <f t="shared" si="23"/>
        <v>89</v>
      </c>
      <c r="T137" t="e">
        <f t="shared" si="24"/>
        <v>#N/A</v>
      </c>
      <c r="U137" t="e">
        <f t="shared" si="25"/>
        <v>#N/A</v>
      </c>
      <c r="V137" t="e">
        <f t="shared" si="26"/>
        <v>#N/A</v>
      </c>
      <c r="W137" t="e">
        <f t="shared" si="27"/>
        <v>#N/A</v>
      </c>
      <c r="X137" t="e">
        <f t="shared" si="28"/>
        <v>#N/A</v>
      </c>
      <c r="Y137" t="e">
        <f t="shared" si="29"/>
        <v>#N/A</v>
      </c>
    </row>
    <row r="138" spans="1:25" x14ac:dyDescent="0.2">
      <c r="A138">
        <v>1136</v>
      </c>
      <c r="B138" t="s">
        <v>41</v>
      </c>
      <c r="C138" t="s">
        <v>29</v>
      </c>
      <c r="D138">
        <v>2022</v>
      </c>
      <c r="E138" t="s">
        <v>16</v>
      </c>
      <c r="F138">
        <v>382</v>
      </c>
      <c r="G138">
        <v>4</v>
      </c>
      <c r="H138">
        <v>4</v>
      </c>
      <c r="I138">
        <v>2478000</v>
      </c>
      <c r="J138">
        <v>6486.9</v>
      </c>
      <c r="K138">
        <v>2</v>
      </c>
      <c r="L138" t="s">
        <v>17</v>
      </c>
      <c r="M138">
        <v>34</v>
      </c>
      <c r="N138" t="s">
        <v>21</v>
      </c>
      <c r="P138">
        <f t="shared" si="20"/>
        <v>2478000</v>
      </c>
      <c r="Q138">
        <f t="shared" si="21"/>
        <v>382</v>
      </c>
      <c r="R138" t="e">
        <f t="shared" si="22"/>
        <v>#N/A</v>
      </c>
      <c r="S138" t="e">
        <f t="shared" si="23"/>
        <v>#N/A</v>
      </c>
      <c r="T138" t="e">
        <f t="shared" si="24"/>
        <v>#N/A</v>
      </c>
      <c r="U138" t="e">
        <f t="shared" si="25"/>
        <v>#N/A</v>
      </c>
      <c r="V138" t="e">
        <f t="shared" si="26"/>
        <v>#N/A</v>
      </c>
      <c r="W138" t="e">
        <f t="shared" si="27"/>
        <v>#N/A</v>
      </c>
      <c r="X138" t="e">
        <f t="shared" si="28"/>
        <v>#N/A</v>
      </c>
      <c r="Y138" t="e">
        <f t="shared" si="29"/>
        <v>#N/A</v>
      </c>
    </row>
    <row r="139" spans="1:25" x14ac:dyDescent="0.2">
      <c r="A139">
        <v>1137</v>
      </c>
      <c r="B139" t="s">
        <v>39</v>
      </c>
      <c r="C139" t="s">
        <v>29</v>
      </c>
      <c r="D139">
        <v>2023</v>
      </c>
      <c r="E139" t="s">
        <v>30</v>
      </c>
      <c r="F139">
        <v>507</v>
      </c>
      <c r="G139">
        <v>6</v>
      </c>
      <c r="H139">
        <v>6</v>
      </c>
      <c r="I139">
        <v>3094000</v>
      </c>
      <c r="J139">
        <v>6102.6</v>
      </c>
      <c r="K139">
        <v>7</v>
      </c>
      <c r="L139" t="s">
        <v>34</v>
      </c>
      <c r="M139">
        <v>46</v>
      </c>
      <c r="N139" t="s">
        <v>21</v>
      </c>
      <c r="P139">
        <f t="shared" si="20"/>
        <v>3094000</v>
      </c>
      <c r="Q139">
        <f t="shared" si="21"/>
        <v>507</v>
      </c>
      <c r="R139" t="e">
        <f t="shared" si="22"/>
        <v>#N/A</v>
      </c>
      <c r="S139" t="e">
        <f t="shared" si="23"/>
        <v>#N/A</v>
      </c>
      <c r="T139" t="e">
        <f t="shared" si="24"/>
        <v>#N/A</v>
      </c>
      <c r="U139" t="e">
        <f t="shared" si="25"/>
        <v>#N/A</v>
      </c>
      <c r="V139" t="e">
        <f t="shared" si="26"/>
        <v>#N/A</v>
      </c>
      <c r="W139" t="e">
        <f t="shared" si="27"/>
        <v>#N/A</v>
      </c>
      <c r="X139" t="e">
        <f t="shared" si="28"/>
        <v>#N/A</v>
      </c>
      <c r="Y139" t="e">
        <f t="shared" si="29"/>
        <v>#N/A</v>
      </c>
    </row>
    <row r="140" spans="1:25" x14ac:dyDescent="0.2">
      <c r="A140">
        <v>1138</v>
      </c>
      <c r="B140" t="s">
        <v>41</v>
      </c>
      <c r="C140" t="s">
        <v>15</v>
      </c>
      <c r="D140">
        <v>2021</v>
      </c>
      <c r="E140" t="s">
        <v>24</v>
      </c>
      <c r="F140">
        <v>124</v>
      </c>
      <c r="G140">
        <v>3</v>
      </c>
      <c r="H140">
        <v>3</v>
      </c>
      <c r="I140">
        <v>531000</v>
      </c>
      <c r="J140">
        <v>4282.3</v>
      </c>
      <c r="K140">
        <v>0</v>
      </c>
      <c r="L140" t="s">
        <v>17</v>
      </c>
      <c r="M140">
        <v>147</v>
      </c>
      <c r="N140" t="s">
        <v>21</v>
      </c>
      <c r="P140" t="e">
        <f t="shared" si="20"/>
        <v>#N/A</v>
      </c>
      <c r="Q140" t="e">
        <f t="shared" si="21"/>
        <v>#N/A</v>
      </c>
      <c r="R140">
        <f t="shared" si="22"/>
        <v>531000</v>
      </c>
      <c r="S140">
        <f t="shared" si="23"/>
        <v>124</v>
      </c>
      <c r="T140" t="e">
        <f t="shared" si="24"/>
        <v>#N/A</v>
      </c>
      <c r="U140" t="e">
        <f t="shared" si="25"/>
        <v>#N/A</v>
      </c>
      <c r="V140" t="e">
        <f t="shared" si="26"/>
        <v>#N/A</v>
      </c>
      <c r="W140" t="e">
        <f t="shared" si="27"/>
        <v>#N/A</v>
      </c>
      <c r="X140" t="e">
        <f t="shared" si="28"/>
        <v>#N/A</v>
      </c>
      <c r="Y140" t="e">
        <f t="shared" si="29"/>
        <v>#N/A</v>
      </c>
    </row>
    <row r="141" spans="1:25" x14ac:dyDescent="0.2">
      <c r="A141">
        <v>1139</v>
      </c>
      <c r="B141" t="s">
        <v>22</v>
      </c>
      <c r="C141" t="s">
        <v>38</v>
      </c>
      <c r="D141">
        <v>2024</v>
      </c>
      <c r="E141" t="s">
        <v>26</v>
      </c>
      <c r="F141">
        <v>62</v>
      </c>
      <c r="G141">
        <v>0</v>
      </c>
      <c r="H141">
        <v>1</v>
      </c>
      <c r="I141">
        <v>301000</v>
      </c>
      <c r="J141">
        <v>4854.8</v>
      </c>
      <c r="K141">
        <v>10</v>
      </c>
      <c r="L141" t="s">
        <v>17</v>
      </c>
      <c r="M141">
        <v>53</v>
      </c>
      <c r="N141" t="s">
        <v>18</v>
      </c>
      <c r="P141" t="e">
        <f t="shared" si="20"/>
        <v>#N/A</v>
      </c>
      <c r="Q141" t="e">
        <f t="shared" si="21"/>
        <v>#N/A</v>
      </c>
      <c r="R141" t="e">
        <f t="shared" si="22"/>
        <v>#N/A</v>
      </c>
      <c r="S141" t="e">
        <f t="shared" si="23"/>
        <v>#N/A</v>
      </c>
      <c r="T141" t="e">
        <f t="shared" si="24"/>
        <v>#N/A</v>
      </c>
      <c r="U141" t="e">
        <f t="shared" si="25"/>
        <v>#N/A</v>
      </c>
      <c r="V141">
        <f t="shared" si="26"/>
        <v>301000</v>
      </c>
      <c r="W141">
        <f t="shared" si="27"/>
        <v>62</v>
      </c>
      <c r="X141" t="e">
        <f t="shared" si="28"/>
        <v>#N/A</v>
      </c>
      <c r="Y141" t="e">
        <f t="shared" si="29"/>
        <v>#N/A</v>
      </c>
    </row>
    <row r="142" spans="1:25" x14ac:dyDescent="0.2">
      <c r="A142">
        <v>1140</v>
      </c>
      <c r="B142" t="s">
        <v>19</v>
      </c>
      <c r="C142" t="s">
        <v>23</v>
      </c>
      <c r="D142">
        <v>2021</v>
      </c>
      <c r="E142" t="s">
        <v>24</v>
      </c>
      <c r="F142">
        <v>282</v>
      </c>
      <c r="G142">
        <v>5</v>
      </c>
      <c r="H142">
        <v>5</v>
      </c>
      <c r="I142">
        <v>944000</v>
      </c>
      <c r="J142">
        <v>3347.5</v>
      </c>
      <c r="K142">
        <v>0</v>
      </c>
      <c r="L142" t="s">
        <v>17</v>
      </c>
      <c r="M142">
        <v>52</v>
      </c>
      <c r="N142" t="s">
        <v>21</v>
      </c>
      <c r="P142" t="e">
        <f t="shared" si="20"/>
        <v>#N/A</v>
      </c>
      <c r="Q142" t="e">
        <f t="shared" si="21"/>
        <v>#N/A</v>
      </c>
      <c r="R142" t="e">
        <f t="shared" si="22"/>
        <v>#N/A</v>
      </c>
      <c r="S142" t="e">
        <f t="shared" si="23"/>
        <v>#N/A</v>
      </c>
      <c r="T142">
        <f t="shared" si="24"/>
        <v>944000</v>
      </c>
      <c r="U142">
        <f t="shared" si="25"/>
        <v>282</v>
      </c>
      <c r="V142" t="e">
        <f t="shared" si="26"/>
        <v>#N/A</v>
      </c>
      <c r="W142" t="e">
        <f t="shared" si="27"/>
        <v>#N/A</v>
      </c>
      <c r="X142" t="e">
        <f t="shared" si="28"/>
        <v>#N/A</v>
      </c>
      <c r="Y142" t="e">
        <f t="shared" si="29"/>
        <v>#N/A</v>
      </c>
    </row>
    <row r="143" spans="1:25" x14ac:dyDescent="0.2">
      <c r="A143">
        <v>1141</v>
      </c>
      <c r="B143" t="s">
        <v>19</v>
      </c>
      <c r="C143" t="s">
        <v>38</v>
      </c>
      <c r="D143">
        <v>2023</v>
      </c>
      <c r="E143" t="s">
        <v>24</v>
      </c>
      <c r="F143">
        <v>48</v>
      </c>
      <c r="G143">
        <v>0</v>
      </c>
      <c r="H143">
        <v>1</v>
      </c>
      <c r="I143">
        <v>215000</v>
      </c>
      <c r="J143">
        <v>4479.2</v>
      </c>
      <c r="K143">
        <v>10</v>
      </c>
      <c r="L143" t="s">
        <v>34</v>
      </c>
      <c r="M143">
        <v>70</v>
      </c>
      <c r="N143" t="s">
        <v>21</v>
      </c>
      <c r="P143" t="e">
        <f t="shared" si="20"/>
        <v>#N/A</v>
      </c>
      <c r="Q143" t="e">
        <f t="shared" si="21"/>
        <v>#N/A</v>
      </c>
      <c r="R143" t="e">
        <f t="shared" si="22"/>
        <v>#N/A</v>
      </c>
      <c r="S143" t="e">
        <f t="shared" si="23"/>
        <v>#N/A</v>
      </c>
      <c r="T143" t="e">
        <f t="shared" si="24"/>
        <v>#N/A</v>
      </c>
      <c r="U143" t="e">
        <f t="shared" si="25"/>
        <v>#N/A</v>
      </c>
      <c r="V143">
        <f t="shared" si="26"/>
        <v>215000</v>
      </c>
      <c r="W143">
        <f t="shared" si="27"/>
        <v>48</v>
      </c>
      <c r="X143" t="e">
        <f t="shared" si="28"/>
        <v>#N/A</v>
      </c>
      <c r="Y143" t="e">
        <f t="shared" si="29"/>
        <v>#N/A</v>
      </c>
    </row>
    <row r="144" spans="1:25" x14ac:dyDescent="0.2">
      <c r="A144">
        <v>1142</v>
      </c>
      <c r="B144" t="s">
        <v>22</v>
      </c>
      <c r="C144" t="s">
        <v>29</v>
      </c>
      <c r="D144">
        <v>2024</v>
      </c>
      <c r="E144" t="s">
        <v>24</v>
      </c>
      <c r="F144">
        <v>258</v>
      </c>
      <c r="G144">
        <v>6</v>
      </c>
      <c r="H144">
        <v>6</v>
      </c>
      <c r="I144">
        <v>1623000</v>
      </c>
      <c r="J144">
        <v>6290.7</v>
      </c>
      <c r="K144">
        <v>3</v>
      </c>
      <c r="L144" t="s">
        <v>34</v>
      </c>
      <c r="M144">
        <v>33</v>
      </c>
      <c r="N144" t="s">
        <v>18</v>
      </c>
      <c r="P144">
        <f t="shared" si="20"/>
        <v>1623000</v>
      </c>
      <c r="Q144">
        <f t="shared" si="21"/>
        <v>258</v>
      </c>
      <c r="R144" t="e">
        <f t="shared" si="22"/>
        <v>#N/A</v>
      </c>
      <c r="S144" t="e">
        <f t="shared" si="23"/>
        <v>#N/A</v>
      </c>
      <c r="T144" t="e">
        <f t="shared" si="24"/>
        <v>#N/A</v>
      </c>
      <c r="U144" t="e">
        <f t="shared" si="25"/>
        <v>#N/A</v>
      </c>
      <c r="V144" t="e">
        <f t="shared" si="26"/>
        <v>#N/A</v>
      </c>
      <c r="W144" t="e">
        <f t="shared" si="27"/>
        <v>#N/A</v>
      </c>
      <c r="X144" t="e">
        <f t="shared" si="28"/>
        <v>#N/A</v>
      </c>
      <c r="Y144" t="e">
        <f t="shared" si="29"/>
        <v>#N/A</v>
      </c>
    </row>
    <row r="145" spans="1:25" x14ac:dyDescent="0.2">
      <c r="A145">
        <v>1143</v>
      </c>
      <c r="B145" t="s">
        <v>44</v>
      </c>
      <c r="C145" t="s">
        <v>15</v>
      </c>
      <c r="D145">
        <v>2021</v>
      </c>
      <c r="E145" t="s">
        <v>24</v>
      </c>
      <c r="F145">
        <v>151</v>
      </c>
      <c r="G145">
        <v>3</v>
      </c>
      <c r="H145">
        <v>3</v>
      </c>
      <c r="I145">
        <v>400000</v>
      </c>
      <c r="J145">
        <v>2649</v>
      </c>
      <c r="K145">
        <v>7</v>
      </c>
      <c r="L145" t="s">
        <v>20</v>
      </c>
      <c r="M145">
        <v>80</v>
      </c>
      <c r="N145" t="s">
        <v>18</v>
      </c>
      <c r="P145" t="e">
        <f t="shared" si="20"/>
        <v>#N/A</v>
      </c>
      <c r="Q145" t="e">
        <f t="shared" si="21"/>
        <v>#N/A</v>
      </c>
      <c r="R145">
        <f t="shared" si="22"/>
        <v>400000</v>
      </c>
      <c r="S145">
        <f t="shared" si="23"/>
        <v>151</v>
      </c>
      <c r="T145" t="e">
        <f t="shared" si="24"/>
        <v>#N/A</v>
      </c>
      <c r="U145" t="e">
        <f t="shared" si="25"/>
        <v>#N/A</v>
      </c>
      <c r="V145" t="e">
        <f t="shared" si="26"/>
        <v>#N/A</v>
      </c>
      <c r="W145" t="e">
        <f t="shared" si="27"/>
        <v>#N/A</v>
      </c>
      <c r="X145" t="e">
        <f t="shared" si="28"/>
        <v>#N/A</v>
      </c>
      <c r="Y145" t="e">
        <f t="shared" si="29"/>
        <v>#N/A</v>
      </c>
    </row>
    <row r="146" spans="1:25" x14ac:dyDescent="0.2">
      <c r="A146">
        <v>1144</v>
      </c>
      <c r="B146" t="s">
        <v>48</v>
      </c>
      <c r="C146" t="s">
        <v>15</v>
      </c>
      <c r="D146">
        <v>2023</v>
      </c>
      <c r="E146" t="s">
        <v>26</v>
      </c>
      <c r="F146">
        <v>121</v>
      </c>
      <c r="G146">
        <v>3</v>
      </c>
      <c r="H146">
        <v>3</v>
      </c>
      <c r="I146">
        <v>349000</v>
      </c>
      <c r="J146">
        <v>2884.3</v>
      </c>
      <c r="K146">
        <v>7</v>
      </c>
      <c r="L146" t="s">
        <v>17</v>
      </c>
      <c r="M146">
        <v>145</v>
      </c>
      <c r="N146" t="s">
        <v>27</v>
      </c>
      <c r="P146" t="e">
        <f t="shared" si="20"/>
        <v>#N/A</v>
      </c>
      <c r="Q146" t="e">
        <f t="shared" si="21"/>
        <v>#N/A</v>
      </c>
      <c r="R146">
        <f t="shared" si="22"/>
        <v>349000</v>
      </c>
      <c r="S146">
        <f t="shared" si="23"/>
        <v>121</v>
      </c>
      <c r="T146" t="e">
        <f t="shared" si="24"/>
        <v>#N/A</v>
      </c>
      <c r="U146" t="e">
        <f t="shared" si="25"/>
        <v>#N/A</v>
      </c>
      <c r="V146" t="e">
        <f t="shared" si="26"/>
        <v>#N/A</v>
      </c>
      <c r="W146" t="e">
        <f t="shared" si="27"/>
        <v>#N/A</v>
      </c>
      <c r="X146" t="e">
        <f t="shared" si="28"/>
        <v>#N/A</v>
      </c>
      <c r="Y146" t="e">
        <f t="shared" si="29"/>
        <v>#N/A</v>
      </c>
    </row>
    <row r="147" spans="1:25" x14ac:dyDescent="0.2">
      <c r="A147">
        <v>1145</v>
      </c>
      <c r="B147" t="s">
        <v>22</v>
      </c>
      <c r="C147" t="s">
        <v>36</v>
      </c>
      <c r="D147">
        <v>2022</v>
      </c>
      <c r="E147" t="s">
        <v>26</v>
      </c>
      <c r="F147">
        <v>343</v>
      </c>
      <c r="G147">
        <v>3</v>
      </c>
      <c r="H147">
        <v>3</v>
      </c>
      <c r="I147">
        <v>975000</v>
      </c>
      <c r="J147">
        <v>2842.6</v>
      </c>
      <c r="K147">
        <v>10</v>
      </c>
      <c r="L147" t="s">
        <v>17</v>
      </c>
      <c r="M147">
        <v>69</v>
      </c>
      <c r="N147" t="s">
        <v>18</v>
      </c>
      <c r="P147" t="e">
        <f t="shared" si="20"/>
        <v>#N/A</v>
      </c>
      <c r="Q147" t="e">
        <f t="shared" si="21"/>
        <v>#N/A</v>
      </c>
      <c r="R147" t="e">
        <f t="shared" si="22"/>
        <v>#N/A</v>
      </c>
      <c r="S147" t="e">
        <f t="shared" si="23"/>
        <v>#N/A</v>
      </c>
      <c r="T147" t="e">
        <f t="shared" si="24"/>
        <v>#N/A</v>
      </c>
      <c r="U147" t="e">
        <f t="shared" si="25"/>
        <v>#N/A</v>
      </c>
      <c r="V147" t="e">
        <f t="shared" si="26"/>
        <v>#N/A</v>
      </c>
      <c r="W147" t="e">
        <f t="shared" si="27"/>
        <v>#N/A</v>
      </c>
      <c r="X147">
        <f t="shared" si="28"/>
        <v>975000</v>
      </c>
      <c r="Y147">
        <f t="shared" si="29"/>
        <v>343</v>
      </c>
    </row>
    <row r="148" spans="1:25" x14ac:dyDescent="0.2">
      <c r="A148">
        <v>1146</v>
      </c>
      <c r="B148" t="s">
        <v>33</v>
      </c>
      <c r="C148" t="s">
        <v>15</v>
      </c>
      <c r="D148">
        <v>2022</v>
      </c>
      <c r="E148" t="s">
        <v>26</v>
      </c>
      <c r="F148">
        <v>160</v>
      </c>
      <c r="G148">
        <v>3</v>
      </c>
      <c r="H148">
        <v>3</v>
      </c>
      <c r="I148">
        <v>395000</v>
      </c>
      <c r="J148">
        <v>2468.8000000000002</v>
      </c>
      <c r="K148">
        <v>5</v>
      </c>
      <c r="L148" t="s">
        <v>17</v>
      </c>
      <c r="M148">
        <v>72</v>
      </c>
      <c r="N148" t="s">
        <v>27</v>
      </c>
      <c r="P148" t="e">
        <f t="shared" si="20"/>
        <v>#N/A</v>
      </c>
      <c r="Q148" t="e">
        <f t="shared" si="21"/>
        <v>#N/A</v>
      </c>
      <c r="R148">
        <f t="shared" si="22"/>
        <v>395000</v>
      </c>
      <c r="S148">
        <f t="shared" si="23"/>
        <v>160</v>
      </c>
      <c r="T148" t="e">
        <f t="shared" si="24"/>
        <v>#N/A</v>
      </c>
      <c r="U148" t="e">
        <f t="shared" si="25"/>
        <v>#N/A</v>
      </c>
      <c r="V148" t="e">
        <f t="shared" si="26"/>
        <v>#N/A</v>
      </c>
      <c r="W148" t="e">
        <f t="shared" si="27"/>
        <v>#N/A</v>
      </c>
      <c r="X148" t="e">
        <f t="shared" si="28"/>
        <v>#N/A</v>
      </c>
      <c r="Y148" t="e">
        <f t="shared" si="29"/>
        <v>#N/A</v>
      </c>
    </row>
    <row r="149" spans="1:25" x14ac:dyDescent="0.2">
      <c r="A149">
        <v>1147</v>
      </c>
      <c r="B149" t="s">
        <v>35</v>
      </c>
      <c r="C149" t="s">
        <v>15</v>
      </c>
      <c r="D149">
        <v>2021</v>
      </c>
      <c r="E149" t="s">
        <v>30</v>
      </c>
      <c r="F149">
        <v>171</v>
      </c>
      <c r="G149">
        <v>3</v>
      </c>
      <c r="H149">
        <v>3</v>
      </c>
      <c r="I149">
        <v>507000</v>
      </c>
      <c r="J149">
        <v>2964.9</v>
      </c>
      <c r="K149">
        <v>0</v>
      </c>
      <c r="L149" t="s">
        <v>34</v>
      </c>
      <c r="M149">
        <v>127</v>
      </c>
      <c r="N149" t="s">
        <v>18</v>
      </c>
      <c r="P149" t="e">
        <f t="shared" si="20"/>
        <v>#N/A</v>
      </c>
      <c r="Q149" t="e">
        <f t="shared" si="21"/>
        <v>#N/A</v>
      </c>
      <c r="R149">
        <f t="shared" si="22"/>
        <v>507000</v>
      </c>
      <c r="S149">
        <f t="shared" si="23"/>
        <v>171</v>
      </c>
      <c r="T149" t="e">
        <f t="shared" si="24"/>
        <v>#N/A</v>
      </c>
      <c r="U149" t="e">
        <f t="shared" si="25"/>
        <v>#N/A</v>
      </c>
      <c r="V149" t="e">
        <f t="shared" si="26"/>
        <v>#N/A</v>
      </c>
      <c r="W149" t="e">
        <f t="shared" si="27"/>
        <v>#N/A</v>
      </c>
      <c r="X149" t="e">
        <f t="shared" si="28"/>
        <v>#N/A</v>
      </c>
      <c r="Y149" t="e">
        <f t="shared" si="29"/>
        <v>#N/A</v>
      </c>
    </row>
    <row r="150" spans="1:25" x14ac:dyDescent="0.2">
      <c r="A150">
        <v>1148</v>
      </c>
      <c r="B150" t="s">
        <v>40</v>
      </c>
      <c r="C150" t="s">
        <v>36</v>
      </c>
      <c r="D150">
        <v>2023</v>
      </c>
      <c r="E150" t="s">
        <v>26</v>
      </c>
      <c r="F150">
        <v>322</v>
      </c>
      <c r="G150">
        <v>3</v>
      </c>
      <c r="H150">
        <v>3</v>
      </c>
      <c r="I150">
        <v>889000</v>
      </c>
      <c r="J150">
        <v>2760.9</v>
      </c>
      <c r="K150">
        <v>3</v>
      </c>
      <c r="L150" t="s">
        <v>34</v>
      </c>
      <c r="M150">
        <v>81</v>
      </c>
      <c r="N150" t="s">
        <v>18</v>
      </c>
      <c r="P150" t="e">
        <f t="shared" si="20"/>
        <v>#N/A</v>
      </c>
      <c r="Q150" t="e">
        <f t="shared" si="21"/>
        <v>#N/A</v>
      </c>
      <c r="R150" t="e">
        <f t="shared" si="22"/>
        <v>#N/A</v>
      </c>
      <c r="S150" t="e">
        <f t="shared" si="23"/>
        <v>#N/A</v>
      </c>
      <c r="T150" t="e">
        <f t="shared" si="24"/>
        <v>#N/A</v>
      </c>
      <c r="U150" t="e">
        <f t="shared" si="25"/>
        <v>#N/A</v>
      </c>
      <c r="V150" t="e">
        <f t="shared" si="26"/>
        <v>#N/A</v>
      </c>
      <c r="W150" t="e">
        <f t="shared" si="27"/>
        <v>#N/A</v>
      </c>
      <c r="X150">
        <f t="shared" si="28"/>
        <v>889000</v>
      </c>
      <c r="Y150">
        <f t="shared" si="29"/>
        <v>322</v>
      </c>
    </row>
    <row r="151" spans="1:25" x14ac:dyDescent="0.2">
      <c r="A151">
        <v>1149</v>
      </c>
      <c r="B151" t="s">
        <v>39</v>
      </c>
      <c r="C151" t="s">
        <v>38</v>
      </c>
      <c r="D151">
        <v>2023</v>
      </c>
      <c r="E151" t="s">
        <v>24</v>
      </c>
      <c r="F151">
        <v>48</v>
      </c>
      <c r="G151">
        <v>0</v>
      </c>
      <c r="H151">
        <v>1</v>
      </c>
      <c r="I151">
        <v>262000</v>
      </c>
      <c r="J151">
        <v>5458.3</v>
      </c>
      <c r="K151">
        <v>7</v>
      </c>
      <c r="L151" t="s">
        <v>34</v>
      </c>
      <c r="M151">
        <v>115</v>
      </c>
      <c r="N151" t="s">
        <v>21</v>
      </c>
      <c r="P151" t="e">
        <f t="shared" si="20"/>
        <v>#N/A</v>
      </c>
      <c r="Q151" t="e">
        <f t="shared" si="21"/>
        <v>#N/A</v>
      </c>
      <c r="R151" t="e">
        <f t="shared" si="22"/>
        <v>#N/A</v>
      </c>
      <c r="S151" t="e">
        <f t="shared" si="23"/>
        <v>#N/A</v>
      </c>
      <c r="T151" t="e">
        <f t="shared" si="24"/>
        <v>#N/A</v>
      </c>
      <c r="U151" t="e">
        <f t="shared" si="25"/>
        <v>#N/A</v>
      </c>
      <c r="V151">
        <f t="shared" si="26"/>
        <v>262000</v>
      </c>
      <c r="W151">
        <f t="shared" si="27"/>
        <v>48</v>
      </c>
      <c r="X151" t="e">
        <f t="shared" si="28"/>
        <v>#N/A</v>
      </c>
      <c r="Y151" t="e">
        <f t="shared" si="29"/>
        <v>#N/A</v>
      </c>
    </row>
    <row r="152" spans="1:25" x14ac:dyDescent="0.2">
      <c r="A152">
        <v>1150</v>
      </c>
      <c r="B152" t="s">
        <v>28</v>
      </c>
      <c r="C152" t="s">
        <v>29</v>
      </c>
      <c r="D152">
        <v>2021</v>
      </c>
      <c r="E152" t="s">
        <v>16</v>
      </c>
      <c r="F152">
        <v>319</v>
      </c>
      <c r="G152">
        <v>6</v>
      </c>
      <c r="H152">
        <v>6</v>
      </c>
      <c r="I152">
        <v>1357000</v>
      </c>
      <c r="J152">
        <v>4253.8999999999996</v>
      </c>
      <c r="K152">
        <v>2</v>
      </c>
      <c r="L152" t="s">
        <v>17</v>
      </c>
      <c r="M152">
        <v>85</v>
      </c>
      <c r="N152" t="s">
        <v>27</v>
      </c>
      <c r="P152">
        <f t="shared" si="20"/>
        <v>1357000</v>
      </c>
      <c r="Q152">
        <f t="shared" si="21"/>
        <v>319</v>
      </c>
      <c r="R152" t="e">
        <f t="shared" si="22"/>
        <v>#N/A</v>
      </c>
      <c r="S152" t="e">
        <f t="shared" si="23"/>
        <v>#N/A</v>
      </c>
      <c r="T152" t="e">
        <f t="shared" si="24"/>
        <v>#N/A</v>
      </c>
      <c r="U152" t="e">
        <f t="shared" si="25"/>
        <v>#N/A</v>
      </c>
      <c r="V152" t="e">
        <f t="shared" si="26"/>
        <v>#N/A</v>
      </c>
      <c r="W152" t="e">
        <f t="shared" si="27"/>
        <v>#N/A</v>
      </c>
      <c r="X152" t="e">
        <f t="shared" si="28"/>
        <v>#N/A</v>
      </c>
      <c r="Y152" t="e">
        <f t="shared" si="29"/>
        <v>#N/A</v>
      </c>
    </row>
    <row r="153" spans="1:25" x14ac:dyDescent="0.2">
      <c r="A153">
        <v>1151</v>
      </c>
      <c r="B153" t="s">
        <v>31</v>
      </c>
      <c r="C153" t="s">
        <v>15</v>
      </c>
      <c r="D153">
        <v>2021</v>
      </c>
      <c r="E153" t="s">
        <v>30</v>
      </c>
      <c r="F153">
        <v>173</v>
      </c>
      <c r="G153">
        <v>3</v>
      </c>
      <c r="H153">
        <v>3</v>
      </c>
      <c r="I153">
        <v>442000</v>
      </c>
      <c r="J153">
        <v>2554.9</v>
      </c>
      <c r="K153">
        <v>3</v>
      </c>
      <c r="L153" t="s">
        <v>17</v>
      </c>
      <c r="M153">
        <v>104</v>
      </c>
      <c r="N153" t="s">
        <v>21</v>
      </c>
      <c r="P153" t="e">
        <f t="shared" si="20"/>
        <v>#N/A</v>
      </c>
      <c r="Q153" t="e">
        <f t="shared" si="21"/>
        <v>#N/A</v>
      </c>
      <c r="R153">
        <f t="shared" si="22"/>
        <v>442000</v>
      </c>
      <c r="S153">
        <f t="shared" si="23"/>
        <v>173</v>
      </c>
      <c r="T153" t="e">
        <f t="shared" si="24"/>
        <v>#N/A</v>
      </c>
      <c r="U153" t="e">
        <f t="shared" si="25"/>
        <v>#N/A</v>
      </c>
      <c r="V153" t="e">
        <f t="shared" si="26"/>
        <v>#N/A</v>
      </c>
      <c r="W153" t="e">
        <f t="shared" si="27"/>
        <v>#N/A</v>
      </c>
      <c r="X153" t="e">
        <f t="shared" si="28"/>
        <v>#N/A</v>
      </c>
      <c r="Y153" t="e">
        <f t="shared" si="29"/>
        <v>#N/A</v>
      </c>
    </row>
    <row r="154" spans="1:25" x14ac:dyDescent="0.2">
      <c r="A154">
        <v>1152</v>
      </c>
      <c r="B154" t="s">
        <v>45</v>
      </c>
      <c r="C154" t="s">
        <v>36</v>
      </c>
      <c r="D154">
        <v>2021</v>
      </c>
      <c r="E154" t="s">
        <v>26</v>
      </c>
      <c r="F154">
        <v>477</v>
      </c>
      <c r="G154">
        <v>5</v>
      </c>
      <c r="H154">
        <v>5</v>
      </c>
      <c r="I154">
        <v>1280000</v>
      </c>
      <c r="J154">
        <v>2683.4</v>
      </c>
      <c r="K154">
        <v>7</v>
      </c>
      <c r="L154" t="s">
        <v>20</v>
      </c>
      <c r="M154">
        <v>174</v>
      </c>
      <c r="N154" t="s">
        <v>21</v>
      </c>
      <c r="P154" t="e">
        <f t="shared" si="20"/>
        <v>#N/A</v>
      </c>
      <c r="Q154" t="e">
        <f t="shared" si="21"/>
        <v>#N/A</v>
      </c>
      <c r="R154" t="e">
        <f t="shared" si="22"/>
        <v>#N/A</v>
      </c>
      <c r="S154" t="e">
        <f t="shared" si="23"/>
        <v>#N/A</v>
      </c>
      <c r="T154" t="e">
        <f t="shared" si="24"/>
        <v>#N/A</v>
      </c>
      <c r="U154" t="e">
        <f t="shared" si="25"/>
        <v>#N/A</v>
      </c>
      <c r="V154" t="e">
        <f t="shared" si="26"/>
        <v>#N/A</v>
      </c>
      <c r="W154" t="e">
        <f t="shared" si="27"/>
        <v>#N/A</v>
      </c>
      <c r="X154">
        <f t="shared" si="28"/>
        <v>1280000</v>
      </c>
      <c r="Y154">
        <f t="shared" si="29"/>
        <v>477</v>
      </c>
    </row>
    <row r="155" spans="1:25" x14ac:dyDescent="0.2">
      <c r="A155">
        <v>1153</v>
      </c>
      <c r="B155" t="s">
        <v>42</v>
      </c>
      <c r="C155" t="s">
        <v>29</v>
      </c>
      <c r="D155">
        <v>2021</v>
      </c>
      <c r="E155" t="s">
        <v>30</v>
      </c>
      <c r="F155">
        <v>503</v>
      </c>
      <c r="G155">
        <v>5</v>
      </c>
      <c r="H155">
        <v>5</v>
      </c>
      <c r="I155">
        <v>2934000</v>
      </c>
      <c r="J155">
        <v>5833</v>
      </c>
      <c r="K155">
        <v>2</v>
      </c>
      <c r="L155" t="s">
        <v>17</v>
      </c>
      <c r="M155">
        <v>63</v>
      </c>
      <c r="N155" t="s">
        <v>21</v>
      </c>
      <c r="P155">
        <f t="shared" si="20"/>
        <v>2934000</v>
      </c>
      <c r="Q155">
        <f t="shared" si="21"/>
        <v>503</v>
      </c>
      <c r="R155" t="e">
        <f t="shared" si="22"/>
        <v>#N/A</v>
      </c>
      <c r="S155" t="e">
        <f t="shared" si="23"/>
        <v>#N/A</v>
      </c>
      <c r="T155" t="e">
        <f t="shared" si="24"/>
        <v>#N/A</v>
      </c>
      <c r="U155" t="e">
        <f t="shared" si="25"/>
        <v>#N/A</v>
      </c>
      <c r="V155" t="e">
        <f t="shared" si="26"/>
        <v>#N/A</v>
      </c>
      <c r="W155" t="e">
        <f t="shared" si="27"/>
        <v>#N/A</v>
      </c>
      <c r="X155" t="e">
        <f t="shared" si="28"/>
        <v>#N/A</v>
      </c>
      <c r="Y155" t="e">
        <f t="shared" si="29"/>
        <v>#N/A</v>
      </c>
    </row>
    <row r="156" spans="1:25" x14ac:dyDescent="0.2">
      <c r="A156">
        <v>1154</v>
      </c>
      <c r="B156" t="s">
        <v>37</v>
      </c>
      <c r="C156" t="s">
        <v>38</v>
      </c>
      <c r="D156">
        <v>2021</v>
      </c>
      <c r="E156" t="s">
        <v>24</v>
      </c>
      <c r="F156">
        <v>68</v>
      </c>
      <c r="G156">
        <v>0</v>
      </c>
      <c r="H156">
        <v>1</v>
      </c>
      <c r="I156">
        <v>307000</v>
      </c>
      <c r="J156">
        <v>4514.7</v>
      </c>
      <c r="K156">
        <v>2</v>
      </c>
      <c r="L156" t="s">
        <v>17</v>
      </c>
      <c r="M156">
        <v>91</v>
      </c>
      <c r="N156" t="s">
        <v>27</v>
      </c>
      <c r="P156" t="e">
        <f t="shared" si="20"/>
        <v>#N/A</v>
      </c>
      <c r="Q156" t="e">
        <f t="shared" si="21"/>
        <v>#N/A</v>
      </c>
      <c r="R156" t="e">
        <f t="shared" si="22"/>
        <v>#N/A</v>
      </c>
      <c r="S156" t="e">
        <f t="shared" si="23"/>
        <v>#N/A</v>
      </c>
      <c r="T156" t="e">
        <f t="shared" si="24"/>
        <v>#N/A</v>
      </c>
      <c r="U156" t="e">
        <f t="shared" si="25"/>
        <v>#N/A</v>
      </c>
      <c r="V156">
        <f t="shared" si="26"/>
        <v>307000</v>
      </c>
      <c r="W156">
        <f t="shared" si="27"/>
        <v>68</v>
      </c>
      <c r="X156" t="e">
        <f t="shared" si="28"/>
        <v>#N/A</v>
      </c>
      <c r="Y156" t="e">
        <f t="shared" si="29"/>
        <v>#N/A</v>
      </c>
    </row>
    <row r="157" spans="1:25" x14ac:dyDescent="0.2">
      <c r="A157">
        <v>1155</v>
      </c>
      <c r="B157" t="s">
        <v>22</v>
      </c>
      <c r="C157" t="s">
        <v>29</v>
      </c>
      <c r="D157">
        <v>2022</v>
      </c>
      <c r="E157" t="s">
        <v>16</v>
      </c>
      <c r="F157">
        <v>363</v>
      </c>
      <c r="G157">
        <v>4</v>
      </c>
      <c r="H157">
        <v>4</v>
      </c>
      <c r="I157">
        <v>1783000</v>
      </c>
      <c r="J157">
        <v>4911.8</v>
      </c>
      <c r="K157">
        <v>0</v>
      </c>
      <c r="L157" t="s">
        <v>17</v>
      </c>
      <c r="M157">
        <v>104</v>
      </c>
      <c r="N157" t="s">
        <v>18</v>
      </c>
      <c r="P157">
        <f t="shared" si="20"/>
        <v>1783000</v>
      </c>
      <c r="Q157">
        <f t="shared" si="21"/>
        <v>363</v>
      </c>
      <c r="R157" t="e">
        <f t="shared" si="22"/>
        <v>#N/A</v>
      </c>
      <c r="S157" t="e">
        <f t="shared" si="23"/>
        <v>#N/A</v>
      </c>
      <c r="T157" t="e">
        <f t="shared" si="24"/>
        <v>#N/A</v>
      </c>
      <c r="U157" t="e">
        <f t="shared" si="25"/>
        <v>#N/A</v>
      </c>
      <c r="V157" t="e">
        <f t="shared" si="26"/>
        <v>#N/A</v>
      </c>
      <c r="W157" t="e">
        <f t="shared" si="27"/>
        <v>#N/A</v>
      </c>
      <c r="X157" t="e">
        <f t="shared" si="28"/>
        <v>#N/A</v>
      </c>
      <c r="Y157" t="e">
        <f t="shared" si="29"/>
        <v>#N/A</v>
      </c>
    </row>
    <row r="158" spans="1:25" x14ac:dyDescent="0.2">
      <c r="A158">
        <v>1156</v>
      </c>
      <c r="B158" t="s">
        <v>40</v>
      </c>
      <c r="C158" t="s">
        <v>23</v>
      </c>
      <c r="D158">
        <v>2024</v>
      </c>
      <c r="E158" t="s">
        <v>30</v>
      </c>
      <c r="F158">
        <v>302</v>
      </c>
      <c r="G158">
        <v>4</v>
      </c>
      <c r="H158">
        <v>4</v>
      </c>
      <c r="I158">
        <v>1329000</v>
      </c>
      <c r="J158">
        <v>4400.7</v>
      </c>
      <c r="K158">
        <v>1</v>
      </c>
      <c r="L158" t="s">
        <v>34</v>
      </c>
      <c r="M158">
        <v>74</v>
      </c>
      <c r="N158" t="s">
        <v>18</v>
      </c>
      <c r="P158" t="e">
        <f t="shared" si="20"/>
        <v>#N/A</v>
      </c>
      <c r="Q158" t="e">
        <f t="shared" si="21"/>
        <v>#N/A</v>
      </c>
      <c r="R158" t="e">
        <f t="shared" si="22"/>
        <v>#N/A</v>
      </c>
      <c r="S158" t="e">
        <f t="shared" si="23"/>
        <v>#N/A</v>
      </c>
      <c r="T158">
        <f t="shared" si="24"/>
        <v>1329000</v>
      </c>
      <c r="U158">
        <f t="shared" si="25"/>
        <v>302</v>
      </c>
      <c r="V158" t="e">
        <f t="shared" si="26"/>
        <v>#N/A</v>
      </c>
      <c r="W158" t="e">
        <f t="shared" si="27"/>
        <v>#N/A</v>
      </c>
      <c r="X158" t="e">
        <f t="shared" si="28"/>
        <v>#N/A</v>
      </c>
      <c r="Y158" t="e">
        <f t="shared" si="29"/>
        <v>#N/A</v>
      </c>
    </row>
    <row r="159" spans="1:25" x14ac:dyDescent="0.2">
      <c r="A159">
        <v>1157</v>
      </c>
      <c r="B159" t="s">
        <v>48</v>
      </c>
      <c r="C159" t="s">
        <v>15</v>
      </c>
      <c r="D159">
        <v>2021</v>
      </c>
      <c r="E159" t="s">
        <v>16</v>
      </c>
      <c r="F159">
        <v>168</v>
      </c>
      <c r="G159">
        <v>4</v>
      </c>
      <c r="H159">
        <v>4</v>
      </c>
      <c r="I159">
        <v>419000</v>
      </c>
      <c r="J159">
        <v>2494</v>
      </c>
      <c r="K159">
        <v>1</v>
      </c>
      <c r="L159" t="s">
        <v>17</v>
      </c>
      <c r="M159">
        <v>57</v>
      </c>
      <c r="N159" t="s">
        <v>27</v>
      </c>
      <c r="P159" t="e">
        <f t="shared" si="20"/>
        <v>#N/A</v>
      </c>
      <c r="Q159" t="e">
        <f t="shared" si="21"/>
        <v>#N/A</v>
      </c>
      <c r="R159">
        <f t="shared" si="22"/>
        <v>419000</v>
      </c>
      <c r="S159">
        <f t="shared" si="23"/>
        <v>168</v>
      </c>
      <c r="T159" t="e">
        <f t="shared" si="24"/>
        <v>#N/A</v>
      </c>
      <c r="U159" t="e">
        <f t="shared" si="25"/>
        <v>#N/A</v>
      </c>
      <c r="V159" t="e">
        <f t="shared" si="26"/>
        <v>#N/A</v>
      </c>
      <c r="W159" t="e">
        <f t="shared" si="27"/>
        <v>#N/A</v>
      </c>
      <c r="X159" t="e">
        <f t="shared" si="28"/>
        <v>#N/A</v>
      </c>
      <c r="Y159" t="e">
        <f t="shared" si="29"/>
        <v>#N/A</v>
      </c>
    </row>
    <row r="160" spans="1:25" x14ac:dyDescent="0.2">
      <c r="A160">
        <v>1158</v>
      </c>
      <c r="B160" t="s">
        <v>32</v>
      </c>
      <c r="C160" t="s">
        <v>23</v>
      </c>
      <c r="D160">
        <v>2023</v>
      </c>
      <c r="E160" t="s">
        <v>26</v>
      </c>
      <c r="F160">
        <v>118</v>
      </c>
      <c r="G160">
        <v>4</v>
      </c>
      <c r="H160">
        <v>4</v>
      </c>
      <c r="I160">
        <v>386000</v>
      </c>
      <c r="J160">
        <v>3271.2</v>
      </c>
      <c r="K160">
        <v>1</v>
      </c>
      <c r="L160" t="s">
        <v>20</v>
      </c>
      <c r="M160">
        <v>81</v>
      </c>
      <c r="N160" t="s">
        <v>18</v>
      </c>
      <c r="P160" t="e">
        <f t="shared" si="20"/>
        <v>#N/A</v>
      </c>
      <c r="Q160" t="e">
        <f t="shared" si="21"/>
        <v>#N/A</v>
      </c>
      <c r="R160" t="e">
        <f t="shared" si="22"/>
        <v>#N/A</v>
      </c>
      <c r="S160" t="e">
        <f t="shared" si="23"/>
        <v>#N/A</v>
      </c>
      <c r="T160">
        <f t="shared" si="24"/>
        <v>386000</v>
      </c>
      <c r="U160">
        <f t="shared" si="25"/>
        <v>118</v>
      </c>
      <c r="V160" t="e">
        <f t="shared" si="26"/>
        <v>#N/A</v>
      </c>
      <c r="W160" t="e">
        <f t="shared" si="27"/>
        <v>#N/A</v>
      </c>
      <c r="X160" t="e">
        <f t="shared" si="28"/>
        <v>#N/A</v>
      </c>
      <c r="Y160" t="e">
        <f t="shared" si="29"/>
        <v>#N/A</v>
      </c>
    </row>
    <row r="161" spans="1:25" x14ac:dyDescent="0.2">
      <c r="A161">
        <v>1159</v>
      </c>
      <c r="B161" t="s">
        <v>45</v>
      </c>
      <c r="C161" t="s">
        <v>15</v>
      </c>
      <c r="D161">
        <v>2023</v>
      </c>
      <c r="E161" t="s">
        <v>26</v>
      </c>
      <c r="F161">
        <v>114</v>
      </c>
      <c r="G161">
        <v>4</v>
      </c>
      <c r="H161">
        <v>4</v>
      </c>
      <c r="I161">
        <v>466000</v>
      </c>
      <c r="J161">
        <v>4087.7</v>
      </c>
      <c r="K161">
        <v>20</v>
      </c>
      <c r="L161" t="s">
        <v>17</v>
      </c>
      <c r="M161">
        <v>35</v>
      </c>
      <c r="N161" t="s">
        <v>21</v>
      </c>
      <c r="P161" t="e">
        <f t="shared" si="20"/>
        <v>#N/A</v>
      </c>
      <c r="Q161" t="e">
        <f t="shared" si="21"/>
        <v>#N/A</v>
      </c>
      <c r="R161">
        <f t="shared" si="22"/>
        <v>466000</v>
      </c>
      <c r="S161">
        <f t="shared" si="23"/>
        <v>114</v>
      </c>
      <c r="T161" t="e">
        <f t="shared" si="24"/>
        <v>#N/A</v>
      </c>
      <c r="U161" t="e">
        <f t="shared" si="25"/>
        <v>#N/A</v>
      </c>
      <c r="V161" t="e">
        <f t="shared" si="26"/>
        <v>#N/A</v>
      </c>
      <c r="W161" t="e">
        <f t="shared" si="27"/>
        <v>#N/A</v>
      </c>
      <c r="X161" t="e">
        <f t="shared" si="28"/>
        <v>#N/A</v>
      </c>
      <c r="Y161" t="e">
        <f t="shared" si="29"/>
        <v>#N/A</v>
      </c>
    </row>
    <row r="162" spans="1:25" x14ac:dyDescent="0.2">
      <c r="A162">
        <v>1160</v>
      </c>
      <c r="B162" t="s">
        <v>22</v>
      </c>
      <c r="C162" t="s">
        <v>29</v>
      </c>
      <c r="D162">
        <v>2024</v>
      </c>
      <c r="E162" t="s">
        <v>26</v>
      </c>
      <c r="F162">
        <v>551</v>
      </c>
      <c r="G162">
        <v>4</v>
      </c>
      <c r="H162">
        <v>4</v>
      </c>
      <c r="I162">
        <v>3382000</v>
      </c>
      <c r="J162">
        <v>6137.9</v>
      </c>
      <c r="K162">
        <v>20</v>
      </c>
      <c r="L162" t="s">
        <v>17</v>
      </c>
      <c r="M162">
        <v>175</v>
      </c>
      <c r="N162" t="s">
        <v>18</v>
      </c>
      <c r="P162">
        <f t="shared" si="20"/>
        <v>3382000</v>
      </c>
      <c r="Q162">
        <f t="shared" si="21"/>
        <v>551</v>
      </c>
      <c r="R162" t="e">
        <f t="shared" si="22"/>
        <v>#N/A</v>
      </c>
      <c r="S162" t="e">
        <f t="shared" si="23"/>
        <v>#N/A</v>
      </c>
      <c r="T162" t="e">
        <f t="shared" si="24"/>
        <v>#N/A</v>
      </c>
      <c r="U162" t="e">
        <f t="shared" si="25"/>
        <v>#N/A</v>
      </c>
      <c r="V162" t="e">
        <f t="shared" si="26"/>
        <v>#N/A</v>
      </c>
      <c r="W162" t="e">
        <f t="shared" si="27"/>
        <v>#N/A</v>
      </c>
      <c r="X162" t="e">
        <f t="shared" si="28"/>
        <v>#N/A</v>
      </c>
      <c r="Y162" t="e">
        <f t="shared" si="29"/>
        <v>#N/A</v>
      </c>
    </row>
    <row r="163" spans="1:25" x14ac:dyDescent="0.2">
      <c r="A163">
        <v>1161</v>
      </c>
      <c r="B163" t="s">
        <v>40</v>
      </c>
      <c r="C163" t="s">
        <v>29</v>
      </c>
      <c r="D163">
        <v>2021</v>
      </c>
      <c r="E163" t="s">
        <v>30</v>
      </c>
      <c r="F163">
        <v>306</v>
      </c>
      <c r="G163">
        <v>6</v>
      </c>
      <c r="H163">
        <v>6</v>
      </c>
      <c r="I163">
        <v>1312000</v>
      </c>
      <c r="J163">
        <v>4287.6000000000004</v>
      </c>
      <c r="K163">
        <v>4</v>
      </c>
      <c r="L163" t="s">
        <v>34</v>
      </c>
      <c r="M163">
        <v>78</v>
      </c>
      <c r="N163" t="s">
        <v>18</v>
      </c>
      <c r="P163">
        <f t="shared" si="20"/>
        <v>1312000</v>
      </c>
      <c r="Q163">
        <f t="shared" si="21"/>
        <v>306</v>
      </c>
      <c r="R163" t="e">
        <f t="shared" si="22"/>
        <v>#N/A</v>
      </c>
      <c r="S163" t="e">
        <f t="shared" si="23"/>
        <v>#N/A</v>
      </c>
      <c r="T163" t="e">
        <f t="shared" si="24"/>
        <v>#N/A</v>
      </c>
      <c r="U163" t="e">
        <f t="shared" si="25"/>
        <v>#N/A</v>
      </c>
      <c r="V163" t="e">
        <f t="shared" si="26"/>
        <v>#N/A</v>
      </c>
      <c r="W163" t="e">
        <f t="shared" si="27"/>
        <v>#N/A</v>
      </c>
      <c r="X163" t="e">
        <f t="shared" si="28"/>
        <v>#N/A</v>
      </c>
      <c r="Y163" t="e">
        <f t="shared" si="29"/>
        <v>#N/A</v>
      </c>
    </row>
    <row r="164" spans="1:25" x14ac:dyDescent="0.2">
      <c r="A164">
        <v>1162</v>
      </c>
      <c r="B164" t="s">
        <v>35</v>
      </c>
      <c r="C164" t="s">
        <v>23</v>
      </c>
      <c r="D164">
        <v>2024</v>
      </c>
      <c r="E164" t="s">
        <v>24</v>
      </c>
      <c r="F164">
        <v>352</v>
      </c>
      <c r="G164">
        <v>5</v>
      </c>
      <c r="H164">
        <v>5</v>
      </c>
      <c r="I164">
        <v>1600000</v>
      </c>
      <c r="J164">
        <v>4545.5</v>
      </c>
      <c r="K164">
        <v>5</v>
      </c>
      <c r="L164" t="s">
        <v>17</v>
      </c>
      <c r="M164">
        <v>52</v>
      </c>
      <c r="N164" t="s">
        <v>18</v>
      </c>
      <c r="P164" t="e">
        <f t="shared" si="20"/>
        <v>#N/A</v>
      </c>
      <c r="Q164" t="e">
        <f t="shared" si="21"/>
        <v>#N/A</v>
      </c>
      <c r="R164" t="e">
        <f t="shared" si="22"/>
        <v>#N/A</v>
      </c>
      <c r="S164" t="e">
        <f t="shared" si="23"/>
        <v>#N/A</v>
      </c>
      <c r="T164">
        <f t="shared" si="24"/>
        <v>1600000</v>
      </c>
      <c r="U164">
        <f t="shared" si="25"/>
        <v>352</v>
      </c>
      <c r="V164" t="e">
        <f t="shared" si="26"/>
        <v>#N/A</v>
      </c>
      <c r="W164" t="e">
        <f t="shared" si="27"/>
        <v>#N/A</v>
      </c>
      <c r="X164" t="e">
        <f t="shared" si="28"/>
        <v>#N/A</v>
      </c>
      <c r="Y164" t="e">
        <f t="shared" si="29"/>
        <v>#N/A</v>
      </c>
    </row>
    <row r="165" spans="1:25" x14ac:dyDescent="0.2">
      <c r="A165">
        <v>1163</v>
      </c>
      <c r="B165" t="s">
        <v>47</v>
      </c>
      <c r="C165" t="s">
        <v>29</v>
      </c>
      <c r="D165">
        <v>2023</v>
      </c>
      <c r="E165" t="s">
        <v>30</v>
      </c>
      <c r="F165">
        <v>305</v>
      </c>
      <c r="G165">
        <v>6</v>
      </c>
      <c r="H165">
        <v>6</v>
      </c>
      <c r="I165">
        <v>1545000</v>
      </c>
      <c r="J165">
        <v>5065.6000000000004</v>
      </c>
      <c r="K165">
        <v>10</v>
      </c>
      <c r="L165" t="s">
        <v>17</v>
      </c>
      <c r="M165">
        <v>170</v>
      </c>
      <c r="N165" t="s">
        <v>21</v>
      </c>
      <c r="P165">
        <f t="shared" si="20"/>
        <v>1545000</v>
      </c>
      <c r="Q165">
        <f t="shared" si="21"/>
        <v>305</v>
      </c>
      <c r="R165" t="e">
        <f t="shared" si="22"/>
        <v>#N/A</v>
      </c>
      <c r="S165" t="e">
        <f t="shared" si="23"/>
        <v>#N/A</v>
      </c>
      <c r="T165" t="e">
        <f t="shared" si="24"/>
        <v>#N/A</v>
      </c>
      <c r="U165" t="e">
        <f t="shared" si="25"/>
        <v>#N/A</v>
      </c>
      <c r="V165" t="e">
        <f t="shared" si="26"/>
        <v>#N/A</v>
      </c>
      <c r="W165" t="e">
        <f t="shared" si="27"/>
        <v>#N/A</v>
      </c>
      <c r="X165" t="e">
        <f t="shared" si="28"/>
        <v>#N/A</v>
      </c>
      <c r="Y165" t="e">
        <f t="shared" si="29"/>
        <v>#N/A</v>
      </c>
    </row>
    <row r="166" spans="1:25" x14ac:dyDescent="0.2">
      <c r="A166">
        <v>1164</v>
      </c>
      <c r="B166" t="s">
        <v>45</v>
      </c>
      <c r="C166" t="s">
        <v>15</v>
      </c>
      <c r="D166">
        <v>2024</v>
      </c>
      <c r="E166" t="s">
        <v>30</v>
      </c>
      <c r="F166">
        <v>116</v>
      </c>
      <c r="G166">
        <v>2</v>
      </c>
      <c r="H166">
        <v>2</v>
      </c>
      <c r="I166">
        <v>473000</v>
      </c>
      <c r="J166">
        <v>4077.6</v>
      </c>
      <c r="K166">
        <v>2</v>
      </c>
      <c r="L166" t="s">
        <v>17</v>
      </c>
      <c r="M166">
        <v>83</v>
      </c>
      <c r="N166" t="s">
        <v>21</v>
      </c>
      <c r="P166" t="e">
        <f t="shared" si="20"/>
        <v>#N/A</v>
      </c>
      <c r="Q166" t="e">
        <f t="shared" si="21"/>
        <v>#N/A</v>
      </c>
      <c r="R166">
        <f t="shared" si="22"/>
        <v>473000</v>
      </c>
      <c r="S166">
        <f t="shared" si="23"/>
        <v>116</v>
      </c>
      <c r="T166" t="e">
        <f t="shared" si="24"/>
        <v>#N/A</v>
      </c>
      <c r="U166" t="e">
        <f t="shared" si="25"/>
        <v>#N/A</v>
      </c>
      <c r="V166" t="e">
        <f t="shared" si="26"/>
        <v>#N/A</v>
      </c>
      <c r="W166" t="e">
        <f t="shared" si="27"/>
        <v>#N/A</v>
      </c>
      <c r="X166" t="e">
        <f t="shared" si="28"/>
        <v>#N/A</v>
      </c>
      <c r="Y166" t="e">
        <f t="shared" si="29"/>
        <v>#N/A</v>
      </c>
    </row>
    <row r="167" spans="1:25" x14ac:dyDescent="0.2">
      <c r="A167">
        <v>1165</v>
      </c>
      <c r="B167" t="s">
        <v>25</v>
      </c>
      <c r="C167" t="s">
        <v>38</v>
      </c>
      <c r="D167">
        <v>2022</v>
      </c>
      <c r="E167" t="s">
        <v>24</v>
      </c>
      <c r="F167">
        <v>60</v>
      </c>
      <c r="G167">
        <v>0</v>
      </c>
      <c r="H167">
        <v>1</v>
      </c>
      <c r="I167">
        <v>197000</v>
      </c>
      <c r="J167">
        <v>3283.3</v>
      </c>
      <c r="K167">
        <v>10</v>
      </c>
      <c r="L167" t="s">
        <v>20</v>
      </c>
      <c r="M167">
        <v>61</v>
      </c>
      <c r="N167" t="s">
        <v>27</v>
      </c>
      <c r="P167" t="e">
        <f t="shared" si="20"/>
        <v>#N/A</v>
      </c>
      <c r="Q167" t="e">
        <f t="shared" si="21"/>
        <v>#N/A</v>
      </c>
      <c r="R167" t="e">
        <f t="shared" si="22"/>
        <v>#N/A</v>
      </c>
      <c r="S167" t="e">
        <f t="shared" si="23"/>
        <v>#N/A</v>
      </c>
      <c r="T167" t="e">
        <f t="shared" si="24"/>
        <v>#N/A</v>
      </c>
      <c r="U167" t="e">
        <f t="shared" si="25"/>
        <v>#N/A</v>
      </c>
      <c r="V167">
        <f t="shared" si="26"/>
        <v>197000</v>
      </c>
      <c r="W167">
        <f t="shared" si="27"/>
        <v>60</v>
      </c>
      <c r="X167" t="e">
        <f t="shared" si="28"/>
        <v>#N/A</v>
      </c>
      <c r="Y167" t="e">
        <f t="shared" si="29"/>
        <v>#N/A</v>
      </c>
    </row>
    <row r="168" spans="1:25" x14ac:dyDescent="0.2">
      <c r="A168">
        <v>1166</v>
      </c>
      <c r="B168" t="s">
        <v>37</v>
      </c>
      <c r="C168" t="s">
        <v>29</v>
      </c>
      <c r="D168">
        <v>2023</v>
      </c>
      <c r="E168" t="s">
        <v>26</v>
      </c>
      <c r="F168">
        <v>426</v>
      </c>
      <c r="G168">
        <v>5</v>
      </c>
      <c r="H168">
        <v>5</v>
      </c>
      <c r="I168">
        <v>3008000</v>
      </c>
      <c r="J168">
        <v>7061</v>
      </c>
      <c r="K168">
        <v>0</v>
      </c>
      <c r="L168" t="s">
        <v>17</v>
      </c>
      <c r="M168">
        <v>56</v>
      </c>
      <c r="N168" t="s">
        <v>27</v>
      </c>
      <c r="P168">
        <f t="shared" si="20"/>
        <v>3008000</v>
      </c>
      <c r="Q168">
        <f t="shared" si="21"/>
        <v>426</v>
      </c>
      <c r="R168" t="e">
        <f t="shared" si="22"/>
        <v>#N/A</v>
      </c>
      <c r="S168" t="e">
        <f t="shared" si="23"/>
        <v>#N/A</v>
      </c>
      <c r="T168" t="e">
        <f t="shared" si="24"/>
        <v>#N/A</v>
      </c>
      <c r="U168" t="e">
        <f t="shared" si="25"/>
        <v>#N/A</v>
      </c>
      <c r="V168" t="e">
        <f t="shared" si="26"/>
        <v>#N/A</v>
      </c>
      <c r="W168" t="e">
        <f t="shared" si="27"/>
        <v>#N/A</v>
      </c>
      <c r="X168" t="e">
        <f t="shared" si="28"/>
        <v>#N/A</v>
      </c>
      <c r="Y168" t="e">
        <f t="shared" si="29"/>
        <v>#N/A</v>
      </c>
    </row>
    <row r="169" spans="1:25" x14ac:dyDescent="0.2">
      <c r="A169">
        <v>1167</v>
      </c>
      <c r="B169" t="s">
        <v>41</v>
      </c>
      <c r="C169" t="s">
        <v>29</v>
      </c>
      <c r="D169">
        <v>2023</v>
      </c>
      <c r="E169" t="s">
        <v>16</v>
      </c>
      <c r="F169">
        <v>389</v>
      </c>
      <c r="G169">
        <v>5</v>
      </c>
      <c r="H169">
        <v>5</v>
      </c>
      <c r="I169">
        <v>2942000</v>
      </c>
      <c r="J169">
        <v>7563</v>
      </c>
      <c r="K169">
        <v>7</v>
      </c>
      <c r="L169" t="s">
        <v>17</v>
      </c>
      <c r="M169">
        <v>152</v>
      </c>
      <c r="N169" t="s">
        <v>21</v>
      </c>
      <c r="P169">
        <f t="shared" si="20"/>
        <v>2942000</v>
      </c>
      <c r="Q169">
        <f t="shared" si="21"/>
        <v>389</v>
      </c>
      <c r="R169" t="e">
        <f t="shared" si="22"/>
        <v>#N/A</v>
      </c>
      <c r="S169" t="e">
        <f t="shared" si="23"/>
        <v>#N/A</v>
      </c>
      <c r="T169" t="e">
        <f t="shared" si="24"/>
        <v>#N/A</v>
      </c>
      <c r="U169" t="e">
        <f t="shared" si="25"/>
        <v>#N/A</v>
      </c>
      <c r="V169" t="e">
        <f t="shared" si="26"/>
        <v>#N/A</v>
      </c>
      <c r="W169" t="e">
        <f t="shared" si="27"/>
        <v>#N/A</v>
      </c>
      <c r="X169" t="e">
        <f t="shared" si="28"/>
        <v>#N/A</v>
      </c>
      <c r="Y169" t="e">
        <f t="shared" si="29"/>
        <v>#N/A</v>
      </c>
    </row>
    <row r="170" spans="1:25" x14ac:dyDescent="0.2">
      <c r="A170">
        <v>1168</v>
      </c>
      <c r="B170" t="s">
        <v>45</v>
      </c>
      <c r="C170" t="s">
        <v>38</v>
      </c>
      <c r="D170">
        <v>2022</v>
      </c>
      <c r="E170" t="s">
        <v>30</v>
      </c>
      <c r="F170">
        <v>71</v>
      </c>
      <c r="G170">
        <v>0</v>
      </c>
      <c r="H170">
        <v>1</v>
      </c>
      <c r="I170">
        <v>355000</v>
      </c>
      <c r="J170">
        <v>5000</v>
      </c>
      <c r="K170">
        <v>2</v>
      </c>
      <c r="L170" t="s">
        <v>20</v>
      </c>
      <c r="M170">
        <v>125</v>
      </c>
      <c r="N170" t="s">
        <v>21</v>
      </c>
      <c r="P170" t="e">
        <f t="shared" si="20"/>
        <v>#N/A</v>
      </c>
      <c r="Q170" t="e">
        <f t="shared" si="21"/>
        <v>#N/A</v>
      </c>
      <c r="R170" t="e">
        <f t="shared" si="22"/>
        <v>#N/A</v>
      </c>
      <c r="S170" t="e">
        <f t="shared" si="23"/>
        <v>#N/A</v>
      </c>
      <c r="T170" t="e">
        <f t="shared" si="24"/>
        <v>#N/A</v>
      </c>
      <c r="U170" t="e">
        <f t="shared" si="25"/>
        <v>#N/A</v>
      </c>
      <c r="V170">
        <f t="shared" si="26"/>
        <v>355000</v>
      </c>
      <c r="W170">
        <f t="shared" si="27"/>
        <v>71</v>
      </c>
      <c r="X170" t="e">
        <f t="shared" si="28"/>
        <v>#N/A</v>
      </c>
      <c r="Y170" t="e">
        <f t="shared" si="29"/>
        <v>#N/A</v>
      </c>
    </row>
    <row r="171" spans="1:25" x14ac:dyDescent="0.2">
      <c r="A171">
        <v>1169</v>
      </c>
      <c r="B171" t="s">
        <v>42</v>
      </c>
      <c r="C171" t="s">
        <v>29</v>
      </c>
      <c r="D171">
        <v>2024</v>
      </c>
      <c r="E171" t="s">
        <v>30</v>
      </c>
      <c r="F171">
        <v>321</v>
      </c>
      <c r="G171">
        <v>5</v>
      </c>
      <c r="H171">
        <v>5</v>
      </c>
      <c r="I171">
        <v>2437000</v>
      </c>
      <c r="J171">
        <v>7591.9</v>
      </c>
      <c r="K171">
        <v>4</v>
      </c>
      <c r="L171" t="s">
        <v>17</v>
      </c>
      <c r="M171">
        <v>173</v>
      </c>
      <c r="N171" t="s">
        <v>21</v>
      </c>
      <c r="P171">
        <f t="shared" si="20"/>
        <v>2437000</v>
      </c>
      <c r="Q171">
        <f t="shared" si="21"/>
        <v>321</v>
      </c>
      <c r="R171" t="e">
        <f t="shared" si="22"/>
        <v>#N/A</v>
      </c>
      <c r="S171" t="e">
        <f t="shared" si="23"/>
        <v>#N/A</v>
      </c>
      <c r="T171" t="e">
        <f t="shared" si="24"/>
        <v>#N/A</v>
      </c>
      <c r="U171" t="e">
        <f t="shared" si="25"/>
        <v>#N/A</v>
      </c>
      <c r="V171" t="e">
        <f t="shared" si="26"/>
        <v>#N/A</v>
      </c>
      <c r="W171" t="e">
        <f t="shared" si="27"/>
        <v>#N/A</v>
      </c>
      <c r="X171" t="e">
        <f t="shared" si="28"/>
        <v>#N/A</v>
      </c>
      <c r="Y171" t="e">
        <f t="shared" si="29"/>
        <v>#N/A</v>
      </c>
    </row>
    <row r="172" spans="1:25" x14ac:dyDescent="0.2">
      <c r="A172">
        <v>1170</v>
      </c>
      <c r="B172" t="s">
        <v>48</v>
      </c>
      <c r="C172" t="s">
        <v>38</v>
      </c>
      <c r="D172">
        <v>2023</v>
      </c>
      <c r="E172" t="s">
        <v>24</v>
      </c>
      <c r="F172">
        <v>53</v>
      </c>
      <c r="G172">
        <v>0</v>
      </c>
      <c r="H172">
        <v>1</v>
      </c>
      <c r="I172">
        <v>234000</v>
      </c>
      <c r="J172">
        <v>4415.1000000000004</v>
      </c>
      <c r="K172">
        <v>2</v>
      </c>
      <c r="L172" t="s">
        <v>20</v>
      </c>
      <c r="M172">
        <v>170</v>
      </c>
      <c r="N172" t="s">
        <v>27</v>
      </c>
      <c r="P172" t="e">
        <f t="shared" si="20"/>
        <v>#N/A</v>
      </c>
      <c r="Q172" t="e">
        <f t="shared" si="21"/>
        <v>#N/A</v>
      </c>
      <c r="R172" t="e">
        <f t="shared" si="22"/>
        <v>#N/A</v>
      </c>
      <c r="S172" t="e">
        <f t="shared" si="23"/>
        <v>#N/A</v>
      </c>
      <c r="T172" t="e">
        <f t="shared" si="24"/>
        <v>#N/A</v>
      </c>
      <c r="U172" t="e">
        <f t="shared" si="25"/>
        <v>#N/A</v>
      </c>
      <c r="V172">
        <f t="shared" si="26"/>
        <v>234000</v>
      </c>
      <c r="W172">
        <f t="shared" si="27"/>
        <v>53</v>
      </c>
      <c r="X172" t="e">
        <f t="shared" si="28"/>
        <v>#N/A</v>
      </c>
      <c r="Y172" t="e">
        <f t="shared" si="29"/>
        <v>#N/A</v>
      </c>
    </row>
    <row r="173" spans="1:25" x14ac:dyDescent="0.2">
      <c r="A173">
        <v>1171</v>
      </c>
      <c r="B173" t="s">
        <v>44</v>
      </c>
      <c r="C173" t="s">
        <v>23</v>
      </c>
      <c r="D173">
        <v>2022</v>
      </c>
      <c r="E173" t="s">
        <v>26</v>
      </c>
      <c r="F173">
        <v>309</v>
      </c>
      <c r="G173">
        <v>5</v>
      </c>
      <c r="H173">
        <v>5</v>
      </c>
      <c r="I173">
        <v>1145000</v>
      </c>
      <c r="J173">
        <v>3705.5</v>
      </c>
      <c r="K173">
        <v>20</v>
      </c>
      <c r="L173" t="s">
        <v>34</v>
      </c>
      <c r="M173">
        <v>50</v>
      </c>
      <c r="N173" t="s">
        <v>18</v>
      </c>
      <c r="P173" t="e">
        <f t="shared" si="20"/>
        <v>#N/A</v>
      </c>
      <c r="Q173" t="e">
        <f t="shared" si="21"/>
        <v>#N/A</v>
      </c>
      <c r="R173" t="e">
        <f t="shared" si="22"/>
        <v>#N/A</v>
      </c>
      <c r="S173" t="e">
        <f t="shared" si="23"/>
        <v>#N/A</v>
      </c>
      <c r="T173">
        <f t="shared" si="24"/>
        <v>1145000</v>
      </c>
      <c r="U173">
        <f t="shared" si="25"/>
        <v>309</v>
      </c>
      <c r="V173" t="e">
        <f t="shared" si="26"/>
        <v>#N/A</v>
      </c>
      <c r="W173" t="e">
        <f t="shared" si="27"/>
        <v>#N/A</v>
      </c>
      <c r="X173" t="e">
        <f t="shared" si="28"/>
        <v>#N/A</v>
      </c>
      <c r="Y173" t="e">
        <f t="shared" si="29"/>
        <v>#N/A</v>
      </c>
    </row>
    <row r="174" spans="1:25" x14ac:dyDescent="0.2">
      <c r="A174">
        <v>1172</v>
      </c>
      <c r="B174" t="s">
        <v>14</v>
      </c>
      <c r="C174" t="s">
        <v>29</v>
      </c>
      <c r="D174">
        <v>2024</v>
      </c>
      <c r="E174" t="s">
        <v>26</v>
      </c>
      <c r="F174">
        <v>442</v>
      </c>
      <c r="G174">
        <v>5</v>
      </c>
      <c r="H174">
        <v>5</v>
      </c>
      <c r="I174">
        <v>2586000</v>
      </c>
      <c r="J174">
        <v>5850.7</v>
      </c>
      <c r="K174">
        <v>2</v>
      </c>
      <c r="L174" t="s">
        <v>17</v>
      </c>
      <c r="M174">
        <v>63</v>
      </c>
      <c r="N174" t="s">
        <v>18</v>
      </c>
      <c r="P174">
        <f t="shared" si="20"/>
        <v>2586000</v>
      </c>
      <c r="Q174">
        <f t="shared" si="21"/>
        <v>442</v>
      </c>
      <c r="R174" t="e">
        <f t="shared" si="22"/>
        <v>#N/A</v>
      </c>
      <c r="S174" t="e">
        <f t="shared" si="23"/>
        <v>#N/A</v>
      </c>
      <c r="T174" t="e">
        <f t="shared" si="24"/>
        <v>#N/A</v>
      </c>
      <c r="U174" t="e">
        <f t="shared" si="25"/>
        <v>#N/A</v>
      </c>
      <c r="V174" t="e">
        <f t="shared" si="26"/>
        <v>#N/A</v>
      </c>
      <c r="W174" t="e">
        <f t="shared" si="27"/>
        <v>#N/A</v>
      </c>
      <c r="X174" t="e">
        <f t="shared" si="28"/>
        <v>#N/A</v>
      </c>
      <c r="Y174" t="e">
        <f t="shared" si="29"/>
        <v>#N/A</v>
      </c>
    </row>
    <row r="175" spans="1:25" x14ac:dyDescent="0.2">
      <c r="A175">
        <v>1173</v>
      </c>
      <c r="B175" t="s">
        <v>48</v>
      </c>
      <c r="C175" t="s">
        <v>23</v>
      </c>
      <c r="D175">
        <v>2024</v>
      </c>
      <c r="E175" t="s">
        <v>16</v>
      </c>
      <c r="F175">
        <v>249</v>
      </c>
      <c r="G175">
        <v>4</v>
      </c>
      <c r="H175">
        <v>4</v>
      </c>
      <c r="I175">
        <v>936000</v>
      </c>
      <c r="J175">
        <v>3759</v>
      </c>
      <c r="K175">
        <v>0</v>
      </c>
      <c r="L175" t="s">
        <v>17</v>
      </c>
      <c r="M175">
        <v>44</v>
      </c>
      <c r="N175" t="s">
        <v>27</v>
      </c>
      <c r="P175" t="e">
        <f t="shared" si="20"/>
        <v>#N/A</v>
      </c>
      <c r="Q175" t="e">
        <f t="shared" si="21"/>
        <v>#N/A</v>
      </c>
      <c r="R175" t="e">
        <f t="shared" si="22"/>
        <v>#N/A</v>
      </c>
      <c r="S175" t="e">
        <f t="shared" si="23"/>
        <v>#N/A</v>
      </c>
      <c r="T175">
        <f t="shared" si="24"/>
        <v>936000</v>
      </c>
      <c r="U175">
        <f t="shared" si="25"/>
        <v>249</v>
      </c>
      <c r="V175" t="e">
        <f t="shared" si="26"/>
        <v>#N/A</v>
      </c>
      <c r="W175" t="e">
        <f t="shared" si="27"/>
        <v>#N/A</v>
      </c>
      <c r="X175" t="e">
        <f t="shared" si="28"/>
        <v>#N/A</v>
      </c>
      <c r="Y175" t="e">
        <f t="shared" si="29"/>
        <v>#N/A</v>
      </c>
    </row>
    <row r="176" spans="1:25" x14ac:dyDescent="0.2">
      <c r="A176">
        <v>1174</v>
      </c>
      <c r="B176" t="s">
        <v>19</v>
      </c>
      <c r="C176" t="s">
        <v>23</v>
      </c>
      <c r="D176">
        <v>2022</v>
      </c>
      <c r="E176" t="s">
        <v>16</v>
      </c>
      <c r="F176">
        <v>251</v>
      </c>
      <c r="G176">
        <v>3</v>
      </c>
      <c r="H176">
        <v>3</v>
      </c>
      <c r="I176">
        <v>846000</v>
      </c>
      <c r="J176">
        <v>3370.5</v>
      </c>
      <c r="K176">
        <v>7</v>
      </c>
      <c r="L176" t="s">
        <v>20</v>
      </c>
      <c r="M176">
        <v>139</v>
      </c>
      <c r="N176" t="s">
        <v>21</v>
      </c>
      <c r="P176" t="e">
        <f t="shared" si="20"/>
        <v>#N/A</v>
      </c>
      <c r="Q176" t="e">
        <f t="shared" si="21"/>
        <v>#N/A</v>
      </c>
      <c r="R176" t="e">
        <f t="shared" si="22"/>
        <v>#N/A</v>
      </c>
      <c r="S176" t="e">
        <f t="shared" si="23"/>
        <v>#N/A</v>
      </c>
      <c r="T176">
        <f t="shared" si="24"/>
        <v>846000</v>
      </c>
      <c r="U176">
        <f t="shared" si="25"/>
        <v>251</v>
      </c>
      <c r="V176" t="e">
        <f t="shared" si="26"/>
        <v>#N/A</v>
      </c>
      <c r="W176" t="e">
        <f t="shared" si="27"/>
        <v>#N/A</v>
      </c>
      <c r="X176" t="e">
        <f t="shared" si="28"/>
        <v>#N/A</v>
      </c>
      <c r="Y176" t="e">
        <f t="shared" si="29"/>
        <v>#N/A</v>
      </c>
    </row>
    <row r="177" spans="1:25" x14ac:dyDescent="0.2">
      <c r="A177">
        <v>1175</v>
      </c>
      <c r="B177" t="s">
        <v>41</v>
      </c>
      <c r="C177" t="s">
        <v>36</v>
      </c>
      <c r="D177">
        <v>2022</v>
      </c>
      <c r="E177" t="s">
        <v>26</v>
      </c>
      <c r="F177">
        <v>401</v>
      </c>
      <c r="G177">
        <v>4</v>
      </c>
      <c r="H177">
        <v>4</v>
      </c>
      <c r="I177">
        <v>1444000</v>
      </c>
      <c r="J177">
        <v>3601</v>
      </c>
      <c r="K177">
        <v>2</v>
      </c>
      <c r="L177" t="s">
        <v>17</v>
      </c>
      <c r="M177">
        <v>164</v>
      </c>
      <c r="N177" t="s">
        <v>21</v>
      </c>
      <c r="P177" t="e">
        <f t="shared" si="20"/>
        <v>#N/A</v>
      </c>
      <c r="Q177" t="e">
        <f t="shared" si="21"/>
        <v>#N/A</v>
      </c>
      <c r="R177" t="e">
        <f t="shared" si="22"/>
        <v>#N/A</v>
      </c>
      <c r="S177" t="e">
        <f t="shared" si="23"/>
        <v>#N/A</v>
      </c>
      <c r="T177" t="e">
        <f t="shared" si="24"/>
        <v>#N/A</v>
      </c>
      <c r="U177" t="e">
        <f t="shared" si="25"/>
        <v>#N/A</v>
      </c>
      <c r="V177" t="e">
        <f t="shared" si="26"/>
        <v>#N/A</v>
      </c>
      <c r="W177" t="e">
        <f t="shared" si="27"/>
        <v>#N/A</v>
      </c>
      <c r="X177">
        <f t="shared" si="28"/>
        <v>1444000</v>
      </c>
      <c r="Y177">
        <f t="shared" si="29"/>
        <v>401</v>
      </c>
    </row>
    <row r="178" spans="1:25" x14ac:dyDescent="0.2">
      <c r="A178">
        <v>1176</v>
      </c>
      <c r="B178" t="s">
        <v>39</v>
      </c>
      <c r="C178" t="s">
        <v>23</v>
      </c>
      <c r="D178">
        <v>2022</v>
      </c>
      <c r="E178" t="s">
        <v>30</v>
      </c>
      <c r="F178">
        <v>325</v>
      </c>
      <c r="G178">
        <v>5</v>
      </c>
      <c r="H178">
        <v>5</v>
      </c>
      <c r="I178">
        <v>1458000</v>
      </c>
      <c r="J178">
        <v>4486.2</v>
      </c>
      <c r="K178">
        <v>20</v>
      </c>
      <c r="L178" t="s">
        <v>17</v>
      </c>
      <c r="M178">
        <v>90</v>
      </c>
      <c r="N178" t="s">
        <v>21</v>
      </c>
      <c r="P178" t="e">
        <f t="shared" si="20"/>
        <v>#N/A</v>
      </c>
      <c r="Q178" t="e">
        <f t="shared" si="21"/>
        <v>#N/A</v>
      </c>
      <c r="R178" t="e">
        <f t="shared" si="22"/>
        <v>#N/A</v>
      </c>
      <c r="S178" t="e">
        <f t="shared" si="23"/>
        <v>#N/A</v>
      </c>
      <c r="T178">
        <f t="shared" si="24"/>
        <v>1458000</v>
      </c>
      <c r="U178">
        <f t="shared" si="25"/>
        <v>325</v>
      </c>
      <c r="V178" t="e">
        <f t="shared" si="26"/>
        <v>#N/A</v>
      </c>
      <c r="W178" t="e">
        <f t="shared" si="27"/>
        <v>#N/A</v>
      </c>
      <c r="X178" t="e">
        <f t="shared" si="28"/>
        <v>#N/A</v>
      </c>
      <c r="Y178" t="e">
        <f t="shared" si="29"/>
        <v>#N/A</v>
      </c>
    </row>
    <row r="179" spans="1:25" x14ac:dyDescent="0.2">
      <c r="A179">
        <v>1177</v>
      </c>
      <c r="B179" t="s">
        <v>44</v>
      </c>
      <c r="C179" t="s">
        <v>38</v>
      </c>
      <c r="D179">
        <v>2021</v>
      </c>
      <c r="E179" t="s">
        <v>24</v>
      </c>
      <c r="F179">
        <v>58</v>
      </c>
      <c r="G179">
        <v>0</v>
      </c>
      <c r="H179">
        <v>1</v>
      </c>
      <c r="I179">
        <v>221000</v>
      </c>
      <c r="J179">
        <v>3810.3</v>
      </c>
      <c r="K179">
        <v>20</v>
      </c>
      <c r="L179" t="s">
        <v>17</v>
      </c>
      <c r="M179">
        <v>89</v>
      </c>
      <c r="N179" t="s">
        <v>18</v>
      </c>
      <c r="P179" t="e">
        <f t="shared" si="20"/>
        <v>#N/A</v>
      </c>
      <c r="Q179" t="e">
        <f t="shared" si="21"/>
        <v>#N/A</v>
      </c>
      <c r="R179" t="e">
        <f t="shared" si="22"/>
        <v>#N/A</v>
      </c>
      <c r="S179" t="e">
        <f t="shared" si="23"/>
        <v>#N/A</v>
      </c>
      <c r="T179" t="e">
        <f t="shared" si="24"/>
        <v>#N/A</v>
      </c>
      <c r="U179" t="e">
        <f t="shared" si="25"/>
        <v>#N/A</v>
      </c>
      <c r="V179">
        <f t="shared" si="26"/>
        <v>221000</v>
      </c>
      <c r="W179">
        <f t="shared" si="27"/>
        <v>58</v>
      </c>
      <c r="X179" t="e">
        <f t="shared" si="28"/>
        <v>#N/A</v>
      </c>
      <c r="Y179" t="e">
        <f t="shared" si="29"/>
        <v>#N/A</v>
      </c>
    </row>
    <row r="180" spans="1:25" x14ac:dyDescent="0.2">
      <c r="A180">
        <v>1178</v>
      </c>
      <c r="B180" t="s">
        <v>45</v>
      </c>
      <c r="C180" t="s">
        <v>38</v>
      </c>
      <c r="D180">
        <v>2024</v>
      </c>
      <c r="E180" t="s">
        <v>24</v>
      </c>
      <c r="F180">
        <v>47</v>
      </c>
      <c r="G180">
        <v>0</v>
      </c>
      <c r="H180">
        <v>1</v>
      </c>
      <c r="I180">
        <v>282000</v>
      </c>
      <c r="J180">
        <v>6000</v>
      </c>
      <c r="K180">
        <v>10</v>
      </c>
      <c r="L180" t="s">
        <v>17</v>
      </c>
      <c r="M180">
        <v>130</v>
      </c>
      <c r="N180" t="s">
        <v>21</v>
      </c>
      <c r="P180" t="e">
        <f t="shared" si="20"/>
        <v>#N/A</v>
      </c>
      <c r="Q180" t="e">
        <f t="shared" si="21"/>
        <v>#N/A</v>
      </c>
      <c r="R180" t="e">
        <f t="shared" si="22"/>
        <v>#N/A</v>
      </c>
      <c r="S180" t="e">
        <f t="shared" si="23"/>
        <v>#N/A</v>
      </c>
      <c r="T180" t="e">
        <f t="shared" si="24"/>
        <v>#N/A</v>
      </c>
      <c r="U180" t="e">
        <f t="shared" si="25"/>
        <v>#N/A</v>
      </c>
      <c r="V180">
        <f t="shared" si="26"/>
        <v>282000</v>
      </c>
      <c r="W180">
        <f t="shared" si="27"/>
        <v>47</v>
      </c>
      <c r="X180" t="e">
        <f t="shared" si="28"/>
        <v>#N/A</v>
      </c>
      <c r="Y180" t="e">
        <f t="shared" si="29"/>
        <v>#N/A</v>
      </c>
    </row>
    <row r="181" spans="1:25" x14ac:dyDescent="0.2">
      <c r="A181">
        <v>1179</v>
      </c>
      <c r="B181" t="s">
        <v>41</v>
      </c>
      <c r="C181" t="s">
        <v>23</v>
      </c>
      <c r="D181">
        <v>2023</v>
      </c>
      <c r="E181" t="s">
        <v>16</v>
      </c>
      <c r="F181">
        <v>252</v>
      </c>
      <c r="G181">
        <v>5</v>
      </c>
      <c r="H181">
        <v>5</v>
      </c>
      <c r="I181">
        <v>1522000</v>
      </c>
      <c r="J181">
        <v>6039.7</v>
      </c>
      <c r="K181">
        <v>2</v>
      </c>
      <c r="L181" t="s">
        <v>17</v>
      </c>
      <c r="M181">
        <v>18</v>
      </c>
      <c r="N181" t="s">
        <v>21</v>
      </c>
      <c r="P181" t="e">
        <f t="shared" si="20"/>
        <v>#N/A</v>
      </c>
      <c r="Q181" t="e">
        <f t="shared" si="21"/>
        <v>#N/A</v>
      </c>
      <c r="R181" t="e">
        <f t="shared" si="22"/>
        <v>#N/A</v>
      </c>
      <c r="S181" t="e">
        <f t="shared" si="23"/>
        <v>#N/A</v>
      </c>
      <c r="T181">
        <f t="shared" si="24"/>
        <v>1522000</v>
      </c>
      <c r="U181">
        <f t="shared" si="25"/>
        <v>252</v>
      </c>
      <c r="V181" t="e">
        <f t="shared" si="26"/>
        <v>#N/A</v>
      </c>
      <c r="W181" t="e">
        <f t="shared" si="27"/>
        <v>#N/A</v>
      </c>
      <c r="X181" t="e">
        <f t="shared" si="28"/>
        <v>#N/A</v>
      </c>
      <c r="Y181" t="e">
        <f t="shared" si="29"/>
        <v>#N/A</v>
      </c>
    </row>
    <row r="182" spans="1:25" x14ac:dyDescent="0.2">
      <c r="A182">
        <v>1180</v>
      </c>
      <c r="B182" t="s">
        <v>45</v>
      </c>
      <c r="C182" t="s">
        <v>29</v>
      </c>
      <c r="D182">
        <v>2022</v>
      </c>
      <c r="E182" t="s">
        <v>30</v>
      </c>
      <c r="F182">
        <v>418</v>
      </c>
      <c r="G182">
        <v>5</v>
      </c>
      <c r="H182">
        <v>5</v>
      </c>
      <c r="I182">
        <v>2376000</v>
      </c>
      <c r="J182">
        <v>5684.2</v>
      </c>
      <c r="K182">
        <v>10</v>
      </c>
      <c r="L182" t="s">
        <v>34</v>
      </c>
      <c r="M182">
        <v>55</v>
      </c>
      <c r="N182" t="s">
        <v>21</v>
      </c>
      <c r="P182">
        <f t="shared" si="20"/>
        <v>2376000</v>
      </c>
      <c r="Q182">
        <f t="shared" si="21"/>
        <v>418</v>
      </c>
      <c r="R182" t="e">
        <f t="shared" si="22"/>
        <v>#N/A</v>
      </c>
      <c r="S182" t="e">
        <f t="shared" si="23"/>
        <v>#N/A</v>
      </c>
      <c r="T182" t="e">
        <f t="shared" si="24"/>
        <v>#N/A</v>
      </c>
      <c r="U182" t="e">
        <f t="shared" si="25"/>
        <v>#N/A</v>
      </c>
      <c r="V182" t="e">
        <f t="shared" si="26"/>
        <v>#N/A</v>
      </c>
      <c r="W182" t="e">
        <f t="shared" si="27"/>
        <v>#N/A</v>
      </c>
      <c r="X182" t="e">
        <f t="shared" si="28"/>
        <v>#N/A</v>
      </c>
      <c r="Y182" t="e">
        <f t="shared" si="29"/>
        <v>#N/A</v>
      </c>
    </row>
    <row r="183" spans="1:25" x14ac:dyDescent="0.2">
      <c r="A183">
        <v>1181</v>
      </c>
      <c r="B183" t="s">
        <v>33</v>
      </c>
      <c r="C183" t="s">
        <v>15</v>
      </c>
      <c r="D183">
        <v>2023</v>
      </c>
      <c r="E183" t="s">
        <v>16</v>
      </c>
      <c r="F183">
        <v>149</v>
      </c>
      <c r="G183">
        <v>2</v>
      </c>
      <c r="H183">
        <v>2</v>
      </c>
      <c r="I183">
        <v>422000</v>
      </c>
      <c r="J183">
        <v>2832.2</v>
      </c>
      <c r="K183">
        <v>1</v>
      </c>
      <c r="L183" t="s">
        <v>17</v>
      </c>
      <c r="M183">
        <v>167</v>
      </c>
      <c r="N183" t="s">
        <v>27</v>
      </c>
      <c r="P183" t="e">
        <f t="shared" si="20"/>
        <v>#N/A</v>
      </c>
      <c r="Q183" t="e">
        <f t="shared" si="21"/>
        <v>#N/A</v>
      </c>
      <c r="R183">
        <f t="shared" si="22"/>
        <v>422000</v>
      </c>
      <c r="S183">
        <f t="shared" si="23"/>
        <v>149</v>
      </c>
      <c r="T183" t="e">
        <f t="shared" si="24"/>
        <v>#N/A</v>
      </c>
      <c r="U183" t="e">
        <f t="shared" si="25"/>
        <v>#N/A</v>
      </c>
      <c r="V183" t="e">
        <f t="shared" si="26"/>
        <v>#N/A</v>
      </c>
      <c r="W183" t="e">
        <f t="shared" si="27"/>
        <v>#N/A</v>
      </c>
      <c r="X183" t="e">
        <f t="shared" si="28"/>
        <v>#N/A</v>
      </c>
      <c r="Y183" t="e">
        <f t="shared" si="29"/>
        <v>#N/A</v>
      </c>
    </row>
    <row r="184" spans="1:25" x14ac:dyDescent="0.2">
      <c r="A184">
        <v>1182</v>
      </c>
      <c r="B184" t="s">
        <v>44</v>
      </c>
      <c r="C184" t="s">
        <v>23</v>
      </c>
      <c r="D184">
        <v>2023</v>
      </c>
      <c r="E184" t="s">
        <v>24</v>
      </c>
      <c r="F184">
        <v>307</v>
      </c>
      <c r="G184">
        <v>4</v>
      </c>
      <c r="H184">
        <v>4</v>
      </c>
      <c r="I184">
        <v>1224000</v>
      </c>
      <c r="J184">
        <v>3987</v>
      </c>
      <c r="K184">
        <v>1</v>
      </c>
      <c r="L184" t="s">
        <v>17</v>
      </c>
      <c r="M184">
        <v>110</v>
      </c>
      <c r="N184" t="s">
        <v>18</v>
      </c>
      <c r="P184" t="e">
        <f t="shared" si="20"/>
        <v>#N/A</v>
      </c>
      <c r="Q184" t="e">
        <f t="shared" si="21"/>
        <v>#N/A</v>
      </c>
      <c r="R184" t="e">
        <f t="shared" si="22"/>
        <v>#N/A</v>
      </c>
      <c r="S184" t="e">
        <f t="shared" si="23"/>
        <v>#N/A</v>
      </c>
      <c r="T184">
        <f t="shared" si="24"/>
        <v>1224000</v>
      </c>
      <c r="U184">
        <f t="shared" si="25"/>
        <v>307</v>
      </c>
      <c r="V184" t="e">
        <f t="shared" si="26"/>
        <v>#N/A</v>
      </c>
      <c r="W184" t="e">
        <f t="shared" si="27"/>
        <v>#N/A</v>
      </c>
      <c r="X184" t="e">
        <f t="shared" si="28"/>
        <v>#N/A</v>
      </c>
      <c r="Y184" t="e">
        <f t="shared" si="29"/>
        <v>#N/A</v>
      </c>
    </row>
    <row r="185" spans="1:25" x14ac:dyDescent="0.2">
      <c r="A185">
        <v>1183</v>
      </c>
      <c r="B185" t="s">
        <v>42</v>
      </c>
      <c r="C185" t="s">
        <v>23</v>
      </c>
      <c r="D185">
        <v>2024</v>
      </c>
      <c r="E185" t="s">
        <v>16</v>
      </c>
      <c r="F185">
        <v>270</v>
      </c>
      <c r="G185">
        <v>3</v>
      </c>
      <c r="H185">
        <v>3</v>
      </c>
      <c r="I185">
        <v>1550000</v>
      </c>
      <c r="J185">
        <v>5740.7</v>
      </c>
      <c r="K185">
        <v>7</v>
      </c>
      <c r="L185" t="s">
        <v>20</v>
      </c>
      <c r="M185">
        <v>102</v>
      </c>
      <c r="N185" t="s">
        <v>21</v>
      </c>
      <c r="P185" t="e">
        <f t="shared" si="20"/>
        <v>#N/A</v>
      </c>
      <c r="Q185" t="e">
        <f t="shared" si="21"/>
        <v>#N/A</v>
      </c>
      <c r="R185" t="e">
        <f t="shared" si="22"/>
        <v>#N/A</v>
      </c>
      <c r="S185" t="e">
        <f t="shared" si="23"/>
        <v>#N/A</v>
      </c>
      <c r="T185">
        <f t="shared" si="24"/>
        <v>1550000</v>
      </c>
      <c r="U185">
        <f t="shared" si="25"/>
        <v>270</v>
      </c>
      <c r="V185" t="e">
        <f t="shared" si="26"/>
        <v>#N/A</v>
      </c>
      <c r="W185" t="e">
        <f t="shared" si="27"/>
        <v>#N/A</v>
      </c>
      <c r="X185" t="e">
        <f t="shared" si="28"/>
        <v>#N/A</v>
      </c>
      <c r="Y185" t="e">
        <f t="shared" si="29"/>
        <v>#N/A</v>
      </c>
    </row>
    <row r="186" spans="1:25" x14ac:dyDescent="0.2">
      <c r="A186">
        <v>1184</v>
      </c>
      <c r="B186" t="s">
        <v>19</v>
      </c>
      <c r="C186" t="s">
        <v>38</v>
      </c>
      <c r="D186">
        <v>2022</v>
      </c>
      <c r="E186" t="s">
        <v>16</v>
      </c>
      <c r="F186">
        <v>63</v>
      </c>
      <c r="G186">
        <v>0</v>
      </c>
      <c r="H186">
        <v>1</v>
      </c>
      <c r="I186">
        <v>238000</v>
      </c>
      <c r="J186">
        <v>3777.8</v>
      </c>
      <c r="K186">
        <v>7</v>
      </c>
      <c r="L186" t="s">
        <v>17</v>
      </c>
      <c r="M186">
        <v>88</v>
      </c>
      <c r="N186" t="s">
        <v>21</v>
      </c>
      <c r="P186" t="e">
        <f t="shared" si="20"/>
        <v>#N/A</v>
      </c>
      <c r="Q186" t="e">
        <f t="shared" si="21"/>
        <v>#N/A</v>
      </c>
      <c r="R186" t="e">
        <f t="shared" si="22"/>
        <v>#N/A</v>
      </c>
      <c r="S186" t="e">
        <f t="shared" si="23"/>
        <v>#N/A</v>
      </c>
      <c r="T186" t="e">
        <f t="shared" si="24"/>
        <v>#N/A</v>
      </c>
      <c r="U186" t="e">
        <f t="shared" si="25"/>
        <v>#N/A</v>
      </c>
      <c r="V186">
        <f t="shared" si="26"/>
        <v>238000</v>
      </c>
      <c r="W186">
        <f t="shared" si="27"/>
        <v>63</v>
      </c>
      <c r="X186" t="e">
        <f t="shared" si="28"/>
        <v>#N/A</v>
      </c>
      <c r="Y186" t="e">
        <f t="shared" si="29"/>
        <v>#N/A</v>
      </c>
    </row>
    <row r="187" spans="1:25" x14ac:dyDescent="0.2">
      <c r="A187">
        <v>1185</v>
      </c>
      <c r="B187" t="s">
        <v>37</v>
      </c>
      <c r="C187" t="s">
        <v>29</v>
      </c>
      <c r="D187">
        <v>2021</v>
      </c>
      <c r="E187" t="s">
        <v>26</v>
      </c>
      <c r="F187">
        <v>485</v>
      </c>
      <c r="G187">
        <v>6</v>
      </c>
      <c r="H187">
        <v>6</v>
      </c>
      <c r="I187">
        <v>2911000</v>
      </c>
      <c r="J187">
        <v>6002.1</v>
      </c>
      <c r="K187">
        <v>0</v>
      </c>
      <c r="L187" t="s">
        <v>17</v>
      </c>
      <c r="M187">
        <v>146</v>
      </c>
      <c r="N187" t="s">
        <v>27</v>
      </c>
      <c r="P187">
        <f t="shared" si="20"/>
        <v>2911000</v>
      </c>
      <c r="Q187">
        <f t="shared" si="21"/>
        <v>485</v>
      </c>
      <c r="R187" t="e">
        <f t="shared" si="22"/>
        <v>#N/A</v>
      </c>
      <c r="S187" t="e">
        <f t="shared" si="23"/>
        <v>#N/A</v>
      </c>
      <c r="T187" t="e">
        <f t="shared" si="24"/>
        <v>#N/A</v>
      </c>
      <c r="U187" t="e">
        <f t="shared" si="25"/>
        <v>#N/A</v>
      </c>
      <c r="V187" t="e">
        <f t="shared" si="26"/>
        <v>#N/A</v>
      </c>
      <c r="W187" t="e">
        <f t="shared" si="27"/>
        <v>#N/A</v>
      </c>
      <c r="X187" t="e">
        <f t="shared" si="28"/>
        <v>#N/A</v>
      </c>
      <c r="Y187" t="e">
        <f t="shared" si="29"/>
        <v>#N/A</v>
      </c>
    </row>
    <row r="188" spans="1:25" x14ac:dyDescent="0.2">
      <c r="A188">
        <v>1186</v>
      </c>
      <c r="B188" t="s">
        <v>41</v>
      </c>
      <c r="C188" t="s">
        <v>15</v>
      </c>
      <c r="D188">
        <v>2021</v>
      </c>
      <c r="E188" t="s">
        <v>16</v>
      </c>
      <c r="F188">
        <v>184</v>
      </c>
      <c r="G188">
        <v>2</v>
      </c>
      <c r="H188">
        <v>2</v>
      </c>
      <c r="I188">
        <v>751000</v>
      </c>
      <c r="J188">
        <v>4081.5</v>
      </c>
      <c r="K188">
        <v>7</v>
      </c>
      <c r="L188" t="s">
        <v>17</v>
      </c>
      <c r="M188">
        <v>11</v>
      </c>
      <c r="N188" t="s">
        <v>21</v>
      </c>
      <c r="P188" t="e">
        <f t="shared" si="20"/>
        <v>#N/A</v>
      </c>
      <c r="Q188" t="e">
        <f t="shared" si="21"/>
        <v>#N/A</v>
      </c>
      <c r="R188">
        <f t="shared" si="22"/>
        <v>751000</v>
      </c>
      <c r="S188">
        <f t="shared" si="23"/>
        <v>184</v>
      </c>
      <c r="T188" t="e">
        <f t="shared" si="24"/>
        <v>#N/A</v>
      </c>
      <c r="U188" t="e">
        <f t="shared" si="25"/>
        <v>#N/A</v>
      </c>
      <c r="V188" t="e">
        <f t="shared" si="26"/>
        <v>#N/A</v>
      </c>
      <c r="W188" t="e">
        <f t="shared" si="27"/>
        <v>#N/A</v>
      </c>
      <c r="X188" t="e">
        <f t="shared" si="28"/>
        <v>#N/A</v>
      </c>
      <c r="Y188" t="e">
        <f t="shared" si="29"/>
        <v>#N/A</v>
      </c>
    </row>
    <row r="189" spans="1:25" x14ac:dyDescent="0.2">
      <c r="A189">
        <v>1187</v>
      </c>
      <c r="B189" t="s">
        <v>39</v>
      </c>
      <c r="C189" t="s">
        <v>36</v>
      </c>
      <c r="D189">
        <v>2024</v>
      </c>
      <c r="E189" t="s">
        <v>30</v>
      </c>
      <c r="F189">
        <v>351</v>
      </c>
      <c r="G189">
        <v>3</v>
      </c>
      <c r="H189">
        <v>3</v>
      </c>
      <c r="I189">
        <v>1217000</v>
      </c>
      <c r="J189">
        <v>3467.2</v>
      </c>
      <c r="K189">
        <v>10</v>
      </c>
      <c r="L189" t="s">
        <v>34</v>
      </c>
      <c r="M189">
        <v>117</v>
      </c>
      <c r="N189" t="s">
        <v>21</v>
      </c>
      <c r="P189" t="e">
        <f t="shared" si="20"/>
        <v>#N/A</v>
      </c>
      <c r="Q189" t="e">
        <f t="shared" si="21"/>
        <v>#N/A</v>
      </c>
      <c r="R189" t="e">
        <f t="shared" si="22"/>
        <v>#N/A</v>
      </c>
      <c r="S189" t="e">
        <f t="shared" si="23"/>
        <v>#N/A</v>
      </c>
      <c r="T189" t="e">
        <f t="shared" si="24"/>
        <v>#N/A</v>
      </c>
      <c r="U189" t="e">
        <f t="shared" si="25"/>
        <v>#N/A</v>
      </c>
      <c r="V189" t="e">
        <f t="shared" si="26"/>
        <v>#N/A</v>
      </c>
      <c r="W189" t="e">
        <f t="shared" si="27"/>
        <v>#N/A</v>
      </c>
      <c r="X189">
        <f t="shared" si="28"/>
        <v>1217000</v>
      </c>
      <c r="Y189">
        <f t="shared" si="29"/>
        <v>351</v>
      </c>
    </row>
    <row r="190" spans="1:25" x14ac:dyDescent="0.2">
      <c r="A190">
        <v>1188</v>
      </c>
      <c r="B190" t="s">
        <v>42</v>
      </c>
      <c r="C190" t="s">
        <v>15</v>
      </c>
      <c r="D190">
        <v>2024</v>
      </c>
      <c r="E190" t="s">
        <v>26</v>
      </c>
      <c r="F190">
        <v>155</v>
      </c>
      <c r="G190">
        <v>4</v>
      </c>
      <c r="H190">
        <v>4</v>
      </c>
      <c r="I190">
        <v>824000</v>
      </c>
      <c r="J190">
        <v>5316.1</v>
      </c>
      <c r="K190">
        <v>20</v>
      </c>
      <c r="L190" t="s">
        <v>34</v>
      </c>
      <c r="M190">
        <v>24</v>
      </c>
      <c r="N190" t="s">
        <v>21</v>
      </c>
      <c r="P190" t="e">
        <f t="shared" si="20"/>
        <v>#N/A</v>
      </c>
      <c r="Q190" t="e">
        <f t="shared" si="21"/>
        <v>#N/A</v>
      </c>
      <c r="R190">
        <f t="shared" si="22"/>
        <v>824000</v>
      </c>
      <c r="S190">
        <f t="shared" si="23"/>
        <v>155</v>
      </c>
      <c r="T190" t="e">
        <f t="shared" si="24"/>
        <v>#N/A</v>
      </c>
      <c r="U190" t="e">
        <f t="shared" si="25"/>
        <v>#N/A</v>
      </c>
      <c r="V190" t="e">
        <f t="shared" si="26"/>
        <v>#N/A</v>
      </c>
      <c r="W190" t="e">
        <f t="shared" si="27"/>
        <v>#N/A</v>
      </c>
      <c r="X190" t="e">
        <f t="shared" si="28"/>
        <v>#N/A</v>
      </c>
      <c r="Y190" t="e">
        <f t="shared" si="29"/>
        <v>#N/A</v>
      </c>
    </row>
    <row r="191" spans="1:25" x14ac:dyDescent="0.2">
      <c r="A191">
        <v>1189</v>
      </c>
      <c r="B191" t="s">
        <v>28</v>
      </c>
      <c r="C191" t="s">
        <v>15</v>
      </c>
      <c r="D191">
        <v>2024</v>
      </c>
      <c r="E191" t="s">
        <v>16</v>
      </c>
      <c r="F191">
        <v>141</v>
      </c>
      <c r="G191">
        <v>3</v>
      </c>
      <c r="H191">
        <v>3</v>
      </c>
      <c r="I191">
        <v>461000</v>
      </c>
      <c r="J191">
        <v>3269.5</v>
      </c>
      <c r="K191">
        <v>4</v>
      </c>
      <c r="L191" t="s">
        <v>17</v>
      </c>
      <c r="M191">
        <v>77</v>
      </c>
      <c r="N191" t="s">
        <v>27</v>
      </c>
      <c r="P191" t="e">
        <f t="shared" si="20"/>
        <v>#N/A</v>
      </c>
      <c r="Q191" t="e">
        <f t="shared" si="21"/>
        <v>#N/A</v>
      </c>
      <c r="R191">
        <f t="shared" si="22"/>
        <v>461000</v>
      </c>
      <c r="S191">
        <f t="shared" si="23"/>
        <v>141</v>
      </c>
      <c r="T191" t="e">
        <f t="shared" si="24"/>
        <v>#N/A</v>
      </c>
      <c r="U191" t="e">
        <f t="shared" si="25"/>
        <v>#N/A</v>
      </c>
      <c r="V191" t="e">
        <f t="shared" si="26"/>
        <v>#N/A</v>
      </c>
      <c r="W191" t="e">
        <f t="shared" si="27"/>
        <v>#N/A</v>
      </c>
      <c r="X191" t="e">
        <f t="shared" si="28"/>
        <v>#N/A</v>
      </c>
      <c r="Y191" t="e">
        <f t="shared" si="29"/>
        <v>#N/A</v>
      </c>
    </row>
    <row r="192" spans="1:25" x14ac:dyDescent="0.2">
      <c r="A192">
        <v>1190</v>
      </c>
      <c r="B192" t="s">
        <v>47</v>
      </c>
      <c r="C192" t="s">
        <v>38</v>
      </c>
      <c r="D192">
        <v>2022</v>
      </c>
      <c r="E192" t="s">
        <v>26</v>
      </c>
      <c r="F192">
        <v>47</v>
      </c>
      <c r="G192">
        <v>0</v>
      </c>
      <c r="H192">
        <v>1</v>
      </c>
      <c r="I192">
        <v>174000</v>
      </c>
      <c r="J192">
        <v>3702.1</v>
      </c>
      <c r="K192">
        <v>20</v>
      </c>
      <c r="L192" t="s">
        <v>17</v>
      </c>
      <c r="M192">
        <v>21</v>
      </c>
      <c r="N192" t="s">
        <v>21</v>
      </c>
      <c r="P192" t="e">
        <f t="shared" si="20"/>
        <v>#N/A</v>
      </c>
      <c r="Q192" t="e">
        <f t="shared" si="21"/>
        <v>#N/A</v>
      </c>
      <c r="R192" t="e">
        <f t="shared" si="22"/>
        <v>#N/A</v>
      </c>
      <c r="S192" t="e">
        <f t="shared" si="23"/>
        <v>#N/A</v>
      </c>
      <c r="T192" t="e">
        <f t="shared" si="24"/>
        <v>#N/A</v>
      </c>
      <c r="U192" t="e">
        <f t="shared" si="25"/>
        <v>#N/A</v>
      </c>
      <c r="V192">
        <f t="shared" si="26"/>
        <v>174000</v>
      </c>
      <c r="W192">
        <f t="shared" si="27"/>
        <v>47</v>
      </c>
      <c r="X192" t="e">
        <f t="shared" si="28"/>
        <v>#N/A</v>
      </c>
      <c r="Y192" t="e">
        <f t="shared" si="29"/>
        <v>#N/A</v>
      </c>
    </row>
    <row r="193" spans="1:25" x14ac:dyDescent="0.2">
      <c r="A193">
        <v>1191</v>
      </c>
      <c r="B193" t="s">
        <v>42</v>
      </c>
      <c r="C193" t="s">
        <v>29</v>
      </c>
      <c r="D193">
        <v>2021</v>
      </c>
      <c r="E193" t="s">
        <v>16</v>
      </c>
      <c r="F193">
        <v>587</v>
      </c>
      <c r="G193">
        <v>4</v>
      </c>
      <c r="H193">
        <v>4</v>
      </c>
      <c r="I193">
        <v>3470000</v>
      </c>
      <c r="J193">
        <v>5911.4</v>
      </c>
      <c r="K193">
        <v>0</v>
      </c>
      <c r="L193" t="s">
        <v>17</v>
      </c>
      <c r="M193">
        <v>127</v>
      </c>
      <c r="N193" t="s">
        <v>21</v>
      </c>
      <c r="P193">
        <f t="shared" si="20"/>
        <v>3470000</v>
      </c>
      <c r="Q193">
        <f t="shared" si="21"/>
        <v>587</v>
      </c>
      <c r="R193" t="e">
        <f t="shared" si="22"/>
        <v>#N/A</v>
      </c>
      <c r="S193" t="e">
        <f t="shared" si="23"/>
        <v>#N/A</v>
      </c>
      <c r="T193" t="e">
        <f t="shared" si="24"/>
        <v>#N/A</v>
      </c>
      <c r="U193" t="e">
        <f t="shared" si="25"/>
        <v>#N/A</v>
      </c>
      <c r="V193" t="e">
        <f t="shared" si="26"/>
        <v>#N/A</v>
      </c>
      <c r="W193" t="e">
        <f t="shared" si="27"/>
        <v>#N/A</v>
      </c>
      <c r="X193" t="e">
        <f t="shared" si="28"/>
        <v>#N/A</v>
      </c>
      <c r="Y193" t="e">
        <f t="shared" si="29"/>
        <v>#N/A</v>
      </c>
    </row>
    <row r="194" spans="1:25" x14ac:dyDescent="0.2">
      <c r="A194">
        <v>1192</v>
      </c>
      <c r="B194" t="s">
        <v>19</v>
      </c>
      <c r="C194" t="s">
        <v>15</v>
      </c>
      <c r="D194">
        <v>2021</v>
      </c>
      <c r="E194" t="s">
        <v>26</v>
      </c>
      <c r="F194">
        <v>180</v>
      </c>
      <c r="G194">
        <v>4</v>
      </c>
      <c r="H194">
        <v>4</v>
      </c>
      <c r="I194">
        <v>535000</v>
      </c>
      <c r="J194">
        <v>2972.2</v>
      </c>
      <c r="K194">
        <v>0</v>
      </c>
      <c r="L194" t="s">
        <v>34</v>
      </c>
      <c r="M194">
        <v>43</v>
      </c>
      <c r="N194" t="s">
        <v>21</v>
      </c>
      <c r="P194" t="e">
        <f t="shared" si="20"/>
        <v>#N/A</v>
      </c>
      <c r="Q194" t="e">
        <f t="shared" si="21"/>
        <v>#N/A</v>
      </c>
      <c r="R194">
        <f t="shared" si="22"/>
        <v>535000</v>
      </c>
      <c r="S194">
        <f t="shared" si="23"/>
        <v>180</v>
      </c>
      <c r="T194" t="e">
        <f t="shared" si="24"/>
        <v>#N/A</v>
      </c>
      <c r="U194" t="e">
        <f t="shared" si="25"/>
        <v>#N/A</v>
      </c>
      <c r="V194" t="e">
        <f t="shared" si="26"/>
        <v>#N/A</v>
      </c>
      <c r="W194" t="e">
        <f t="shared" si="27"/>
        <v>#N/A</v>
      </c>
      <c r="X194" t="e">
        <f t="shared" si="28"/>
        <v>#N/A</v>
      </c>
      <c r="Y194" t="e">
        <f t="shared" si="29"/>
        <v>#N/A</v>
      </c>
    </row>
    <row r="195" spans="1:25" x14ac:dyDescent="0.2">
      <c r="A195">
        <v>1193</v>
      </c>
      <c r="B195" t="s">
        <v>33</v>
      </c>
      <c r="C195" t="s">
        <v>15</v>
      </c>
      <c r="D195">
        <v>2023</v>
      </c>
      <c r="E195" t="s">
        <v>16</v>
      </c>
      <c r="F195">
        <v>169</v>
      </c>
      <c r="G195">
        <v>3</v>
      </c>
      <c r="H195">
        <v>3</v>
      </c>
      <c r="I195">
        <v>479000</v>
      </c>
      <c r="J195">
        <v>2834.3</v>
      </c>
      <c r="K195">
        <v>2</v>
      </c>
      <c r="L195" t="s">
        <v>20</v>
      </c>
      <c r="M195">
        <v>171</v>
      </c>
      <c r="N195" t="s">
        <v>27</v>
      </c>
      <c r="P195" t="e">
        <f t="shared" ref="P195:P258" si="30">IF(C195="Villa", I195, NA())</f>
        <v>#N/A</v>
      </c>
      <c r="Q195" t="e">
        <f t="shared" ref="Q195:Q258" si="31">IF(C195="Villa", F195, NA())</f>
        <v>#N/A</v>
      </c>
      <c r="R195">
        <f t="shared" ref="R195:R258" si="32">IF(C195="Apartment",I195,NA())</f>
        <v>479000</v>
      </c>
      <c r="S195">
        <f t="shared" ref="S195:S258" si="33">IF(C195="Apartment",F195,NA())</f>
        <v>169</v>
      </c>
      <c r="T195" t="e">
        <f t="shared" ref="T195:T258" si="34">IF(C195="Duplex",I195,NA())</f>
        <v>#N/A</v>
      </c>
      <c r="U195" t="e">
        <f t="shared" ref="U195:U258" si="35">IF(C195="Duplex",F195,NA())</f>
        <v>#N/A</v>
      </c>
      <c r="V195" t="e">
        <f t="shared" ref="V195:V258" si="36">IF(C195="Studio",I195,NA())</f>
        <v>#N/A</v>
      </c>
      <c r="W195" t="e">
        <f t="shared" ref="W195:W258" si="37">IF(C195="Studio",F195,NA())</f>
        <v>#N/A</v>
      </c>
      <c r="X195" t="e">
        <f t="shared" ref="X195:X258" si="38">IF(C195="Floor",I195,NA())</f>
        <v>#N/A</v>
      </c>
      <c r="Y195" t="e">
        <f t="shared" ref="Y195:Y258" si="39">IF(C195="Floor",F195,NA())</f>
        <v>#N/A</v>
      </c>
    </row>
    <row r="196" spans="1:25" x14ac:dyDescent="0.2">
      <c r="A196">
        <v>1194</v>
      </c>
      <c r="B196" t="s">
        <v>22</v>
      </c>
      <c r="C196" t="s">
        <v>29</v>
      </c>
      <c r="D196">
        <v>2024</v>
      </c>
      <c r="E196" t="s">
        <v>26</v>
      </c>
      <c r="F196">
        <v>419</v>
      </c>
      <c r="G196">
        <v>6</v>
      </c>
      <c r="H196">
        <v>6</v>
      </c>
      <c r="I196">
        <v>2339000</v>
      </c>
      <c r="J196">
        <v>5582.3</v>
      </c>
      <c r="K196">
        <v>2</v>
      </c>
      <c r="L196" t="s">
        <v>17</v>
      </c>
      <c r="M196">
        <v>27</v>
      </c>
      <c r="N196" t="s">
        <v>18</v>
      </c>
      <c r="P196">
        <f t="shared" si="30"/>
        <v>2339000</v>
      </c>
      <c r="Q196">
        <f t="shared" si="31"/>
        <v>419</v>
      </c>
      <c r="R196" t="e">
        <f t="shared" si="32"/>
        <v>#N/A</v>
      </c>
      <c r="S196" t="e">
        <f t="shared" si="33"/>
        <v>#N/A</v>
      </c>
      <c r="T196" t="e">
        <f t="shared" si="34"/>
        <v>#N/A</v>
      </c>
      <c r="U196" t="e">
        <f t="shared" si="35"/>
        <v>#N/A</v>
      </c>
      <c r="V196" t="e">
        <f t="shared" si="36"/>
        <v>#N/A</v>
      </c>
      <c r="W196" t="e">
        <f t="shared" si="37"/>
        <v>#N/A</v>
      </c>
      <c r="X196" t="e">
        <f t="shared" si="38"/>
        <v>#N/A</v>
      </c>
      <c r="Y196" t="e">
        <f t="shared" si="39"/>
        <v>#N/A</v>
      </c>
    </row>
    <row r="197" spans="1:25" x14ac:dyDescent="0.2">
      <c r="A197">
        <v>1195</v>
      </c>
      <c r="B197" t="s">
        <v>47</v>
      </c>
      <c r="C197" t="s">
        <v>15</v>
      </c>
      <c r="D197">
        <v>2024</v>
      </c>
      <c r="E197" t="s">
        <v>16</v>
      </c>
      <c r="F197">
        <v>118</v>
      </c>
      <c r="G197">
        <v>3</v>
      </c>
      <c r="H197">
        <v>3</v>
      </c>
      <c r="I197">
        <v>397000</v>
      </c>
      <c r="J197">
        <v>3364.4</v>
      </c>
      <c r="K197">
        <v>15</v>
      </c>
      <c r="L197" t="s">
        <v>17</v>
      </c>
      <c r="M197">
        <v>175</v>
      </c>
      <c r="N197" t="s">
        <v>21</v>
      </c>
      <c r="P197" t="e">
        <f t="shared" si="30"/>
        <v>#N/A</v>
      </c>
      <c r="Q197" t="e">
        <f t="shared" si="31"/>
        <v>#N/A</v>
      </c>
      <c r="R197">
        <f t="shared" si="32"/>
        <v>397000</v>
      </c>
      <c r="S197">
        <f t="shared" si="33"/>
        <v>118</v>
      </c>
      <c r="T197" t="e">
        <f t="shared" si="34"/>
        <v>#N/A</v>
      </c>
      <c r="U197" t="e">
        <f t="shared" si="35"/>
        <v>#N/A</v>
      </c>
      <c r="V197" t="e">
        <f t="shared" si="36"/>
        <v>#N/A</v>
      </c>
      <c r="W197" t="e">
        <f t="shared" si="37"/>
        <v>#N/A</v>
      </c>
      <c r="X197" t="e">
        <f t="shared" si="38"/>
        <v>#N/A</v>
      </c>
      <c r="Y197" t="e">
        <f t="shared" si="39"/>
        <v>#N/A</v>
      </c>
    </row>
    <row r="198" spans="1:25" x14ac:dyDescent="0.2">
      <c r="A198">
        <v>1196</v>
      </c>
      <c r="B198" t="s">
        <v>31</v>
      </c>
      <c r="C198" t="s">
        <v>29</v>
      </c>
      <c r="D198">
        <v>2024</v>
      </c>
      <c r="E198" t="s">
        <v>16</v>
      </c>
      <c r="F198">
        <v>498</v>
      </c>
      <c r="G198">
        <v>5</v>
      </c>
      <c r="H198">
        <v>5</v>
      </c>
      <c r="I198">
        <v>2257000</v>
      </c>
      <c r="J198">
        <v>4532.1000000000004</v>
      </c>
      <c r="K198">
        <v>0</v>
      </c>
      <c r="L198" t="s">
        <v>17</v>
      </c>
      <c r="M198">
        <v>67</v>
      </c>
      <c r="N198" t="s">
        <v>21</v>
      </c>
      <c r="P198">
        <f t="shared" si="30"/>
        <v>2257000</v>
      </c>
      <c r="Q198">
        <f t="shared" si="31"/>
        <v>498</v>
      </c>
      <c r="R198" t="e">
        <f t="shared" si="32"/>
        <v>#N/A</v>
      </c>
      <c r="S198" t="e">
        <f t="shared" si="33"/>
        <v>#N/A</v>
      </c>
      <c r="T198" t="e">
        <f t="shared" si="34"/>
        <v>#N/A</v>
      </c>
      <c r="U198" t="e">
        <f t="shared" si="35"/>
        <v>#N/A</v>
      </c>
      <c r="V198" t="e">
        <f t="shared" si="36"/>
        <v>#N/A</v>
      </c>
      <c r="W198" t="e">
        <f t="shared" si="37"/>
        <v>#N/A</v>
      </c>
      <c r="X198" t="e">
        <f t="shared" si="38"/>
        <v>#N/A</v>
      </c>
      <c r="Y198" t="e">
        <f t="shared" si="39"/>
        <v>#N/A</v>
      </c>
    </row>
    <row r="199" spans="1:25" x14ac:dyDescent="0.2">
      <c r="A199">
        <v>1197</v>
      </c>
      <c r="B199" t="s">
        <v>31</v>
      </c>
      <c r="C199" t="s">
        <v>23</v>
      </c>
      <c r="D199">
        <v>2022</v>
      </c>
      <c r="E199" t="s">
        <v>30</v>
      </c>
      <c r="F199">
        <v>273</v>
      </c>
      <c r="G199">
        <v>5</v>
      </c>
      <c r="H199">
        <v>5</v>
      </c>
      <c r="I199">
        <v>798000</v>
      </c>
      <c r="J199">
        <v>2923.1</v>
      </c>
      <c r="K199">
        <v>1</v>
      </c>
      <c r="L199" t="s">
        <v>34</v>
      </c>
      <c r="M199">
        <v>131</v>
      </c>
      <c r="N199" t="s">
        <v>21</v>
      </c>
      <c r="P199" t="e">
        <f t="shared" si="30"/>
        <v>#N/A</v>
      </c>
      <c r="Q199" t="e">
        <f t="shared" si="31"/>
        <v>#N/A</v>
      </c>
      <c r="R199" t="e">
        <f t="shared" si="32"/>
        <v>#N/A</v>
      </c>
      <c r="S199" t="e">
        <f t="shared" si="33"/>
        <v>#N/A</v>
      </c>
      <c r="T199">
        <f t="shared" si="34"/>
        <v>798000</v>
      </c>
      <c r="U199">
        <f t="shared" si="35"/>
        <v>273</v>
      </c>
      <c r="V199" t="e">
        <f t="shared" si="36"/>
        <v>#N/A</v>
      </c>
      <c r="W199" t="e">
        <f t="shared" si="37"/>
        <v>#N/A</v>
      </c>
      <c r="X199" t="e">
        <f t="shared" si="38"/>
        <v>#N/A</v>
      </c>
      <c r="Y199" t="e">
        <f t="shared" si="39"/>
        <v>#N/A</v>
      </c>
    </row>
    <row r="200" spans="1:25" x14ac:dyDescent="0.2">
      <c r="A200">
        <v>1198</v>
      </c>
      <c r="B200" t="s">
        <v>31</v>
      </c>
      <c r="C200" t="s">
        <v>15</v>
      </c>
      <c r="D200">
        <v>2022</v>
      </c>
      <c r="E200" t="s">
        <v>24</v>
      </c>
      <c r="F200">
        <v>157</v>
      </c>
      <c r="G200">
        <v>3</v>
      </c>
      <c r="H200">
        <v>3</v>
      </c>
      <c r="I200">
        <v>425000</v>
      </c>
      <c r="J200">
        <v>2707</v>
      </c>
      <c r="K200">
        <v>20</v>
      </c>
      <c r="L200" t="s">
        <v>20</v>
      </c>
      <c r="M200">
        <v>180</v>
      </c>
      <c r="N200" t="s">
        <v>21</v>
      </c>
      <c r="P200" t="e">
        <f t="shared" si="30"/>
        <v>#N/A</v>
      </c>
      <c r="Q200" t="e">
        <f t="shared" si="31"/>
        <v>#N/A</v>
      </c>
      <c r="R200">
        <f t="shared" si="32"/>
        <v>425000</v>
      </c>
      <c r="S200">
        <f t="shared" si="33"/>
        <v>157</v>
      </c>
      <c r="T200" t="e">
        <f t="shared" si="34"/>
        <v>#N/A</v>
      </c>
      <c r="U200" t="e">
        <f t="shared" si="35"/>
        <v>#N/A</v>
      </c>
      <c r="V200" t="e">
        <f t="shared" si="36"/>
        <v>#N/A</v>
      </c>
      <c r="W200" t="e">
        <f t="shared" si="37"/>
        <v>#N/A</v>
      </c>
      <c r="X200" t="e">
        <f t="shared" si="38"/>
        <v>#N/A</v>
      </c>
      <c r="Y200" t="e">
        <f t="shared" si="39"/>
        <v>#N/A</v>
      </c>
    </row>
    <row r="201" spans="1:25" x14ac:dyDescent="0.2">
      <c r="A201">
        <v>1199</v>
      </c>
      <c r="B201" t="s">
        <v>43</v>
      </c>
      <c r="C201" t="s">
        <v>38</v>
      </c>
      <c r="D201">
        <v>2022</v>
      </c>
      <c r="E201" t="s">
        <v>26</v>
      </c>
      <c r="F201">
        <v>49</v>
      </c>
      <c r="G201">
        <v>0</v>
      </c>
      <c r="H201">
        <v>1</v>
      </c>
      <c r="I201">
        <v>246000</v>
      </c>
      <c r="J201">
        <v>5020.3999999999996</v>
      </c>
      <c r="K201">
        <v>4</v>
      </c>
      <c r="L201" t="s">
        <v>17</v>
      </c>
      <c r="M201">
        <v>56</v>
      </c>
      <c r="N201" t="s">
        <v>27</v>
      </c>
      <c r="P201" t="e">
        <f t="shared" si="30"/>
        <v>#N/A</v>
      </c>
      <c r="Q201" t="e">
        <f t="shared" si="31"/>
        <v>#N/A</v>
      </c>
      <c r="R201" t="e">
        <f t="shared" si="32"/>
        <v>#N/A</v>
      </c>
      <c r="S201" t="e">
        <f t="shared" si="33"/>
        <v>#N/A</v>
      </c>
      <c r="T201" t="e">
        <f t="shared" si="34"/>
        <v>#N/A</v>
      </c>
      <c r="U201" t="e">
        <f t="shared" si="35"/>
        <v>#N/A</v>
      </c>
      <c r="V201">
        <f t="shared" si="36"/>
        <v>246000</v>
      </c>
      <c r="W201">
        <f t="shared" si="37"/>
        <v>49</v>
      </c>
      <c r="X201" t="e">
        <f t="shared" si="38"/>
        <v>#N/A</v>
      </c>
      <c r="Y201" t="e">
        <f t="shared" si="39"/>
        <v>#N/A</v>
      </c>
    </row>
    <row r="202" spans="1:25" x14ac:dyDescent="0.2">
      <c r="A202">
        <v>1200</v>
      </c>
      <c r="B202" t="s">
        <v>28</v>
      </c>
      <c r="C202" t="s">
        <v>29</v>
      </c>
      <c r="D202">
        <v>2024</v>
      </c>
      <c r="E202" t="s">
        <v>26</v>
      </c>
      <c r="F202">
        <v>440</v>
      </c>
      <c r="G202">
        <v>5</v>
      </c>
      <c r="H202">
        <v>5</v>
      </c>
      <c r="I202">
        <v>2015000</v>
      </c>
      <c r="J202">
        <v>4579.5</v>
      </c>
      <c r="K202">
        <v>3</v>
      </c>
      <c r="L202" t="s">
        <v>17</v>
      </c>
      <c r="M202">
        <v>102</v>
      </c>
      <c r="N202" t="s">
        <v>27</v>
      </c>
      <c r="P202">
        <f t="shared" si="30"/>
        <v>2015000</v>
      </c>
      <c r="Q202">
        <f t="shared" si="31"/>
        <v>440</v>
      </c>
      <c r="R202" t="e">
        <f t="shared" si="32"/>
        <v>#N/A</v>
      </c>
      <c r="S202" t="e">
        <f t="shared" si="33"/>
        <v>#N/A</v>
      </c>
      <c r="T202" t="e">
        <f t="shared" si="34"/>
        <v>#N/A</v>
      </c>
      <c r="U202" t="e">
        <f t="shared" si="35"/>
        <v>#N/A</v>
      </c>
      <c r="V202" t="e">
        <f t="shared" si="36"/>
        <v>#N/A</v>
      </c>
      <c r="W202" t="e">
        <f t="shared" si="37"/>
        <v>#N/A</v>
      </c>
      <c r="X202" t="e">
        <f t="shared" si="38"/>
        <v>#N/A</v>
      </c>
      <c r="Y202" t="e">
        <f t="shared" si="39"/>
        <v>#N/A</v>
      </c>
    </row>
    <row r="203" spans="1:25" x14ac:dyDescent="0.2">
      <c r="A203">
        <v>1201</v>
      </c>
      <c r="B203" t="s">
        <v>46</v>
      </c>
      <c r="C203" t="s">
        <v>23</v>
      </c>
      <c r="D203">
        <v>2021</v>
      </c>
      <c r="E203" t="s">
        <v>24</v>
      </c>
      <c r="F203">
        <v>255</v>
      </c>
      <c r="G203">
        <v>4</v>
      </c>
      <c r="H203">
        <v>4</v>
      </c>
      <c r="I203">
        <v>928000</v>
      </c>
      <c r="J203">
        <v>3639.2</v>
      </c>
      <c r="K203">
        <v>2</v>
      </c>
      <c r="L203" t="s">
        <v>17</v>
      </c>
      <c r="M203">
        <v>151</v>
      </c>
      <c r="N203" t="s">
        <v>18</v>
      </c>
      <c r="P203" t="e">
        <f t="shared" si="30"/>
        <v>#N/A</v>
      </c>
      <c r="Q203" t="e">
        <f t="shared" si="31"/>
        <v>#N/A</v>
      </c>
      <c r="R203" t="e">
        <f t="shared" si="32"/>
        <v>#N/A</v>
      </c>
      <c r="S203" t="e">
        <f t="shared" si="33"/>
        <v>#N/A</v>
      </c>
      <c r="T203">
        <f t="shared" si="34"/>
        <v>928000</v>
      </c>
      <c r="U203">
        <f t="shared" si="35"/>
        <v>255</v>
      </c>
      <c r="V203" t="e">
        <f t="shared" si="36"/>
        <v>#N/A</v>
      </c>
      <c r="W203" t="e">
        <f t="shared" si="37"/>
        <v>#N/A</v>
      </c>
      <c r="X203" t="e">
        <f t="shared" si="38"/>
        <v>#N/A</v>
      </c>
      <c r="Y203" t="e">
        <f t="shared" si="39"/>
        <v>#N/A</v>
      </c>
    </row>
    <row r="204" spans="1:25" x14ac:dyDescent="0.2">
      <c r="A204">
        <v>1202</v>
      </c>
      <c r="B204" t="s">
        <v>43</v>
      </c>
      <c r="C204" t="s">
        <v>29</v>
      </c>
      <c r="D204">
        <v>2023</v>
      </c>
      <c r="E204" t="s">
        <v>24</v>
      </c>
      <c r="F204">
        <v>382</v>
      </c>
      <c r="G204">
        <v>6</v>
      </c>
      <c r="H204">
        <v>6</v>
      </c>
      <c r="I204">
        <v>2389000</v>
      </c>
      <c r="J204">
        <v>6253.9</v>
      </c>
      <c r="K204">
        <v>10</v>
      </c>
      <c r="L204" t="s">
        <v>17</v>
      </c>
      <c r="M204">
        <v>26</v>
      </c>
      <c r="N204" t="s">
        <v>27</v>
      </c>
      <c r="P204">
        <f t="shared" si="30"/>
        <v>2389000</v>
      </c>
      <c r="Q204">
        <f t="shared" si="31"/>
        <v>382</v>
      </c>
      <c r="R204" t="e">
        <f t="shared" si="32"/>
        <v>#N/A</v>
      </c>
      <c r="S204" t="e">
        <f t="shared" si="33"/>
        <v>#N/A</v>
      </c>
      <c r="T204" t="e">
        <f t="shared" si="34"/>
        <v>#N/A</v>
      </c>
      <c r="U204" t="e">
        <f t="shared" si="35"/>
        <v>#N/A</v>
      </c>
      <c r="V204" t="e">
        <f t="shared" si="36"/>
        <v>#N/A</v>
      </c>
      <c r="W204" t="e">
        <f t="shared" si="37"/>
        <v>#N/A</v>
      </c>
      <c r="X204" t="e">
        <f t="shared" si="38"/>
        <v>#N/A</v>
      </c>
      <c r="Y204" t="e">
        <f t="shared" si="39"/>
        <v>#N/A</v>
      </c>
    </row>
    <row r="205" spans="1:25" x14ac:dyDescent="0.2">
      <c r="A205">
        <v>1203</v>
      </c>
      <c r="B205" t="s">
        <v>31</v>
      </c>
      <c r="C205" t="s">
        <v>29</v>
      </c>
      <c r="D205">
        <v>2021</v>
      </c>
      <c r="E205" t="s">
        <v>30</v>
      </c>
      <c r="F205">
        <v>439</v>
      </c>
      <c r="G205">
        <v>4</v>
      </c>
      <c r="H205">
        <v>4</v>
      </c>
      <c r="I205">
        <v>1772000</v>
      </c>
      <c r="J205">
        <v>4036.4</v>
      </c>
      <c r="K205">
        <v>0</v>
      </c>
      <c r="L205" t="s">
        <v>17</v>
      </c>
      <c r="M205">
        <v>13</v>
      </c>
      <c r="N205" t="s">
        <v>21</v>
      </c>
      <c r="P205">
        <f t="shared" si="30"/>
        <v>1772000</v>
      </c>
      <c r="Q205">
        <f t="shared" si="31"/>
        <v>439</v>
      </c>
      <c r="R205" t="e">
        <f t="shared" si="32"/>
        <v>#N/A</v>
      </c>
      <c r="S205" t="e">
        <f t="shared" si="33"/>
        <v>#N/A</v>
      </c>
      <c r="T205" t="e">
        <f t="shared" si="34"/>
        <v>#N/A</v>
      </c>
      <c r="U205" t="e">
        <f t="shared" si="35"/>
        <v>#N/A</v>
      </c>
      <c r="V205" t="e">
        <f t="shared" si="36"/>
        <v>#N/A</v>
      </c>
      <c r="W205" t="e">
        <f t="shared" si="37"/>
        <v>#N/A</v>
      </c>
      <c r="X205" t="e">
        <f t="shared" si="38"/>
        <v>#N/A</v>
      </c>
      <c r="Y205" t="e">
        <f t="shared" si="39"/>
        <v>#N/A</v>
      </c>
    </row>
    <row r="206" spans="1:25" x14ac:dyDescent="0.2">
      <c r="A206">
        <v>1204</v>
      </c>
      <c r="B206" t="s">
        <v>45</v>
      </c>
      <c r="C206" t="s">
        <v>15</v>
      </c>
      <c r="D206">
        <v>2024</v>
      </c>
      <c r="E206" t="s">
        <v>24</v>
      </c>
      <c r="F206">
        <v>102</v>
      </c>
      <c r="G206">
        <v>2</v>
      </c>
      <c r="H206">
        <v>2</v>
      </c>
      <c r="I206">
        <v>469000</v>
      </c>
      <c r="J206">
        <v>4598</v>
      </c>
      <c r="K206">
        <v>0</v>
      </c>
      <c r="L206" t="s">
        <v>17</v>
      </c>
      <c r="M206">
        <v>3</v>
      </c>
      <c r="N206" t="s">
        <v>21</v>
      </c>
      <c r="P206" t="e">
        <f t="shared" si="30"/>
        <v>#N/A</v>
      </c>
      <c r="Q206" t="e">
        <f t="shared" si="31"/>
        <v>#N/A</v>
      </c>
      <c r="R206">
        <f t="shared" si="32"/>
        <v>469000</v>
      </c>
      <c r="S206">
        <f t="shared" si="33"/>
        <v>102</v>
      </c>
      <c r="T206" t="e">
        <f t="shared" si="34"/>
        <v>#N/A</v>
      </c>
      <c r="U206" t="e">
        <f t="shared" si="35"/>
        <v>#N/A</v>
      </c>
      <c r="V206" t="e">
        <f t="shared" si="36"/>
        <v>#N/A</v>
      </c>
      <c r="W206" t="e">
        <f t="shared" si="37"/>
        <v>#N/A</v>
      </c>
      <c r="X206" t="e">
        <f t="shared" si="38"/>
        <v>#N/A</v>
      </c>
      <c r="Y206" t="e">
        <f t="shared" si="39"/>
        <v>#N/A</v>
      </c>
    </row>
    <row r="207" spans="1:25" x14ac:dyDescent="0.2">
      <c r="A207">
        <v>1205</v>
      </c>
      <c r="B207" t="s">
        <v>37</v>
      </c>
      <c r="C207" t="s">
        <v>23</v>
      </c>
      <c r="D207">
        <v>2023</v>
      </c>
      <c r="E207" t="s">
        <v>30</v>
      </c>
      <c r="F207">
        <v>210</v>
      </c>
      <c r="G207">
        <v>4</v>
      </c>
      <c r="H207">
        <v>4</v>
      </c>
      <c r="I207">
        <v>1143000</v>
      </c>
      <c r="J207">
        <v>5442.9</v>
      </c>
      <c r="K207">
        <v>4</v>
      </c>
      <c r="L207" t="s">
        <v>20</v>
      </c>
      <c r="M207">
        <v>112</v>
      </c>
      <c r="N207" t="s">
        <v>27</v>
      </c>
      <c r="P207" t="e">
        <f t="shared" si="30"/>
        <v>#N/A</v>
      </c>
      <c r="Q207" t="e">
        <f t="shared" si="31"/>
        <v>#N/A</v>
      </c>
      <c r="R207" t="e">
        <f t="shared" si="32"/>
        <v>#N/A</v>
      </c>
      <c r="S207" t="e">
        <f t="shared" si="33"/>
        <v>#N/A</v>
      </c>
      <c r="T207">
        <f t="shared" si="34"/>
        <v>1143000</v>
      </c>
      <c r="U207">
        <f t="shared" si="35"/>
        <v>210</v>
      </c>
      <c r="V207" t="e">
        <f t="shared" si="36"/>
        <v>#N/A</v>
      </c>
      <c r="W207" t="e">
        <f t="shared" si="37"/>
        <v>#N/A</v>
      </c>
      <c r="X207" t="e">
        <f t="shared" si="38"/>
        <v>#N/A</v>
      </c>
      <c r="Y207" t="e">
        <f t="shared" si="39"/>
        <v>#N/A</v>
      </c>
    </row>
    <row r="208" spans="1:25" x14ac:dyDescent="0.2">
      <c r="A208">
        <v>1206</v>
      </c>
      <c r="B208" t="s">
        <v>35</v>
      </c>
      <c r="C208" t="s">
        <v>38</v>
      </c>
      <c r="D208">
        <v>2023</v>
      </c>
      <c r="E208" t="s">
        <v>26</v>
      </c>
      <c r="F208">
        <v>48</v>
      </c>
      <c r="G208">
        <v>0</v>
      </c>
      <c r="H208">
        <v>1</v>
      </c>
      <c r="I208">
        <v>242000</v>
      </c>
      <c r="J208">
        <v>5041.7</v>
      </c>
      <c r="K208">
        <v>5</v>
      </c>
      <c r="L208" t="s">
        <v>34</v>
      </c>
      <c r="M208">
        <v>41</v>
      </c>
      <c r="N208" t="s">
        <v>18</v>
      </c>
      <c r="P208" t="e">
        <f t="shared" si="30"/>
        <v>#N/A</v>
      </c>
      <c r="Q208" t="e">
        <f t="shared" si="31"/>
        <v>#N/A</v>
      </c>
      <c r="R208" t="e">
        <f t="shared" si="32"/>
        <v>#N/A</v>
      </c>
      <c r="S208" t="e">
        <f t="shared" si="33"/>
        <v>#N/A</v>
      </c>
      <c r="T208" t="e">
        <f t="shared" si="34"/>
        <v>#N/A</v>
      </c>
      <c r="U208" t="e">
        <f t="shared" si="35"/>
        <v>#N/A</v>
      </c>
      <c r="V208">
        <f t="shared" si="36"/>
        <v>242000</v>
      </c>
      <c r="W208">
        <f t="shared" si="37"/>
        <v>48</v>
      </c>
      <c r="X208" t="e">
        <f t="shared" si="38"/>
        <v>#N/A</v>
      </c>
      <c r="Y208" t="e">
        <f t="shared" si="39"/>
        <v>#N/A</v>
      </c>
    </row>
    <row r="209" spans="1:25" x14ac:dyDescent="0.2">
      <c r="A209">
        <v>1207</v>
      </c>
      <c r="B209" t="s">
        <v>39</v>
      </c>
      <c r="C209" t="s">
        <v>23</v>
      </c>
      <c r="D209">
        <v>2021</v>
      </c>
      <c r="E209" t="s">
        <v>30</v>
      </c>
      <c r="F209">
        <v>269</v>
      </c>
      <c r="G209">
        <v>5</v>
      </c>
      <c r="H209">
        <v>5</v>
      </c>
      <c r="I209">
        <v>1087000</v>
      </c>
      <c r="J209">
        <v>4040.9</v>
      </c>
      <c r="K209">
        <v>4</v>
      </c>
      <c r="L209" t="s">
        <v>17</v>
      </c>
      <c r="M209">
        <v>127</v>
      </c>
      <c r="N209" t="s">
        <v>21</v>
      </c>
      <c r="P209" t="e">
        <f t="shared" si="30"/>
        <v>#N/A</v>
      </c>
      <c r="Q209" t="e">
        <f t="shared" si="31"/>
        <v>#N/A</v>
      </c>
      <c r="R209" t="e">
        <f t="shared" si="32"/>
        <v>#N/A</v>
      </c>
      <c r="S209" t="e">
        <f t="shared" si="33"/>
        <v>#N/A</v>
      </c>
      <c r="T209">
        <f t="shared" si="34"/>
        <v>1087000</v>
      </c>
      <c r="U209">
        <f t="shared" si="35"/>
        <v>269</v>
      </c>
      <c r="V209" t="e">
        <f t="shared" si="36"/>
        <v>#N/A</v>
      </c>
      <c r="W209" t="e">
        <f t="shared" si="37"/>
        <v>#N/A</v>
      </c>
      <c r="X209" t="e">
        <f t="shared" si="38"/>
        <v>#N/A</v>
      </c>
      <c r="Y209" t="e">
        <f t="shared" si="39"/>
        <v>#N/A</v>
      </c>
    </row>
    <row r="210" spans="1:25" x14ac:dyDescent="0.2">
      <c r="A210">
        <v>1208</v>
      </c>
      <c r="B210" t="s">
        <v>39</v>
      </c>
      <c r="C210" t="s">
        <v>29</v>
      </c>
      <c r="D210">
        <v>2024</v>
      </c>
      <c r="E210" t="s">
        <v>24</v>
      </c>
      <c r="F210">
        <v>489</v>
      </c>
      <c r="G210">
        <v>5</v>
      </c>
      <c r="H210">
        <v>5</v>
      </c>
      <c r="I210">
        <v>2956000</v>
      </c>
      <c r="J210">
        <v>6045</v>
      </c>
      <c r="K210">
        <v>15</v>
      </c>
      <c r="L210" t="s">
        <v>17</v>
      </c>
      <c r="M210">
        <v>103</v>
      </c>
      <c r="N210" t="s">
        <v>21</v>
      </c>
      <c r="P210">
        <f t="shared" si="30"/>
        <v>2956000</v>
      </c>
      <c r="Q210">
        <f t="shared" si="31"/>
        <v>489</v>
      </c>
      <c r="R210" t="e">
        <f t="shared" si="32"/>
        <v>#N/A</v>
      </c>
      <c r="S210" t="e">
        <f t="shared" si="33"/>
        <v>#N/A</v>
      </c>
      <c r="T210" t="e">
        <f t="shared" si="34"/>
        <v>#N/A</v>
      </c>
      <c r="U210" t="e">
        <f t="shared" si="35"/>
        <v>#N/A</v>
      </c>
      <c r="V210" t="e">
        <f t="shared" si="36"/>
        <v>#N/A</v>
      </c>
      <c r="W210" t="e">
        <f t="shared" si="37"/>
        <v>#N/A</v>
      </c>
      <c r="X210" t="e">
        <f t="shared" si="38"/>
        <v>#N/A</v>
      </c>
      <c r="Y210" t="e">
        <f t="shared" si="39"/>
        <v>#N/A</v>
      </c>
    </row>
    <row r="211" spans="1:25" x14ac:dyDescent="0.2">
      <c r="A211">
        <v>1209</v>
      </c>
      <c r="B211" t="s">
        <v>35</v>
      </c>
      <c r="C211" t="s">
        <v>15</v>
      </c>
      <c r="D211">
        <v>2021</v>
      </c>
      <c r="E211" t="s">
        <v>24</v>
      </c>
      <c r="F211">
        <v>140</v>
      </c>
      <c r="G211">
        <v>2</v>
      </c>
      <c r="H211">
        <v>2</v>
      </c>
      <c r="I211">
        <v>437000</v>
      </c>
      <c r="J211">
        <v>3121.4</v>
      </c>
      <c r="K211">
        <v>20</v>
      </c>
      <c r="L211" t="s">
        <v>17</v>
      </c>
      <c r="M211">
        <v>136</v>
      </c>
      <c r="N211" t="s">
        <v>18</v>
      </c>
      <c r="P211" t="e">
        <f t="shared" si="30"/>
        <v>#N/A</v>
      </c>
      <c r="Q211" t="e">
        <f t="shared" si="31"/>
        <v>#N/A</v>
      </c>
      <c r="R211">
        <f t="shared" si="32"/>
        <v>437000</v>
      </c>
      <c r="S211">
        <f t="shared" si="33"/>
        <v>140</v>
      </c>
      <c r="T211" t="e">
        <f t="shared" si="34"/>
        <v>#N/A</v>
      </c>
      <c r="U211" t="e">
        <f t="shared" si="35"/>
        <v>#N/A</v>
      </c>
      <c r="V211" t="e">
        <f t="shared" si="36"/>
        <v>#N/A</v>
      </c>
      <c r="W211" t="e">
        <f t="shared" si="37"/>
        <v>#N/A</v>
      </c>
      <c r="X211" t="e">
        <f t="shared" si="38"/>
        <v>#N/A</v>
      </c>
      <c r="Y211" t="e">
        <f t="shared" si="39"/>
        <v>#N/A</v>
      </c>
    </row>
    <row r="212" spans="1:25" x14ac:dyDescent="0.2">
      <c r="A212">
        <v>1210</v>
      </c>
      <c r="B212" t="s">
        <v>47</v>
      </c>
      <c r="C212" t="s">
        <v>36</v>
      </c>
      <c r="D212">
        <v>2023</v>
      </c>
      <c r="E212" t="s">
        <v>16</v>
      </c>
      <c r="F212">
        <v>349</v>
      </c>
      <c r="G212">
        <v>4</v>
      </c>
      <c r="H212">
        <v>4</v>
      </c>
      <c r="I212">
        <v>786000</v>
      </c>
      <c r="J212">
        <v>2252.1</v>
      </c>
      <c r="K212">
        <v>10</v>
      </c>
      <c r="L212" t="s">
        <v>20</v>
      </c>
      <c r="M212">
        <v>178</v>
      </c>
      <c r="N212" t="s">
        <v>21</v>
      </c>
      <c r="P212" t="e">
        <f t="shared" si="30"/>
        <v>#N/A</v>
      </c>
      <c r="Q212" t="e">
        <f t="shared" si="31"/>
        <v>#N/A</v>
      </c>
      <c r="R212" t="e">
        <f t="shared" si="32"/>
        <v>#N/A</v>
      </c>
      <c r="S212" t="e">
        <f t="shared" si="33"/>
        <v>#N/A</v>
      </c>
      <c r="T212" t="e">
        <f t="shared" si="34"/>
        <v>#N/A</v>
      </c>
      <c r="U212" t="e">
        <f t="shared" si="35"/>
        <v>#N/A</v>
      </c>
      <c r="V212" t="e">
        <f t="shared" si="36"/>
        <v>#N/A</v>
      </c>
      <c r="W212" t="e">
        <f t="shared" si="37"/>
        <v>#N/A</v>
      </c>
      <c r="X212">
        <f t="shared" si="38"/>
        <v>786000</v>
      </c>
      <c r="Y212">
        <f t="shared" si="39"/>
        <v>349</v>
      </c>
    </row>
    <row r="213" spans="1:25" x14ac:dyDescent="0.2">
      <c r="A213">
        <v>1211</v>
      </c>
      <c r="B213" t="s">
        <v>39</v>
      </c>
      <c r="C213" t="s">
        <v>29</v>
      </c>
      <c r="D213">
        <v>2023</v>
      </c>
      <c r="E213" t="s">
        <v>30</v>
      </c>
      <c r="F213">
        <v>397</v>
      </c>
      <c r="G213">
        <v>5</v>
      </c>
      <c r="H213">
        <v>5</v>
      </c>
      <c r="I213">
        <v>2267000</v>
      </c>
      <c r="J213">
        <v>5710.3</v>
      </c>
      <c r="K213">
        <v>2</v>
      </c>
      <c r="L213" t="s">
        <v>34</v>
      </c>
      <c r="M213">
        <v>172</v>
      </c>
      <c r="N213" t="s">
        <v>21</v>
      </c>
      <c r="P213">
        <f t="shared" si="30"/>
        <v>2267000</v>
      </c>
      <c r="Q213">
        <f t="shared" si="31"/>
        <v>397</v>
      </c>
      <c r="R213" t="e">
        <f t="shared" si="32"/>
        <v>#N/A</v>
      </c>
      <c r="S213" t="e">
        <f t="shared" si="33"/>
        <v>#N/A</v>
      </c>
      <c r="T213" t="e">
        <f t="shared" si="34"/>
        <v>#N/A</v>
      </c>
      <c r="U213" t="e">
        <f t="shared" si="35"/>
        <v>#N/A</v>
      </c>
      <c r="V213" t="e">
        <f t="shared" si="36"/>
        <v>#N/A</v>
      </c>
      <c r="W213" t="e">
        <f t="shared" si="37"/>
        <v>#N/A</v>
      </c>
      <c r="X213" t="e">
        <f t="shared" si="38"/>
        <v>#N/A</v>
      </c>
      <c r="Y213" t="e">
        <f t="shared" si="39"/>
        <v>#N/A</v>
      </c>
    </row>
    <row r="214" spans="1:25" x14ac:dyDescent="0.2">
      <c r="A214">
        <v>1212</v>
      </c>
      <c r="B214" t="s">
        <v>47</v>
      </c>
      <c r="C214" t="s">
        <v>36</v>
      </c>
      <c r="D214">
        <v>2023</v>
      </c>
      <c r="E214" t="s">
        <v>30</v>
      </c>
      <c r="F214">
        <v>369</v>
      </c>
      <c r="G214">
        <v>3</v>
      </c>
      <c r="H214">
        <v>3</v>
      </c>
      <c r="I214">
        <v>930000</v>
      </c>
      <c r="J214">
        <v>2520.3000000000002</v>
      </c>
      <c r="K214">
        <v>2</v>
      </c>
      <c r="L214" t="s">
        <v>34</v>
      </c>
      <c r="M214">
        <v>78</v>
      </c>
      <c r="N214" t="s">
        <v>21</v>
      </c>
      <c r="P214" t="e">
        <f t="shared" si="30"/>
        <v>#N/A</v>
      </c>
      <c r="Q214" t="e">
        <f t="shared" si="31"/>
        <v>#N/A</v>
      </c>
      <c r="R214" t="e">
        <f t="shared" si="32"/>
        <v>#N/A</v>
      </c>
      <c r="S214" t="e">
        <f t="shared" si="33"/>
        <v>#N/A</v>
      </c>
      <c r="T214" t="e">
        <f t="shared" si="34"/>
        <v>#N/A</v>
      </c>
      <c r="U214" t="e">
        <f t="shared" si="35"/>
        <v>#N/A</v>
      </c>
      <c r="V214" t="e">
        <f t="shared" si="36"/>
        <v>#N/A</v>
      </c>
      <c r="W214" t="e">
        <f t="shared" si="37"/>
        <v>#N/A</v>
      </c>
      <c r="X214">
        <f t="shared" si="38"/>
        <v>930000</v>
      </c>
      <c r="Y214">
        <f t="shared" si="39"/>
        <v>369</v>
      </c>
    </row>
    <row r="215" spans="1:25" x14ac:dyDescent="0.2">
      <c r="A215">
        <v>1213</v>
      </c>
      <c r="B215" t="s">
        <v>33</v>
      </c>
      <c r="C215" t="s">
        <v>23</v>
      </c>
      <c r="D215">
        <v>2021</v>
      </c>
      <c r="E215" t="s">
        <v>24</v>
      </c>
      <c r="F215">
        <v>239</v>
      </c>
      <c r="G215">
        <v>3</v>
      </c>
      <c r="H215">
        <v>3</v>
      </c>
      <c r="I215">
        <v>657000</v>
      </c>
      <c r="J215">
        <v>2749</v>
      </c>
      <c r="K215">
        <v>1</v>
      </c>
      <c r="L215" t="s">
        <v>17</v>
      </c>
      <c r="M215">
        <v>115</v>
      </c>
      <c r="N215" t="s">
        <v>27</v>
      </c>
      <c r="P215" t="e">
        <f t="shared" si="30"/>
        <v>#N/A</v>
      </c>
      <c r="Q215" t="e">
        <f t="shared" si="31"/>
        <v>#N/A</v>
      </c>
      <c r="R215" t="e">
        <f t="shared" si="32"/>
        <v>#N/A</v>
      </c>
      <c r="S215" t="e">
        <f t="shared" si="33"/>
        <v>#N/A</v>
      </c>
      <c r="T215">
        <f t="shared" si="34"/>
        <v>657000</v>
      </c>
      <c r="U215">
        <f t="shared" si="35"/>
        <v>239</v>
      </c>
      <c r="V215" t="e">
        <f t="shared" si="36"/>
        <v>#N/A</v>
      </c>
      <c r="W215" t="e">
        <f t="shared" si="37"/>
        <v>#N/A</v>
      </c>
      <c r="X215" t="e">
        <f t="shared" si="38"/>
        <v>#N/A</v>
      </c>
      <c r="Y215" t="e">
        <f t="shared" si="39"/>
        <v>#N/A</v>
      </c>
    </row>
    <row r="216" spans="1:25" x14ac:dyDescent="0.2">
      <c r="A216">
        <v>1214</v>
      </c>
      <c r="B216" t="s">
        <v>47</v>
      </c>
      <c r="C216" t="s">
        <v>15</v>
      </c>
      <c r="D216">
        <v>2021</v>
      </c>
      <c r="E216" t="s">
        <v>30</v>
      </c>
      <c r="F216">
        <v>142</v>
      </c>
      <c r="G216">
        <v>2</v>
      </c>
      <c r="H216">
        <v>2</v>
      </c>
      <c r="I216">
        <v>369000</v>
      </c>
      <c r="J216">
        <v>2598.6</v>
      </c>
      <c r="K216">
        <v>10</v>
      </c>
      <c r="L216" t="s">
        <v>20</v>
      </c>
      <c r="M216">
        <v>16</v>
      </c>
      <c r="N216" t="s">
        <v>21</v>
      </c>
      <c r="P216" t="e">
        <f t="shared" si="30"/>
        <v>#N/A</v>
      </c>
      <c r="Q216" t="e">
        <f t="shared" si="31"/>
        <v>#N/A</v>
      </c>
      <c r="R216">
        <f t="shared" si="32"/>
        <v>369000</v>
      </c>
      <c r="S216">
        <f t="shared" si="33"/>
        <v>142</v>
      </c>
      <c r="T216" t="e">
        <f t="shared" si="34"/>
        <v>#N/A</v>
      </c>
      <c r="U216" t="e">
        <f t="shared" si="35"/>
        <v>#N/A</v>
      </c>
      <c r="V216" t="e">
        <f t="shared" si="36"/>
        <v>#N/A</v>
      </c>
      <c r="W216" t="e">
        <f t="shared" si="37"/>
        <v>#N/A</v>
      </c>
      <c r="X216" t="e">
        <f t="shared" si="38"/>
        <v>#N/A</v>
      </c>
      <c r="Y216" t="e">
        <f t="shared" si="39"/>
        <v>#N/A</v>
      </c>
    </row>
    <row r="217" spans="1:25" x14ac:dyDescent="0.2">
      <c r="A217">
        <v>1215</v>
      </c>
      <c r="B217" t="s">
        <v>42</v>
      </c>
      <c r="C217" t="s">
        <v>29</v>
      </c>
      <c r="D217">
        <v>2024</v>
      </c>
      <c r="E217" t="s">
        <v>30</v>
      </c>
      <c r="F217">
        <v>452</v>
      </c>
      <c r="G217">
        <v>5</v>
      </c>
      <c r="H217">
        <v>5</v>
      </c>
      <c r="I217">
        <v>3608000</v>
      </c>
      <c r="J217">
        <v>7982.3</v>
      </c>
      <c r="K217">
        <v>0</v>
      </c>
      <c r="L217" t="s">
        <v>17</v>
      </c>
      <c r="M217">
        <v>59</v>
      </c>
      <c r="N217" t="s">
        <v>21</v>
      </c>
      <c r="P217">
        <f t="shared" si="30"/>
        <v>3608000</v>
      </c>
      <c r="Q217">
        <f t="shared" si="31"/>
        <v>452</v>
      </c>
      <c r="R217" t="e">
        <f t="shared" si="32"/>
        <v>#N/A</v>
      </c>
      <c r="S217" t="e">
        <f t="shared" si="33"/>
        <v>#N/A</v>
      </c>
      <c r="T217" t="e">
        <f t="shared" si="34"/>
        <v>#N/A</v>
      </c>
      <c r="U217" t="e">
        <f t="shared" si="35"/>
        <v>#N/A</v>
      </c>
      <c r="V217" t="e">
        <f t="shared" si="36"/>
        <v>#N/A</v>
      </c>
      <c r="W217" t="e">
        <f t="shared" si="37"/>
        <v>#N/A</v>
      </c>
      <c r="X217" t="e">
        <f t="shared" si="38"/>
        <v>#N/A</v>
      </c>
      <c r="Y217" t="e">
        <f t="shared" si="39"/>
        <v>#N/A</v>
      </c>
    </row>
    <row r="218" spans="1:25" x14ac:dyDescent="0.2">
      <c r="A218">
        <v>1216</v>
      </c>
      <c r="B218" t="s">
        <v>47</v>
      </c>
      <c r="C218" t="s">
        <v>15</v>
      </c>
      <c r="D218">
        <v>2024</v>
      </c>
      <c r="E218" t="s">
        <v>26</v>
      </c>
      <c r="F218">
        <v>152</v>
      </c>
      <c r="G218">
        <v>2</v>
      </c>
      <c r="H218">
        <v>2</v>
      </c>
      <c r="I218">
        <v>473000</v>
      </c>
      <c r="J218">
        <v>3111.8</v>
      </c>
      <c r="K218">
        <v>3</v>
      </c>
      <c r="L218" t="s">
        <v>20</v>
      </c>
      <c r="M218">
        <v>55</v>
      </c>
      <c r="N218" t="s">
        <v>21</v>
      </c>
      <c r="P218" t="e">
        <f t="shared" si="30"/>
        <v>#N/A</v>
      </c>
      <c r="Q218" t="e">
        <f t="shared" si="31"/>
        <v>#N/A</v>
      </c>
      <c r="R218">
        <f t="shared" si="32"/>
        <v>473000</v>
      </c>
      <c r="S218">
        <f t="shared" si="33"/>
        <v>152</v>
      </c>
      <c r="T218" t="e">
        <f t="shared" si="34"/>
        <v>#N/A</v>
      </c>
      <c r="U218" t="e">
        <f t="shared" si="35"/>
        <v>#N/A</v>
      </c>
      <c r="V218" t="e">
        <f t="shared" si="36"/>
        <v>#N/A</v>
      </c>
      <c r="W218" t="e">
        <f t="shared" si="37"/>
        <v>#N/A</v>
      </c>
      <c r="X218" t="e">
        <f t="shared" si="38"/>
        <v>#N/A</v>
      </c>
      <c r="Y218" t="e">
        <f t="shared" si="39"/>
        <v>#N/A</v>
      </c>
    </row>
    <row r="219" spans="1:25" x14ac:dyDescent="0.2">
      <c r="A219">
        <v>1217</v>
      </c>
      <c r="B219" t="s">
        <v>43</v>
      </c>
      <c r="C219" t="s">
        <v>15</v>
      </c>
      <c r="D219">
        <v>2022</v>
      </c>
      <c r="E219" t="s">
        <v>26</v>
      </c>
      <c r="F219">
        <v>145</v>
      </c>
      <c r="G219">
        <v>3</v>
      </c>
      <c r="H219">
        <v>3</v>
      </c>
      <c r="I219">
        <v>595000</v>
      </c>
      <c r="J219">
        <v>4103.3999999999996</v>
      </c>
      <c r="K219">
        <v>10</v>
      </c>
      <c r="L219" t="s">
        <v>17</v>
      </c>
      <c r="M219">
        <v>170</v>
      </c>
      <c r="N219" t="s">
        <v>27</v>
      </c>
      <c r="P219" t="e">
        <f t="shared" si="30"/>
        <v>#N/A</v>
      </c>
      <c r="Q219" t="e">
        <f t="shared" si="31"/>
        <v>#N/A</v>
      </c>
      <c r="R219">
        <f t="shared" si="32"/>
        <v>595000</v>
      </c>
      <c r="S219">
        <f t="shared" si="33"/>
        <v>145</v>
      </c>
      <c r="T219" t="e">
        <f t="shared" si="34"/>
        <v>#N/A</v>
      </c>
      <c r="U219" t="e">
        <f t="shared" si="35"/>
        <v>#N/A</v>
      </c>
      <c r="V219" t="e">
        <f t="shared" si="36"/>
        <v>#N/A</v>
      </c>
      <c r="W219" t="e">
        <f t="shared" si="37"/>
        <v>#N/A</v>
      </c>
      <c r="X219" t="e">
        <f t="shared" si="38"/>
        <v>#N/A</v>
      </c>
      <c r="Y219" t="e">
        <f t="shared" si="39"/>
        <v>#N/A</v>
      </c>
    </row>
    <row r="220" spans="1:25" x14ac:dyDescent="0.2">
      <c r="A220">
        <v>1218</v>
      </c>
      <c r="B220" t="s">
        <v>43</v>
      </c>
      <c r="C220" t="s">
        <v>29</v>
      </c>
      <c r="D220">
        <v>2022</v>
      </c>
      <c r="E220" t="s">
        <v>26</v>
      </c>
      <c r="F220">
        <v>422</v>
      </c>
      <c r="G220">
        <v>5</v>
      </c>
      <c r="H220">
        <v>5</v>
      </c>
      <c r="I220">
        <v>2664000</v>
      </c>
      <c r="J220">
        <v>6312.8</v>
      </c>
      <c r="K220">
        <v>20</v>
      </c>
      <c r="L220" t="s">
        <v>17</v>
      </c>
      <c r="M220">
        <v>112</v>
      </c>
      <c r="N220" t="s">
        <v>27</v>
      </c>
      <c r="P220">
        <f t="shared" si="30"/>
        <v>2664000</v>
      </c>
      <c r="Q220">
        <f t="shared" si="31"/>
        <v>422</v>
      </c>
      <c r="R220" t="e">
        <f t="shared" si="32"/>
        <v>#N/A</v>
      </c>
      <c r="S220" t="e">
        <f t="shared" si="33"/>
        <v>#N/A</v>
      </c>
      <c r="T220" t="e">
        <f t="shared" si="34"/>
        <v>#N/A</v>
      </c>
      <c r="U220" t="e">
        <f t="shared" si="35"/>
        <v>#N/A</v>
      </c>
      <c r="V220" t="e">
        <f t="shared" si="36"/>
        <v>#N/A</v>
      </c>
      <c r="W220" t="e">
        <f t="shared" si="37"/>
        <v>#N/A</v>
      </c>
      <c r="X220" t="e">
        <f t="shared" si="38"/>
        <v>#N/A</v>
      </c>
      <c r="Y220" t="e">
        <f t="shared" si="39"/>
        <v>#N/A</v>
      </c>
    </row>
    <row r="221" spans="1:25" x14ac:dyDescent="0.2">
      <c r="A221">
        <v>1219</v>
      </c>
      <c r="B221" t="s">
        <v>32</v>
      </c>
      <c r="C221" t="s">
        <v>29</v>
      </c>
      <c r="D221">
        <v>2024</v>
      </c>
      <c r="E221" t="s">
        <v>16</v>
      </c>
      <c r="F221">
        <v>460</v>
      </c>
      <c r="G221">
        <v>5</v>
      </c>
      <c r="H221">
        <v>5</v>
      </c>
      <c r="I221">
        <v>2254000</v>
      </c>
      <c r="J221">
        <v>4900</v>
      </c>
      <c r="K221">
        <v>2</v>
      </c>
      <c r="L221" t="s">
        <v>34</v>
      </c>
      <c r="M221">
        <v>175</v>
      </c>
      <c r="N221" t="s">
        <v>18</v>
      </c>
      <c r="P221">
        <f t="shared" si="30"/>
        <v>2254000</v>
      </c>
      <c r="Q221">
        <f t="shared" si="31"/>
        <v>460</v>
      </c>
      <c r="R221" t="e">
        <f t="shared" si="32"/>
        <v>#N/A</v>
      </c>
      <c r="S221" t="e">
        <f t="shared" si="33"/>
        <v>#N/A</v>
      </c>
      <c r="T221" t="e">
        <f t="shared" si="34"/>
        <v>#N/A</v>
      </c>
      <c r="U221" t="e">
        <f t="shared" si="35"/>
        <v>#N/A</v>
      </c>
      <c r="V221" t="e">
        <f t="shared" si="36"/>
        <v>#N/A</v>
      </c>
      <c r="W221" t="e">
        <f t="shared" si="37"/>
        <v>#N/A</v>
      </c>
      <c r="X221" t="e">
        <f t="shared" si="38"/>
        <v>#N/A</v>
      </c>
      <c r="Y221" t="e">
        <f t="shared" si="39"/>
        <v>#N/A</v>
      </c>
    </row>
    <row r="222" spans="1:25" x14ac:dyDescent="0.2">
      <c r="A222">
        <v>1220</v>
      </c>
      <c r="B222" t="s">
        <v>44</v>
      </c>
      <c r="C222" t="s">
        <v>23</v>
      </c>
      <c r="D222">
        <v>2024</v>
      </c>
      <c r="E222" t="s">
        <v>16</v>
      </c>
      <c r="F222">
        <v>388</v>
      </c>
      <c r="G222">
        <v>5</v>
      </c>
      <c r="H222">
        <v>5</v>
      </c>
      <c r="I222">
        <v>1572000</v>
      </c>
      <c r="J222">
        <v>4051.5</v>
      </c>
      <c r="K222">
        <v>2</v>
      </c>
      <c r="L222" t="s">
        <v>34</v>
      </c>
      <c r="M222">
        <v>36</v>
      </c>
      <c r="N222" t="s">
        <v>18</v>
      </c>
      <c r="P222" t="e">
        <f t="shared" si="30"/>
        <v>#N/A</v>
      </c>
      <c r="Q222" t="e">
        <f t="shared" si="31"/>
        <v>#N/A</v>
      </c>
      <c r="R222" t="e">
        <f t="shared" si="32"/>
        <v>#N/A</v>
      </c>
      <c r="S222" t="e">
        <f t="shared" si="33"/>
        <v>#N/A</v>
      </c>
      <c r="T222">
        <f t="shared" si="34"/>
        <v>1572000</v>
      </c>
      <c r="U222">
        <f t="shared" si="35"/>
        <v>388</v>
      </c>
      <c r="V222" t="e">
        <f t="shared" si="36"/>
        <v>#N/A</v>
      </c>
      <c r="W222" t="e">
        <f t="shared" si="37"/>
        <v>#N/A</v>
      </c>
      <c r="X222" t="e">
        <f t="shared" si="38"/>
        <v>#N/A</v>
      </c>
      <c r="Y222" t="e">
        <f t="shared" si="39"/>
        <v>#N/A</v>
      </c>
    </row>
    <row r="223" spans="1:25" x14ac:dyDescent="0.2">
      <c r="A223">
        <v>1221</v>
      </c>
      <c r="B223" t="s">
        <v>31</v>
      </c>
      <c r="C223" t="s">
        <v>15</v>
      </c>
      <c r="D223">
        <v>2021</v>
      </c>
      <c r="E223" t="s">
        <v>26</v>
      </c>
      <c r="F223">
        <v>122</v>
      </c>
      <c r="G223">
        <v>3</v>
      </c>
      <c r="H223">
        <v>3</v>
      </c>
      <c r="I223">
        <v>320000</v>
      </c>
      <c r="J223">
        <v>2623</v>
      </c>
      <c r="K223">
        <v>0</v>
      </c>
      <c r="L223" t="s">
        <v>34</v>
      </c>
      <c r="M223">
        <v>144</v>
      </c>
      <c r="N223" t="s">
        <v>21</v>
      </c>
      <c r="P223" t="e">
        <f t="shared" si="30"/>
        <v>#N/A</v>
      </c>
      <c r="Q223" t="e">
        <f t="shared" si="31"/>
        <v>#N/A</v>
      </c>
      <c r="R223">
        <f t="shared" si="32"/>
        <v>320000</v>
      </c>
      <c r="S223">
        <f t="shared" si="33"/>
        <v>122</v>
      </c>
      <c r="T223" t="e">
        <f t="shared" si="34"/>
        <v>#N/A</v>
      </c>
      <c r="U223" t="e">
        <f t="shared" si="35"/>
        <v>#N/A</v>
      </c>
      <c r="V223" t="e">
        <f t="shared" si="36"/>
        <v>#N/A</v>
      </c>
      <c r="W223" t="e">
        <f t="shared" si="37"/>
        <v>#N/A</v>
      </c>
      <c r="X223" t="e">
        <f t="shared" si="38"/>
        <v>#N/A</v>
      </c>
      <c r="Y223" t="e">
        <f t="shared" si="39"/>
        <v>#N/A</v>
      </c>
    </row>
    <row r="224" spans="1:25" x14ac:dyDescent="0.2">
      <c r="A224">
        <v>1222</v>
      </c>
      <c r="B224" t="s">
        <v>43</v>
      </c>
      <c r="C224" t="s">
        <v>15</v>
      </c>
      <c r="D224">
        <v>2023</v>
      </c>
      <c r="E224" t="s">
        <v>16</v>
      </c>
      <c r="F224">
        <v>211</v>
      </c>
      <c r="G224">
        <v>3</v>
      </c>
      <c r="H224">
        <v>3</v>
      </c>
      <c r="I224">
        <v>896000</v>
      </c>
      <c r="J224">
        <v>4246.3999999999996</v>
      </c>
      <c r="K224">
        <v>0</v>
      </c>
      <c r="L224" t="s">
        <v>34</v>
      </c>
      <c r="M224">
        <v>87</v>
      </c>
      <c r="N224" t="s">
        <v>27</v>
      </c>
      <c r="P224" t="e">
        <f t="shared" si="30"/>
        <v>#N/A</v>
      </c>
      <c r="Q224" t="e">
        <f t="shared" si="31"/>
        <v>#N/A</v>
      </c>
      <c r="R224">
        <f t="shared" si="32"/>
        <v>896000</v>
      </c>
      <c r="S224">
        <f t="shared" si="33"/>
        <v>211</v>
      </c>
      <c r="T224" t="e">
        <f t="shared" si="34"/>
        <v>#N/A</v>
      </c>
      <c r="U224" t="e">
        <f t="shared" si="35"/>
        <v>#N/A</v>
      </c>
      <c r="V224" t="e">
        <f t="shared" si="36"/>
        <v>#N/A</v>
      </c>
      <c r="W224" t="e">
        <f t="shared" si="37"/>
        <v>#N/A</v>
      </c>
      <c r="X224" t="e">
        <f t="shared" si="38"/>
        <v>#N/A</v>
      </c>
      <c r="Y224" t="e">
        <f t="shared" si="39"/>
        <v>#N/A</v>
      </c>
    </row>
    <row r="225" spans="1:25" x14ac:dyDescent="0.2">
      <c r="A225">
        <v>1223</v>
      </c>
      <c r="B225" t="s">
        <v>47</v>
      </c>
      <c r="C225" t="s">
        <v>29</v>
      </c>
      <c r="D225">
        <v>2024</v>
      </c>
      <c r="E225" t="s">
        <v>30</v>
      </c>
      <c r="F225">
        <v>355</v>
      </c>
      <c r="G225">
        <v>4</v>
      </c>
      <c r="H225">
        <v>4</v>
      </c>
      <c r="I225">
        <v>1713000</v>
      </c>
      <c r="J225">
        <v>4825.3999999999996</v>
      </c>
      <c r="K225">
        <v>7</v>
      </c>
      <c r="L225" t="s">
        <v>17</v>
      </c>
      <c r="M225">
        <v>117</v>
      </c>
      <c r="N225" t="s">
        <v>21</v>
      </c>
      <c r="P225">
        <f t="shared" si="30"/>
        <v>1713000</v>
      </c>
      <c r="Q225">
        <f t="shared" si="31"/>
        <v>355</v>
      </c>
      <c r="R225" t="e">
        <f t="shared" si="32"/>
        <v>#N/A</v>
      </c>
      <c r="S225" t="e">
        <f t="shared" si="33"/>
        <v>#N/A</v>
      </c>
      <c r="T225" t="e">
        <f t="shared" si="34"/>
        <v>#N/A</v>
      </c>
      <c r="U225" t="e">
        <f t="shared" si="35"/>
        <v>#N/A</v>
      </c>
      <c r="V225" t="e">
        <f t="shared" si="36"/>
        <v>#N/A</v>
      </c>
      <c r="W225" t="e">
        <f t="shared" si="37"/>
        <v>#N/A</v>
      </c>
      <c r="X225" t="e">
        <f t="shared" si="38"/>
        <v>#N/A</v>
      </c>
      <c r="Y225" t="e">
        <f t="shared" si="39"/>
        <v>#N/A</v>
      </c>
    </row>
    <row r="226" spans="1:25" x14ac:dyDescent="0.2">
      <c r="A226">
        <v>1224</v>
      </c>
      <c r="B226" t="s">
        <v>19</v>
      </c>
      <c r="C226" t="s">
        <v>29</v>
      </c>
      <c r="D226">
        <v>2024</v>
      </c>
      <c r="E226" t="s">
        <v>24</v>
      </c>
      <c r="F226">
        <v>250</v>
      </c>
      <c r="G226">
        <v>4</v>
      </c>
      <c r="H226">
        <v>4</v>
      </c>
      <c r="I226">
        <v>1356000</v>
      </c>
      <c r="J226">
        <v>5424</v>
      </c>
      <c r="K226">
        <v>1</v>
      </c>
      <c r="L226" t="s">
        <v>17</v>
      </c>
      <c r="M226">
        <v>94</v>
      </c>
      <c r="N226" t="s">
        <v>21</v>
      </c>
      <c r="P226">
        <f t="shared" si="30"/>
        <v>1356000</v>
      </c>
      <c r="Q226">
        <f t="shared" si="31"/>
        <v>250</v>
      </c>
      <c r="R226" t="e">
        <f t="shared" si="32"/>
        <v>#N/A</v>
      </c>
      <c r="S226" t="e">
        <f t="shared" si="33"/>
        <v>#N/A</v>
      </c>
      <c r="T226" t="e">
        <f t="shared" si="34"/>
        <v>#N/A</v>
      </c>
      <c r="U226" t="e">
        <f t="shared" si="35"/>
        <v>#N/A</v>
      </c>
      <c r="V226" t="e">
        <f t="shared" si="36"/>
        <v>#N/A</v>
      </c>
      <c r="W226" t="e">
        <f t="shared" si="37"/>
        <v>#N/A</v>
      </c>
      <c r="X226" t="e">
        <f t="shared" si="38"/>
        <v>#N/A</v>
      </c>
      <c r="Y226" t="e">
        <f t="shared" si="39"/>
        <v>#N/A</v>
      </c>
    </row>
    <row r="227" spans="1:25" x14ac:dyDescent="0.2">
      <c r="A227">
        <v>1225</v>
      </c>
      <c r="B227" t="s">
        <v>33</v>
      </c>
      <c r="C227" t="s">
        <v>23</v>
      </c>
      <c r="D227">
        <v>2022</v>
      </c>
      <c r="E227" t="s">
        <v>26</v>
      </c>
      <c r="F227">
        <v>254</v>
      </c>
      <c r="G227">
        <v>5</v>
      </c>
      <c r="H227">
        <v>5</v>
      </c>
      <c r="I227">
        <v>694000</v>
      </c>
      <c r="J227">
        <v>2732.3</v>
      </c>
      <c r="K227">
        <v>5</v>
      </c>
      <c r="L227" t="s">
        <v>17</v>
      </c>
      <c r="M227">
        <v>63</v>
      </c>
      <c r="N227" t="s">
        <v>27</v>
      </c>
      <c r="P227" t="e">
        <f t="shared" si="30"/>
        <v>#N/A</v>
      </c>
      <c r="Q227" t="e">
        <f t="shared" si="31"/>
        <v>#N/A</v>
      </c>
      <c r="R227" t="e">
        <f t="shared" si="32"/>
        <v>#N/A</v>
      </c>
      <c r="S227" t="e">
        <f t="shared" si="33"/>
        <v>#N/A</v>
      </c>
      <c r="T227">
        <f t="shared" si="34"/>
        <v>694000</v>
      </c>
      <c r="U227">
        <f t="shared" si="35"/>
        <v>254</v>
      </c>
      <c r="V227" t="e">
        <f t="shared" si="36"/>
        <v>#N/A</v>
      </c>
      <c r="W227" t="e">
        <f t="shared" si="37"/>
        <v>#N/A</v>
      </c>
      <c r="X227" t="e">
        <f t="shared" si="38"/>
        <v>#N/A</v>
      </c>
      <c r="Y227" t="e">
        <f t="shared" si="39"/>
        <v>#N/A</v>
      </c>
    </row>
    <row r="228" spans="1:25" x14ac:dyDescent="0.2">
      <c r="A228">
        <v>1226</v>
      </c>
      <c r="B228" t="s">
        <v>41</v>
      </c>
      <c r="C228" t="s">
        <v>29</v>
      </c>
      <c r="D228">
        <v>2023</v>
      </c>
      <c r="E228" t="s">
        <v>26</v>
      </c>
      <c r="F228">
        <v>447</v>
      </c>
      <c r="G228">
        <v>5</v>
      </c>
      <c r="H228">
        <v>5</v>
      </c>
      <c r="I228">
        <v>3238000</v>
      </c>
      <c r="J228">
        <v>7243.8</v>
      </c>
      <c r="K228">
        <v>2</v>
      </c>
      <c r="L228" t="s">
        <v>17</v>
      </c>
      <c r="M228">
        <v>38</v>
      </c>
      <c r="N228" t="s">
        <v>21</v>
      </c>
      <c r="P228">
        <f t="shared" si="30"/>
        <v>3238000</v>
      </c>
      <c r="Q228">
        <f t="shared" si="31"/>
        <v>447</v>
      </c>
      <c r="R228" t="e">
        <f t="shared" si="32"/>
        <v>#N/A</v>
      </c>
      <c r="S228" t="e">
        <f t="shared" si="33"/>
        <v>#N/A</v>
      </c>
      <c r="T228" t="e">
        <f t="shared" si="34"/>
        <v>#N/A</v>
      </c>
      <c r="U228" t="e">
        <f t="shared" si="35"/>
        <v>#N/A</v>
      </c>
      <c r="V228" t="e">
        <f t="shared" si="36"/>
        <v>#N/A</v>
      </c>
      <c r="W228" t="e">
        <f t="shared" si="37"/>
        <v>#N/A</v>
      </c>
      <c r="X228" t="e">
        <f t="shared" si="38"/>
        <v>#N/A</v>
      </c>
      <c r="Y228" t="e">
        <f t="shared" si="39"/>
        <v>#N/A</v>
      </c>
    </row>
    <row r="229" spans="1:25" x14ac:dyDescent="0.2">
      <c r="A229">
        <v>1227</v>
      </c>
      <c r="B229" t="s">
        <v>43</v>
      </c>
      <c r="C229" t="s">
        <v>15</v>
      </c>
      <c r="D229">
        <v>2021</v>
      </c>
      <c r="E229" t="s">
        <v>26</v>
      </c>
      <c r="F229">
        <v>201</v>
      </c>
      <c r="G229">
        <v>4</v>
      </c>
      <c r="H229">
        <v>4</v>
      </c>
      <c r="I229">
        <v>795000</v>
      </c>
      <c r="J229">
        <v>3955.2</v>
      </c>
      <c r="K229">
        <v>0</v>
      </c>
      <c r="L229" t="s">
        <v>17</v>
      </c>
      <c r="M229">
        <v>5</v>
      </c>
      <c r="N229" t="s">
        <v>27</v>
      </c>
      <c r="P229" t="e">
        <f t="shared" si="30"/>
        <v>#N/A</v>
      </c>
      <c r="Q229" t="e">
        <f t="shared" si="31"/>
        <v>#N/A</v>
      </c>
      <c r="R229">
        <f t="shared" si="32"/>
        <v>795000</v>
      </c>
      <c r="S229">
        <f t="shared" si="33"/>
        <v>201</v>
      </c>
      <c r="T229" t="e">
        <f t="shared" si="34"/>
        <v>#N/A</v>
      </c>
      <c r="U229" t="e">
        <f t="shared" si="35"/>
        <v>#N/A</v>
      </c>
      <c r="V229" t="e">
        <f t="shared" si="36"/>
        <v>#N/A</v>
      </c>
      <c r="W229" t="e">
        <f t="shared" si="37"/>
        <v>#N/A</v>
      </c>
      <c r="X229" t="e">
        <f t="shared" si="38"/>
        <v>#N/A</v>
      </c>
      <c r="Y229" t="e">
        <f t="shared" si="39"/>
        <v>#N/A</v>
      </c>
    </row>
    <row r="230" spans="1:25" x14ac:dyDescent="0.2">
      <c r="A230">
        <v>1228</v>
      </c>
      <c r="B230" t="s">
        <v>32</v>
      </c>
      <c r="C230" t="s">
        <v>29</v>
      </c>
      <c r="D230">
        <v>2022</v>
      </c>
      <c r="E230" t="s">
        <v>16</v>
      </c>
      <c r="F230">
        <v>348</v>
      </c>
      <c r="G230">
        <v>5</v>
      </c>
      <c r="H230">
        <v>5</v>
      </c>
      <c r="I230">
        <v>1535000</v>
      </c>
      <c r="J230">
        <v>4410.8999999999996</v>
      </c>
      <c r="K230">
        <v>3</v>
      </c>
      <c r="L230" t="s">
        <v>17</v>
      </c>
      <c r="M230">
        <v>144</v>
      </c>
      <c r="N230" t="s">
        <v>18</v>
      </c>
      <c r="P230">
        <f t="shared" si="30"/>
        <v>1535000</v>
      </c>
      <c r="Q230">
        <f t="shared" si="31"/>
        <v>348</v>
      </c>
      <c r="R230" t="e">
        <f t="shared" si="32"/>
        <v>#N/A</v>
      </c>
      <c r="S230" t="e">
        <f t="shared" si="33"/>
        <v>#N/A</v>
      </c>
      <c r="T230" t="e">
        <f t="shared" si="34"/>
        <v>#N/A</v>
      </c>
      <c r="U230" t="e">
        <f t="shared" si="35"/>
        <v>#N/A</v>
      </c>
      <c r="V230" t="e">
        <f t="shared" si="36"/>
        <v>#N/A</v>
      </c>
      <c r="W230" t="e">
        <f t="shared" si="37"/>
        <v>#N/A</v>
      </c>
      <c r="X230" t="e">
        <f t="shared" si="38"/>
        <v>#N/A</v>
      </c>
      <c r="Y230" t="e">
        <f t="shared" si="39"/>
        <v>#N/A</v>
      </c>
    </row>
    <row r="231" spans="1:25" x14ac:dyDescent="0.2">
      <c r="A231">
        <v>1229</v>
      </c>
      <c r="B231" t="s">
        <v>22</v>
      </c>
      <c r="C231" t="s">
        <v>15</v>
      </c>
      <c r="D231">
        <v>2024</v>
      </c>
      <c r="E231" t="s">
        <v>26</v>
      </c>
      <c r="F231">
        <v>160</v>
      </c>
      <c r="G231">
        <v>2</v>
      </c>
      <c r="H231">
        <v>2</v>
      </c>
      <c r="I231">
        <v>665000</v>
      </c>
      <c r="J231">
        <v>4156.2</v>
      </c>
      <c r="K231">
        <v>3</v>
      </c>
      <c r="L231" t="s">
        <v>20</v>
      </c>
      <c r="M231">
        <v>39</v>
      </c>
      <c r="N231" t="s">
        <v>18</v>
      </c>
      <c r="P231" t="e">
        <f t="shared" si="30"/>
        <v>#N/A</v>
      </c>
      <c r="Q231" t="e">
        <f t="shared" si="31"/>
        <v>#N/A</v>
      </c>
      <c r="R231">
        <f t="shared" si="32"/>
        <v>665000</v>
      </c>
      <c r="S231">
        <f t="shared" si="33"/>
        <v>160</v>
      </c>
      <c r="T231" t="e">
        <f t="shared" si="34"/>
        <v>#N/A</v>
      </c>
      <c r="U231" t="e">
        <f t="shared" si="35"/>
        <v>#N/A</v>
      </c>
      <c r="V231" t="e">
        <f t="shared" si="36"/>
        <v>#N/A</v>
      </c>
      <c r="W231" t="e">
        <f t="shared" si="37"/>
        <v>#N/A</v>
      </c>
      <c r="X231" t="e">
        <f t="shared" si="38"/>
        <v>#N/A</v>
      </c>
      <c r="Y231" t="e">
        <f t="shared" si="39"/>
        <v>#N/A</v>
      </c>
    </row>
    <row r="232" spans="1:25" x14ac:dyDescent="0.2">
      <c r="A232">
        <v>1230</v>
      </c>
      <c r="B232" t="s">
        <v>35</v>
      </c>
      <c r="C232" t="s">
        <v>23</v>
      </c>
      <c r="D232">
        <v>2021</v>
      </c>
      <c r="E232" t="s">
        <v>30</v>
      </c>
      <c r="F232">
        <v>214</v>
      </c>
      <c r="G232">
        <v>4</v>
      </c>
      <c r="H232">
        <v>4</v>
      </c>
      <c r="I232">
        <v>838000</v>
      </c>
      <c r="J232">
        <v>3915.9</v>
      </c>
      <c r="K232">
        <v>3</v>
      </c>
      <c r="L232" t="s">
        <v>20</v>
      </c>
      <c r="M232">
        <v>156</v>
      </c>
      <c r="N232" t="s">
        <v>18</v>
      </c>
      <c r="P232" t="e">
        <f t="shared" si="30"/>
        <v>#N/A</v>
      </c>
      <c r="Q232" t="e">
        <f t="shared" si="31"/>
        <v>#N/A</v>
      </c>
      <c r="R232" t="e">
        <f t="shared" si="32"/>
        <v>#N/A</v>
      </c>
      <c r="S232" t="e">
        <f t="shared" si="33"/>
        <v>#N/A</v>
      </c>
      <c r="T232">
        <f t="shared" si="34"/>
        <v>838000</v>
      </c>
      <c r="U232">
        <f t="shared" si="35"/>
        <v>214</v>
      </c>
      <c r="V232" t="e">
        <f t="shared" si="36"/>
        <v>#N/A</v>
      </c>
      <c r="W232" t="e">
        <f t="shared" si="37"/>
        <v>#N/A</v>
      </c>
      <c r="X232" t="e">
        <f t="shared" si="38"/>
        <v>#N/A</v>
      </c>
      <c r="Y232" t="e">
        <f t="shared" si="39"/>
        <v>#N/A</v>
      </c>
    </row>
    <row r="233" spans="1:25" x14ac:dyDescent="0.2">
      <c r="A233">
        <v>1231</v>
      </c>
      <c r="B233" t="s">
        <v>37</v>
      </c>
      <c r="C233" t="s">
        <v>36</v>
      </c>
      <c r="D233">
        <v>2023</v>
      </c>
      <c r="E233" t="s">
        <v>26</v>
      </c>
      <c r="F233">
        <v>460</v>
      </c>
      <c r="G233">
        <v>4</v>
      </c>
      <c r="H233">
        <v>4</v>
      </c>
      <c r="I233">
        <v>1625000</v>
      </c>
      <c r="J233">
        <v>3532.6</v>
      </c>
      <c r="K233">
        <v>15</v>
      </c>
      <c r="L233" t="s">
        <v>17</v>
      </c>
      <c r="M233">
        <v>147</v>
      </c>
      <c r="N233" t="s">
        <v>27</v>
      </c>
      <c r="P233" t="e">
        <f t="shared" si="30"/>
        <v>#N/A</v>
      </c>
      <c r="Q233" t="e">
        <f t="shared" si="31"/>
        <v>#N/A</v>
      </c>
      <c r="R233" t="e">
        <f t="shared" si="32"/>
        <v>#N/A</v>
      </c>
      <c r="S233" t="e">
        <f t="shared" si="33"/>
        <v>#N/A</v>
      </c>
      <c r="T233" t="e">
        <f t="shared" si="34"/>
        <v>#N/A</v>
      </c>
      <c r="U233" t="e">
        <f t="shared" si="35"/>
        <v>#N/A</v>
      </c>
      <c r="V233" t="e">
        <f t="shared" si="36"/>
        <v>#N/A</v>
      </c>
      <c r="W233" t="e">
        <f t="shared" si="37"/>
        <v>#N/A</v>
      </c>
      <c r="X233">
        <f t="shared" si="38"/>
        <v>1625000</v>
      </c>
      <c r="Y233">
        <f t="shared" si="39"/>
        <v>460</v>
      </c>
    </row>
    <row r="234" spans="1:25" x14ac:dyDescent="0.2">
      <c r="A234">
        <v>1232</v>
      </c>
      <c r="B234" t="s">
        <v>44</v>
      </c>
      <c r="C234" t="s">
        <v>38</v>
      </c>
      <c r="D234">
        <v>2021</v>
      </c>
      <c r="E234" t="s">
        <v>16</v>
      </c>
      <c r="F234">
        <v>67</v>
      </c>
      <c r="G234">
        <v>0</v>
      </c>
      <c r="H234">
        <v>1</v>
      </c>
      <c r="I234">
        <v>262000</v>
      </c>
      <c r="J234">
        <v>3910.4</v>
      </c>
      <c r="K234">
        <v>0</v>
      </c>
      <c r="L234" t="s">
        <v>17</v>
      </c>
      <c r="M234">
        <v>26</v>
      </c>
      <c r="N234" t="s">
        <v>18</v>
      </c>
      <c r="P234" t="e">
        <f t="shared" si="30"/>
        <v>#N/A</v>
      </c>
      <c r="Q234" t="e">
        <f t="shared" si="31"/>
        <v>#N/A</v>
      </c>
      <c r="R234" t="e">
        <f t="shared" si="32"/>
        <v>#N/A</v>
      </c>
      <c r="S234" t="e">
        <f t="shared" si="33"/>
        <v>#N/A</v>
      </c>
      <c r="T234" t="e">
        <f t="shared" si="34"/>
        <v>#N/A</v>
      </c>
      <c r="U234" t="e">
        <f t="shared" si="35"/>
        <v>#N/A</v>
      </c>
      <c r="V234">
        <f t="shared" si="36"/>
        <v>262000</v>
      </c>
      <c r="W234">
        <f t="shared" si="37"/>
        <v>67</v>
      </c>
      <c r="X234" t="e">
        <f t="shared" si="38"/>
        <v>#N/A</v>
      </c>
      <c r="Y234" t="e">
        <f t="shared" si="39"/>
        <v>#N/A</v>
      </c>
    </row>
    <row r="235" spans="1:25" x14ac:dyDescent="0.2">
      <c r="A235">
        <v>1233</v>
      </c>
      <c r="B235" t="s">
        <v>47</v>
      </c>
      <c r="C235" t="s">
        <v>29</v>
      </c>
      <c r="D235">
        <v>2022</v>
      </c>
      <c r="E235" t="s">
        <v>26</v>
      </c>
      <c r="F235">
        <v>382</v>
      </c>
      <c r="G235">
        <v>6</v>
      </c>
      <c r="H235">
        <v>6</v>
      </c>
      <c r="I235">
        <v>1595000</v>
      </c>
      <c r="J235">
        <v>4175.3999999999996</v>
      </c>
      <c r="K235">
        <v>4</v>
      </c>
      <c r="L235" t="s">
        <v>34</v>
      </c>
      <c r="M235">
        <v>168</v>
      </c>
      <c r="N235" t="s">
        <v>21</v>
      </c>
      <c r="P235">
        <f t="shared" si="30"/>
        <v>1595000</v>
      </c>
      <c r="Q235">
        <f t="shared" si="31"/>
        <v>382</v>
      </c>
      <c r="R235" t="e">
        <f t="shared" si="32"/>
        <v>#N/A</v>
      </c>
      <c r="S235" t="e">
        <f t="shared" si="33"/>
        <v>#N/A</v>
      </c>
      <c r="T235" t="e">
        <f t="shared" si="34"/>
        <v>#N/A</v>
      </c>
      <c r="U235" t="e">
        <f t="shared" si="35"/>
        <v>#N/A</v>
      </c>
      <c r="V235" t="e">
        <f t="shared" si="36"/>
        <v>#N/A</v>
      </c>
      <c r="W235" t="e">
        <f t="shared" si="37"/>
        <v>#N/A</v>
      </c>
      <c r="X235" t="e">
        <f t="shared" si="38"/>
        <v>#N/A</v>
      </c>
      <c r="Y235" t="e">
        <f t="shared" si="39"/>
        <v>#N/A</v>
      </c>
    </row>
    <row r="236" spans="1:25" x14ac:dyDescent="0.2">
      <c r="A236">
        <v>1234</v>
      </c>
      <c r="B236" t="s">
        <v>22</v>
      </c>
      <c r="C236" t="s">
        <v>29</v>
      </c>
      <c r="D236">
        <v>2024</v>
      </c>
      <c r="E236" t="s">
        <v>24</v>
      </c>
      <c r="F236">
        <v>283</v>
      </c>
      <c r="G236">
        <v>5</v>
      </c>
      <c r="H236">
        <v>5</v>
      </c>
      <c r="I236">
        <v>1828000</v>
      </c>
      <c r="J236">
        <v>6459.4</v>
      </c>
      <c r="K236">
        <v>5</v>
      </c>
      <c r="L236" t="s">
        <v>34</v>
      </c>
      <c r="M236">
        <v>172</v>
      </c>
      <c r="N236" t="s">
        <v>18</v>
      </c>
      <c r="P236">
        <f t="shared" si="30"/>
        <v>1828000</v>
      </c>
      <c r="Q236">
        <f t="shared" si="31"/>
        <v>283</v>
      </c>
      <c r="R236" t="e">
        <f t="shared" si="32"/>
        <v>#N/A</v>
      </c>
      <c r="S236" t="e">
        <f t="shared" si="33"/>
        <v>#N/A</v>
      </c>
      <c r="T236" t="e">
        <f t="shared" si="34"/>
        <v>#N/A</v>
      </c>
      <c r="U236" t="e">
        <f t="shared" si="35"/>
        <v>#N/A</v>
      </c>
      <c r="V236" t="e">
        <f t="shared" si="36"/>
        <v>#N/A</v>
      </c>
      <c r="W236" t="e">
        <f t="shared" si="37"/>
        <v>#N/A</v>
      </c>
      <c r="X236" t="e">
        <f t="shared" si="38"/>
        <v>#N/A</v>
      </c>
      <c r="Y236" t="e">
        <f t="shared" si="39"/>
        <v>#N/A</v>
      </c>
    </row>
    <row r="237" spans="1:25" x14ac:dyDescent="0.2">
      <c r="A237">
        <v>1235</v>
      </c>
      <c r="B237" t="s">
        <v>43</v>
      </c>
      <c r="C237" t="s">
        <v>15</v>
      </c>
      <c r="D237">
        <v>2024</v>
      </c>
      <c r="E237" t="s">
        <v>26</v>
      </c>
      <c r="F237">
        <v>186</v>
      </c>
      <c r="G237">
        <v>4</v>
      </c>
      <c r="H237">
        <v>4</v>
      </c>
      <c r="I237">
        <v>916000</v>
      </c>
      <c r="J237">
        <v>4924.7</v>
      </c>
      <c r="K237">
        <v>15</v>
      </c>
      <c r="L237" t="s">
        <v>17</v>
      </c>
      <c r="M237">
        <v>15</v>
      </c>
      <c r="N237" t="s">
        <v>27</v>
      </c>
      <c r="P237" t="e">
        <f t="shared" si="30"/>
        <v>#N/A</v>
      </c>
      <c r="Q237" t="e">
        <f t="shared" si="31"/>
        <v>#N/A</v>
      </c>
      <c r="R237">
        <f t="shared" si="32"/>
        <v>916000</v>
      </c>
      <c r="S237">
        <f t="shared" si="33"/>
        <v>186</v>
      </c>
      <c r="T237" t="e">
        <f t="shared" si="34"/>
        <v>#N/A</v>
      </c>
      <c r="U237" t="e">
        <f t="shared" si="35"/>
        <v>#N/A</v>
      </c>
      <c r="V237" t="e">
        <f t="shared" si="36"/>
        <v>#N/A</v>
      </c>
      <c r="W237" t="e">
        <f t="shared" si="37"/>
        <v>#N/A</v>
      </c>
      <c r="X237" t="e">
        <f t="shared" si="38"/>
        <v>#N/A</v>
      </c>
      <c r="Y237" t="e">
        <f t="shared" si="39"/>
        <v>#N/A</v>
      </c>
    </row>
    <row r="238" spans="1:25" x14ac:dyDescent="0.2">
      <c r="A238">
        <v>1236</v>
      </c>
      <c r="B238" t="s">
        <v>41</v>
      </c>
      <c r="C238" t="s">
        <v>23</v>
      </c>
      <c r="D238">
        <v>2022</v>
      </c>
      <c r="E238" t="s">
        <v>24</v>
      </c>
      <c r="F238">
        <v>274</v>
      </c>
      <c r="G238">
        <v>4</v>
      </c>
      <c r="H238">
        <v>4</v>
      </c>
      <c r="I238">
        <v>1436000</v>
      </c>
      <c r="J238">
        <v>5240.8999999999996</v>
      </c>
      <c r="K238">
        <v>2</v>
      </c>
      <c r="L238" t="s">
        <v>34</v>
      </c>
      <c r="M238">
        <v>102</v>
      </c>
      <c r="N238" t="s">
        <v>21</v>
      </c>
      <c r="P238" t="e">
        <f t="shared" si="30"/>
        <v>#N/A</v>
      </c>
      <c r="Q238" t="e">
        <f t="shared" si="31"/>
        <v>#N/A</v>
      </c>
      <c r="R238" t="e">
        <f t="shared" si="32"/>
        <v>#N/A</v>
      </c>
      <c r="S238" t="e">
        <f t="shared" si="33"/>
        <v>#N/A</v>
      </c>
      <c r="T238">
        <f t="shared" si="34"/>
        <v>1436000</v>
      </c>
      <c r="U238">
        <f t="shared" si="35"/>
        <v>274</v>
      </c>
      <c r="V238" t="e">
        <f t="shared" si="36"/>
        <v>#N/A</v>
      </c>
      <c r="W238" t="e">
        <f t="shared" si="37"/>
        <v>#N/A</v>
      </c>
      <c r="X238" t="e">
        <f t="shared" si="38"/>
        <v>#N/A</v>
      </c>
      <c r="Y238" t="e">
        <f t="shared" si="39"/>
        <v>#N/A</v>
      </c>
    </row>
    <row r="239" spans="1:25" x14ac:dyDescent="0.2">
      <c r="A239">
        <v>1237</v>
      </c>
      <c r="B239" t="s">
        <v>43</v>
      </c>
      <c r="C239" t="s">
        <v>29</v>
      </c>
      <c r="D239">
        <v>2021</v>
      </c>
      <c r="E239" t="s">
        <v>30</v>
      </c>
      <c r="F239">
        <v>519</v>
      </c>
      <c r="G239">
        <v>4</v>
      </c>
      <c r="H239">
        <v>4</v>
      </c>
      <c r="I239">
        <v>2864000</v>
      </c>
      <c r="J239">
        <v>5518.3</v>
      </c>
      <c r="K239">
        <v>3</v>
      </c>
      <c r="L239" t="s">
        <v>20</v>
      </c>
      <c r="M239">
        <v>77</v>
      </c>
      <c r="N239" t="s">
        <v>27</v>
      </c>
      <c r="P239">
        <f t="shared" si="30"/>
        <v>2864000</v>
      </c>
      <c r="Q239">
        <f t="shared" si="31"/>
        <v>519</v>
      </c>
      <c r="R239" t="e">
        <f t="shared" si="32"/>
        <v>#N/A</v>
      </c>
      <c r="S239" t="e">
        <f t="shared" si="33"/>
        <v>#N/A</v>
      </c>
      <c r="T239" t="e">
        <f t="shared" si="34"/>
        <v>#N/A</v>
      </c>
      <c r="U239" t="e">
        <f t="shared" si="35"/>
        <v>#N/A</v>
      </c>
      <c r="V239" t="e">
        <f t="shared" si="36"/>
        <v>#N/A</v>
      </c>
      <c r="W239" t="e">
        <f t="shared" si="37"/>
        <v>#N/A</v>
      </c>
      <c r="X239" t="e">
        <f t="shared" si="38"/>
        <v>#N/A</v>
      </c>
      <c r="Y239" t="e">
        <f t="shared" si="39"/>
        <v>#N/A</v>
      </c>
    </row>
    <row r="240" spans="1:25" x14ac:dyDescent="0.2">
      <c r="A240">
        <v>1238</v>
      </c>
      <c r="B240" t="s">
        <v>46</v>
      </c>
      <c r="C240" t="s">
        <v>15</v>
      </c>
      <c r="D240">
        <v>2021</v>
      </c>
      <c r="E240" t="s">
        <v>26</v>
      </c>
      <c r="F240">
        <v>145</v>
      </c>
      <c r="G240">
        <v>3</v>
      </c>
      <c r="H240">
        <v>3</v>
      </c>
      <c r="I240">
        <v>447000</v>
      </c>
      <c r="J240">
        <v>3082.8</v>
      </c>
      <c r="K240">
        <v>15</v>
      </c>
      <c r="L240" t="s">
        <v>20</v>
      </c>
      <c r="M240">
        <v>147</v>
      </c>
      <c r="N240" t="s">
        <v>18</v>
      </c>
      <c r="P240" t="e">
        <f t="shared" si="30"/>
        <v>#N/A</v>
      </c>
      <c r="Q240" t="e">
        <f t="shared" si="31"/>
        <v>#N/A</v>
      </c>
      <c r="R240">
        <f t="shared" si="32"/>
        <v>447000</v>
      </c>
      <c r="S240">
        <f t="shared" si="33"/>
        <v>145</v>
      </c>
      <c r="T240" t="e">
        <f t="shared" si="34"/>
        <v>#N/A</v>
      </c>
      <c r="U240" t="e">
        <f t="shared" si="35"/>
        <v>#N/A</v>
      </c>
      <c r="V240" t="e">
        <f t="shared" si="36"/>
        <v>#N/A</v>
      </c>
      <c r="W240" t="e">
        <f t="shared" si="37"/>
        <v>#N/A</v>
      </c>
      <c r="X240" t="e">
        <f t="shared" si="38"/>
        <v>#N/A</v>
      </c>
      <c r="Y240" t="e">
        <f t="shared" si="39"/>
        <v>#N/A</v>
      </c>
    </row>
    <row r="241" spans="1:25" x14ac:dyDescent="0.2">
      <c r="A241">
        <v>1239</v>
      </c>
      <c r="B241" t="s">
        <v>40</v>
      </c>
      <c r="C241" t="s">
        <v>38</v>
      </c>
      <c r="D241">
        <v>2023</v>
      </c>
      <c r="E241" t="s">
        <v>26</v>
      </c>
      <c r="F241">
        <v>55</v>
      </c>
      <c r="G241">
        <v>0</v>
      </c>
      <c r="H241">
        <v>1</v>
      </c>
      <c r="I241">
        <v>276000</v>
      </c>
      <c r="J241">
        <v>5018.2</v>
      </c>
      <c r="K241">
        <v>10</v>
      </c>
      <c r="L241" t="s">
        <v>17</v>
      </c>
      <c r="M241">
        <v>96</v>
      </c>
      <c r="N241" t="s">
        <v>18</v>
      </c>
      <c r="P241" t="e">
        <f t="shared" si="30"/>
        <v>#N/A</v>
      </c>
      <c r="Q241" t="e">
        <f t="shared" si="31"/>
        <v>#N/A</v>
      </c>
      <c r="R241" t="e">
        <f t="shared" si="32"/>
        <v>#N/A</v>
      </c>
      <c r="S241" t="e">
        <f t="shared" si="33"/>
        <v>#N/A</v>
      </c>
      <c r="T241" t="e">
        <f t="shared" si="34"/>
        <v>#N/A</v>
      </c>
      <c r="U241" t="e">
        <f t="shared" si="35"/>
        <v>#N/A</v>
      </c>
      <c r="V241">
        <f t="shared" si="36"/>
        <v>276000</v>
      </c>
      <c r="W241">
        <f t="shared" si="37"/>
        <v>55</v>
      </c>
      <c r="X241" t="e">
        <f t="shared" si="38"/>
        <v>#N/A</v>
      </c>
      <c r="Y241" t="e">
        <f t="shared" si="39"/>
        <v>#N/A</v>
      </c>
    </row>
    <row r="242" spans="1:25" x14ac:dyDescent="0.2">
      <c r="A242">
        <v>1240</v>
      </c>
      <c r="B242" t="s">
        <v>25</v>
      </c>
      <c r="C242" t="s">
        <v>29</v>
      </c>
      <c r="D242">
        <v>2023</v>
      </c>
      <c r="E242" t="s">
        <v>24</v>
      </c>
      <c r="F242">
        <v>384</v>
      </c>
      <c r="G242">
        <v>4</v>
      </c>
      <c r="H242">
        <v>4</v>
      </c>
      <c r="I242">
        <v>1531000</v>
      </c>
      <c r="J242">
        <v>3987</v>
      </c>
      <c r="K242">
        <v>20</v>
      </c>
      <c r="L242" t="s">
        <v>34</v>
      </c>
      <c r="M242">
        <v>166</v>
      </c>
      <c r="N242" t="s">
        <v>27</v>
      </c>
      <c r="P242">
        <f t="shared" si="30"/>
        <v>1531000</v>
      </c>
      <c r="Q242">
        <f t="shared" si="31"/>
        <v>384</v>
      </c>
      <c r="R242" t="e">
        <f t="shared" si="32"/>
        <v>#N/A</v>
      </c>
      <c r="S242" t="e">
        <f t="shared" si="33"/>
        <v>#N/A</v>
      </c>
      <c r="T242" t="e">
        <f t="shared" si="34"/>
        <v>#N/A</v>
      </c>
      <c r="U242" t="e">
        <f t="shared" si="35"/>
        <v>#N/A</v>
      </c>
      <c r="V242" t="e">
        <f t="shared" si="36"/>
        <v>#N/A</v>
      </c>
      <c r="W242" t="e">
        <f t="shared" si="37"/>
        <v>#N/A</v>
      </c>
      <c r="X242" t="e">
        <f t="shared" si="38"/>
        <v>#N/A</v>
      </c>
      <c r="Y242" t="e">
        <f t="shared" si="39"/>
        <v>#N/A</v>
      </c>
    </row>
    <row r="243" spans="1:25" x14ac:dyDescent="0.2">
      <c r="A243">
        <v>1241</v>
      </c>
      <c r="B243" t="s">
        <v>35</v>
      </c>
      <c r="C243" t="s">
        <v>38</v>
      </c>
      <c r="D243">
        <v>2022</v>
      </c>
      <c r="E243" t="s">
        <v>16</v>
      </c>
      <c r="F243">
        <v>61</v>
      </c>
      <c r="G243">
        <v>0</v>
      </c>
      <c r="H243">
        <v>1</v>
      </c>
      <c r="I243">
        <v>256000</v>
      </c>
      <c r="J243">
        <v>4196.7</v>
      </c>
      <c r="K243">
        <v>10</v>
      </c>
      <c r="L243" t="s">
        <v>17</v>
      </c>
      <c r="M243">
        <v>89</v>
      </c>
      <c r="N243" t="s">
        <v>18</v>
      </c>
      <c r="P243" t="e">
        <f t="shared" si="30"/>
        <v>#N/A</v>
      </c>
      <c r="Q243" t="e">
        <f t="shared" si="31"/>
        <v>#N/A</v>
      </c>
      <c r="R243" t="e">
        <f t="shared" si="32"/>
        <v>#N/A</v>
      </c>
      <c r="S243" t="e">
        <f t="shared" si="33"/>
        <v>#N/A</v>
      </c>
      <c r="T243" t="e">
        <f t="shared" si="34"/>
        <v>#N/A</v>
      </c>
      <c r="U243" t="e">
        <f t="shared" si="35"/>
        <v>#N/A</v>
      </c>
      <c r="V243">
        <f t="shared" si="36"/>
        <v>256000</v>
      </c>
      <c r="W243">
        <f t="shared" si="37"/>
        <v>61</v>
      </c>
      <c r="X243" t="e">
        <f t="shared" si="38"/>
        <v>#N/A</v>
      </c>
      <c r="Y243" t="e">
        <f t="shared" si="39"/>
        <v>#N/A</v>
      </c>
    </row>
    <row r="244" spans="1:25" x14ac:dyDescent="0.2">
      <c r="A244">
        <v>1242</v>
      </c>
      <c r="B244" t="s">
        <v>33</v>
      </c>
      <c r="C244" t="s">
        <v>29</v>
      </c>
      <c r="D244">
        <v>2024</v>
      </c>
      <c r="E244" t="s">
        <v>26</v>
      </c>
      <c r="F244">
        <v>430</v>
      </c>
      <c r="G244">
        <v>4</v>
      </c>
      <c r="H244">
        <v>4</v>
      </c>
      <c r="I244">
        <v>1797000</v>
      </c>
      <c r="J244">
        <v>4179.1000000000004</v>
      </c>
      <c r="K244">
        <v>4</v>
      </c>
      <c r="L244" t="s">
        <v>20</v>
      </c>
      <c r="M244">
        <v>169</v>
      </c>
      <c r="N244" t="s">
        <v>27</v>
      </c>
      <c r="P244">
        <f t="shared" si="30"/>
        <v>1797000</v>
      </c>
      <c r="Q244">
        <f t="shared" si="31"/>
        <v>430</v>
      </c>
      <c r="R244" t="e">
        <f t="shared" si="32"/>
        <v>#N/A</v>
      </c>
      <c r="S244" t="e">
        <f t="shared" si="33"/>
        <v>#N/A</v>
      </c>
      <c r="T244" t="e">
        <f t="shared" si="34"/>
        <v>#N/A</v>
      </c>
      <c r="U244" t="e">
        <f t="shared" si="35"/>
        <v>#N/A</v>
      </c>
      <c r="V244" t="e">
        <f t="shared" si="36"/>
        <v>#N/A</v>
      </c>
      <c r="W244" t="e">
        <f t="shared" si="37"/>
        <v>#N/A</v>
      </c>
      <c r="X244" t="e">
        <f t="shared" si="38"/>
        <v>#N/A</v>
      </c>
      <c r="Y244" t="e">
        <f t="shared" si="39"/>
        <v>#N/A</v>
      </c>
    </row>
    <row r="245" spans="1:25" x14ac:dyDescent="0.2">
      <c r="A245">
        <v>1243</v>
      </c>
      <c r="B245" t="s">
        <v>28</v>
      </c>
      <c r="C245" t="s">
        <v>29</v>
      </c>
      <c r="D245">
        <v>2024</v>
      </c>
      <c r="E245" t="s">
        <v>24</v>
      </c>
      <c r="F245">
        <v>461</v>
      </c>
      <c r="G245">
        <v>6</v>
      </c>
      <c r="H245">
        <v>6</v>
      </c>
      <c r="I245">
        <v>2328000</v>
      </c>
      <c r="J245">
        <v>5049.8999999999996</v>
      </c>
      <c r="K245">
        <v>7</v>
      </c>
      <c r="L245" t="s">
        <v>17</v>
      </c>
      <c r="M245">
        <v>12</v>
      </c>
      <c r="N245" t="s">
        <v>27</v>
      </c>
      <c r="P245">
        <f t="shared" si="30"/>
        <v>2328000</v>
      </c>
      <c r="Q245">
        <f t="shared" si="31"/>
        <v>461</v>
      </c>
      <c r="R245" t="e">
        <f t="shared" si="32"/>
        <v>#N/A</v>
      </c>
      <c r="S245" t="e">
        <f t="shared" si="33"/>
        <v>#N/A</v>
      </c>
      <c r="T245" t="e">
        <f t="shared" si="34"/>
        <v>#N/A</v>
      </c>
      <c r="U245" t="e">
        <f t="shared" si="35"/>
        <v>#N/A</v>
      </c>
      <c r="V245" t="e">
        <f t="shared" si="36"/>
        <v>#N/A</v>
      </c>
      <c r="W245" t="e">
        <f t="shared" si="37"/>
        <v>#N/A</v>
      </c>
      <c r="X245" t="e">
        <f t="shared" si="38"/>
        <v>#N/A</v>
      </c>
      <c r="Y245" t="e">
        <f t="shared" si="39"/>
        <v>#N/A</v>
      </c>
    </row>
    <row r="246" spans="1:25" x14ac:dyDescent="0.2">
      <c r="A246">
        <v>1244</v>
      </c>
      <c r="B246" t="s">
        <v>31</v>
      </c>
      <c r="C246" t="s">
        <v>15</v>
      </c>
      <c r="D246">
        <v>2024</v>
      </c>
      <c r="E246" t="s">
        <v>16</v>
      </c>
      <c r="F246">
        <v>99</v>
      </c>
      <c r="G246">
        <v>4</v>
      </c>
      <c r="H246">
        <v>4</v>
      </c>
      <c r="I246">
        <v>284000</v>
      </c>
      <c r="J246">
        <v>2868.7</v>
      </c>
      <c r="K246">
        <v>2</v>
      </c>
      <c r="L246" t="s">
        <v>17</v>
      </c>
      <c r="M246">
        <v>102</v>
      </c>
      <c r="N246" t="s">
        <v>21</v>
      </c>
      <c r="P246" t="e">
        <f t="shared" si="30"/>
        <v>#N/A</v>
      </c>
      <c r="Q246" t="e">
        <f t="shared" si="31"/>
        <v>#N/A</v>
      </c>
      <c r="R246">
        <f t="shared" si="32"/>
        <v>284000</v>
      </c>
      <c r="S246">
        <f t="shared" si="33"/>
        <v>99</v>
      </c>
      <c r="T246" t="e">
        <f t="shared" si="34"/>
        <v>#N/A</v>
      </c>
      <c r="U246" t="e">
        <f t="shared" si="35"/>
        <v>#N/A</v>
      </c>
      <c r="V246" t="e">
        <f t="shared" si="36"/>
        <v>#N/A</v>
      </c>
      <c r="W246" t="e">
        <f t="shared" si="37"/>
        <v>#N/A</v>
      </c>
      <c r="X246" t="e">
        <f t="shared" si="38"/>
        <v>#N/A</v>
      </c>
      <c r="Y246" t="e">
        <f t="shared" si="39"/>
        <v>#N/A</v>
      </c>
    </row>
    <row r="247" spans="1:25" x14ac:dyDescent="0.2">
      <c r="A247">
        <v>1245</v>
      </c>
      <c r="B247" t="s">
        <v>43</v>
      </c>
      <c r="C247" t="s">
        <v>23</v>
      </c>
      <c r="D247">
        <v>2021</v>
      </c>
      <c r="E247" t="s">
        <v>30</v>
      </c>
      <c r="F247">
        <v>344</v>
      </c>
      <c r="G247">
        <v>5</v>
      </c>
      <c r="H247">
        <v>5</v>
      </c>
      <c r="I247">
        <v>1559000</v>
      </c>
      <c r="J247">
        <v>4532</v>
      </c>
      <c r="K247">
        <v>20</v>
      </c>
      <c r="L247" t="s">
        <v>20</v>
      </c>
      <c r="M247">
        <v>83</v>
      </c>
      <c r="N247" t="s">
        <v>27</v>
      </c>
      <c r="P247" t="e">
        <f t="shared" si="30"/>
        <v>#N/A</v>
      </c>
      <c r="Q247" t="e">
        <f t="shared" si="31"/>
        <v>#N/A</v>
      </c>
      <c r="R247" t="e">
        <f t="shared" si="32"/>
        <v>#N/A</v>
      </c>
      <c r="S247" t="e">
        <f t="shared" si="33"/>
        <v>#N/A</v>
      </c>
      <c r="T247">
        <f t="shared" si="34"/>
        <v>1559000</v>
      </c>
      <c r="U247">
        <f t="shared" si="35"/>
        <v>344</v>
      </c>
      <c r="V247" t="e">
        <f t="shared" si="36"/>
        <v>#N/A</v>
      </c>
      <c r="W247" t="e">
        <f t="shared" si="37"/>
        <v>#N/A</v>
      </c>
      <c r="X247" t="e">
        <f t="shared" si="38"/>
        <v>#N/A</v>
      </c>
      <c r="Y247" t="e">
        <f t="shared" si="39"/>
        <v>#N/A</v>
      </c>
    </row>
    <row r="248" spans="1:25" x14ac:dyDescent="0.2">
      <c r="A248">
        <v>1246</v>
      </c>
      <c r="B248" t="s">
        <v>42</v>
      </c>
      <c r="C248" t="s">
        <v>15</v>
      </c>
      <c r="D248">
        <v>2022</v>
      </c>
      <c r="E248" t="s">
        <v>24</v>
      </c>
      <c r="F248">
        <v>192</v>
      </c>
      <c r="G248">
        <v>3</v>
      </c>
      <c r="H248">
        <v>3</v>
      </c>
      <c r="I248">
        <v>832000</v>
      </c>
      <c r="J248">
        <v>4333.3</v>
      </c>
      <c r="K248">
        <v>2</v>
      </c>
      <c r="L248" t="s">
        <v>20</v>
      </c>
      <c r="M248">
        <v>120</v>
      </c>
      <c r="N248" t="s">
        <v>21</v>
      </c>
      <c r="P248" t="e">
        <f t="shared" si="30"/>
        <v>#N/A</v>
      </c>
      <c r="Q248" t="e">
        <f t="shared" si="31"/>
        <v>#N/A</v>
      </c>
      <c r="R248">
        <f t="shared" si="32"/>
        <v>832000</v>
      </c>
      <c r="S248">
        <f t="shared" si="33"/>
        <v>192</v>
      </c>
      <c r="T248" t="e">
        <f t="shared" si="34"/>
        <v>#N/A</v>
      </c>
      <c r="U248" t="e">
        <f t="shared" si="35"/>
        <v>#N/A</v>
      </c>
      <c r="V248" t="e">
        <f t="shared" si="36"/>
        <v>#N/A</v>
      </c>
      <c r="W248" t="e">
        <f t="shared" si="37"/>
        <v>#N/A</v>
      </c>
      <c r="X248" t="e">
        <f t="shared" si="38"/>
        <v>#N/A</v>
      </c>
      <c r="Y248" t="e">
        <f t="shared" si="39"/>
        <v>#N/A</v>
      </c>
    </row>
    <row r="249" spans="1:25" x14ac:dyDescent="0.2">
      <c r="A249">
        <v>1247</v>
      </c>
      <c r="B249" t="s">
        <v>22</v>
      </c>
      <c r="C249" t="s">
        <v>15</v>
      </c>
      <c r="D249">
        <v>2023</v>
      </c>
      <c r="E249" t="s">
        <v>16</v>
      </c>
      <c r="F249">
        <v>148</v>
      </c>
      <c r="G249">
        <v>4</v>
      </c>
      <c r="H249">
        <v>4</v>
      </c>
      <c r="I249">
        <v>583000</v>
      </c>
      <c r="J249">
        <v>3939.2</v>
      </c>
      <c r="K249">
        <v>1</v>
      </c>
      <c r="L249" t="s">
        <v>20</v>
      </c>
      <c r="M249">
        <v>107</v>
      </c>
      <c r="N249" t="s">
        <v>18</v>
      </c>
      <c r="P249" t="e">
        <f t="shared" si="30"/>
        <v>#N/A</v>
      </c>
      <c r="Q249" t="e">
        <f t="shared" si="31"/>
        <v>#N/A</v>
      </c>
      <c r="R249">
        <f t="shared" si="32"/>
        <v>583000</v>
      </c>
      <c r="S249">
        <f t="shared" si="33"/>
        <v>148</v>
      </c>
      <c r="T249" t="e">
        <f t="shared" si="34"/>
        <v>#N/A</v>
      </c>
      <c r="U249" t="e">
        <f t="shared" si="35"/>
        <v>#N/A</v>
      </c>
      <c r="V249" t="e">
        <f t="shared" si="36"/>
        <v>#N/A</v>
      </c>
      <c r="W249" t="e">
        <f t="shared" si="37"/>
        <v>#N/A</v>
      </c>
      <c r="X249" t="e">
        <f t="shared" si="38"/>
        <v>#N/A</v>
      </c>
      <c r="Y249" t="e">
        <f t="shared" si="39"/>
        <v>#N/A</v>
      </c>
    </row>
    <row r="250" spans="1:25" x14ac:dyDescent="0.2">
      <c r="A250">
        <v>1248</v>
      </c>
      <c r="B250" t="s">
        <v>37</v>
      </c>
      <c r="C250" t="s">
        <v>23</v>
      </c>
      <c r="D250">
        <v>2021</v>
      </c>
      <c r="E250" t="s">
        <v>30</v>
      </c>
      <c r="F250">
        <v>383</v>
      </c>
      <c r="G250">
        <v>3</v>
      </c>
      <c r="H250">
        <v>3</v>
      </c>
      <c r="I250">
        <v>1764000</v>
      </c>
      <c r="J250">
        <v>4605.7</v>
      </c>
      <c r="K250">
        <v>0</v>
      </c>
      <c r="L250" t="s">
        <v>20</v>
      </c>
      <c r="M250">
        <v>69</v>
      </c>
      <c r="N250" t="s">
        <v>27</v>
      </c>
      <c r="P250" t="e">
        <f t="shared" si="30"/>
        <v>#N/A</v>
      </c>
      <c r="Q250" t="e">
        <f t="shared" si="31"/>
        <v>#N/A</v>
      </c>
      <c r="R250" t="e">
        <f t="shared" si="32"/>
        <v>#N/A</v>
      </c>
      <c r="S250" t="e">
        <f t="shared" si="33"/>
        <v>#N/A</v>
      </c>
      <c r="T250">
        <f t="shared" si="34"/>
        <v>1764000</v>
      </c>
      <c r="U250">
        <f t="shared" si="35"/>
        <v>383</v>
      </c>
      <c r="V250" t="e">
        <f t="shared" si="36"/>
        <v>#N/A</v>
      </c>
      <c r="W250" t="e">
        <f t="shared" si="37"/>
        <v>#N/A</v>
      </c>
      <c r="X250" t="e">
        <f t="shared" si="38"/>
        <v>#N/A</v>
      </c>
      <c r="Y250" t="e">
        <f t="shared" si="39"/>
        <v>#N/A</v>
      </c>
    </row>
    <row r="251" spans="1:25" x14ac:dyDescent="0.2">
      <c r="A251">
        <v>1249</v>
      </c>
      <c r="B251" t="s">
        <v>14</v>
      </c>
      <c r="C251" t="s">
        <v>15</v>
      </c>
      <c r="D251">
        <v>2023</v>
      </c>
      <c r="E251" t="s">
        <v>24</v>
      </c>
      <c r="F251">
        <v>198</v>
      </c>
      <c r="G251">
        <v>3</v>
      </c>
      <c r="H251">
        <v>3</v>
      </c>
      <c r="I251">
        <v>760000</v>
      </c>
      <c r="J251">
        <v>3838.4</v>
      </c>
      <c r="K251">
        <v>20</v>
      </c>
      <c r="L251" t="s">
        <v>20</v>
      </c>
      <c r="M251">
        <v>96</v>
      </c>
      <c r="N251" t="s">
        <v>18</v>
      </c>
      <c r="P251" t="e">
        <f t="shared" si="30"/>
        <v>#N/A</v>
      </c>
      <c r="Q251" t="e">
        <f t="shared" si="31"/>
        <v>#N/A</v>
      </c>
      <c r="R251">
        <f t="shared" si="32"/>
        <v>760000</v>
      </c>
      <c r="S251">
        <f t="shared" si="33"/>
        <v>198</v>
      </c>
      <c r="T251" t="e">
        <f t="shared" si="34"/>
        <v>#N/A</v>
      </c>
      <c r="U251" t="e">
        <f t="shared" si="35"/>
        <v>#N/A</v>
      </c>
      <c r="V251" t="e">
        <f t="shared" si="36"/>
        <v>#N/A</v>
      </c>
      <c r="W251" t="e">
        <f t="shared" si="37"/>
        <v>#N/A</v>
      </c>
      <c r="X251" t="e">
        <f t="shared" si="38"/>
        <v>#N/A</v>
      </c>
      <c r="Y251" t="e">
        <f t="shared" si="39"/>
        <v>#N/A</v>
      </c>
    </row>
    <row r="252" spans="1:25" x14ac:dyDescent="0.2">
      <c r="A252">
        <v>1250</v>
      </c>
      <c r="B252" t="s">
        <v>41</v>
      </c>
      <c r="C252" t="s">
        <v>29</v>
      </c>
      <c r="D252">
        <v>2022</v>
      </c>
      <c r="E252" t="s">
        <v>26</v>
      </c>
      <c r="F252">
        <v>472</v>
      </c>
      <c r="G252">
        <v>5</v>
      </c>
      <c r="H252">
        <v>5</v>
      </c>
      <c r="I252">
        <v>3362000</v>
      </c>
      <c r="J252">
        <v>7122.9</v>
      </c>
      <c r="K252">
        <v>5</v>
      </c>
      <c r="L252" t="s">
        <v>17</v>
      </c>
      <c r="M252">
        <v>40</v>
      </c>
      <c r="N252" t="s">
        <v>21</v>
      </c>
      <c r="P252">
        <f t="shared" si="30"/>
        <v>3362000</v>
      </c>
      <c r="Q252">
        <f t="shared" si="31"/>
        <v>472</v>
      </c>
      <c r="R252" t="e">
        <f t="shared" si="32"/>
        <v>#N/A</v>
      </c>
      <c r="S252" t="e">
        <f t="shared" si="33"/>
        <v>#N/A</v>
      </c>
      <c r="T252" t="e">
        <f t="shared" si="34"/>
        <v>#N/A</v>
      </c>
      <c r="U252" t="e">
        <f t="shared" si="35"/>
        <v>#N/A</v>
      </c>
      <c r="V252" t="e">
        <f t="shared" si="36"/>
        <v>#N/A</v>
      </c>
      <c r="W252" t="e">
        <f t="shared" si="37"/>
        <v>#N/A</v>
      </c>
      <c r="X252" t="e">
        <f t="shared" si="38"/>
        <v>#N/A</v>
      </c>
      <c r="Y252" t="e">
        <f t="shared" si="39"/>
        <v>#N/A</v>
      </c>
    </row>
    <row r="253" spans="1:25" x14ac:dyDescent="0.2">
      <c r="A253">
        <v>1251</v>
      </c>
      <c r="B253" t="s">
        <v>14</v>
      </c>
      <c r="C253" t="s">
        <v>15</v>
      </c>
      <c r="D253">
        <v>2021</v>
      </c>
      <c r="E253" t="s">
        <v>26</v>
      </c>
      <c r="F253">
        <v>186</v>
      </c>
      <c r="G253">
        <v>3</v>
      </c>
      <c r="H253">
        <v>3</v>
      </c>
      <c r="I253">
        <v>591000</v>
      </c>
      <c r="J253">
        <v>3177.4</v>
      </c>
      <c r="K253">
        <v>1</v>
      </c>
      <c r="L253" t="s">
        <v>17</v>
      </c>
      <c r="M253">
        <v>45</v>
      </c>
      <c r="N253" t="s">
        <v>18</v>
      </c>
      <c r="P253" t="e">
        <f t="shared" si="30"/>
        <v>#N/A</v>
      </c>
      <c r="Q253" t="e">
        <f t="shared" si="31"/>
        <v>#N/A</v>
      </c>
      <c r="R253">
        <f t="shared" si="32"/>
        <v>591000</v>
      </c>
      <c r="S253">
        <f t="shared" si="33"/>
        <v>186</v>
      </c>
      <c r="T253" t="e">
        <f t="shared" si="34"/>
        <v>#N/A</v>
      </c>
      <c r="U253" t="e">
        <f t="shared" si="35"/>
        <v>#N/A</v>
      </c>
      <c r="V253" t="e">
        <f t="shared" si="36"/>
        <v>#N/A</v>
      </c>
      <c r="W253" t="e">
        <f t="shared" si="37"/>
        <v>#N/A</v>
      </c>
      <c r="X253" t="e">
        <f t="shared" si="38"/>
        <v>#N/A</v>
      </c>
      <c r="Y253" t="e">
        <f t="shared" si="39"/>
        <v>#N/A</v>
      </c>
    </row>
    <row r="254" spans="1:25" x14ac:dyDescent="0.2">
      <c r="A254">
        <v>1252</v>
      </c>
      <c r="B254" t="s">
        <v>25</v>
      </c>
      <c r="C254" t="s">
        <v>29</v>
      </c>
      <c r="D254">
        <v>2023</v>
      </c>
      <c r="E254" t="s">
        <v>30</v>
      </c>
      <c r="F254">
        <v>505</v>
      </c>
      <c r="G254">
        <v>5</v>
      </c>
      <c r="H254">
        <v>5</v>
      </c>
      <c r="I254">
        <v>1995000</v>
      </c>
      <c r="J254">
        <v>3950.5</v>
      </c>
      <c r="K254">
        <v>3</v>
      </c>
      <c r="L254" t="s">
        <v>17</v>
      </c>
      <c r="M254">
        <v>142</v>
      </c>
      <c r="N254" t="s">
        <v>27</v>
      </c>
      <c r="P254">
        <f t="shared" si="30"/>
        <v>1995000</v>
      </c>
      <c r="Q254">
        <f t="shared" si="31"/>
        <v>505</v>
      </c>
      <c r="R254" t="e">
        <f t="shared" si="32"/>
        <v>#N/A</v>
      </c>
      <c r="S254" t="e">
        <f t="shared" si="33"/>
        <v>#N/A</v>
      </c>
      <c r="T254" t="e">
        <f t="shared" si="34"/>
        <v>#N/A</v>
      </c>
      <c r="U254" t="e">
        <f t="shared" si="35"/>
        <v>#N/A</v>
      </c>
      <c r="V254" t="e">
        <f t="shared" si="36"/>
        <v>#N/A</v>
      </c>
      <c r="W254" t="e">
        <f t="shared" si="37"/>
        <v>#N/A</v>
      </c>
      <c r="X254" t="e">
        <f t="shared" si="38"/>
        <v>#N/A</v>
      </c>
      <c r="Y254" t="e">
        <f t="shared" si="39"/>
        <v>#N/A</v>
      </c>
    </row>
    <row r="255" spans="1:25" x14ac:dyDescent="0.2">
      <c r="A255">
        <v>1253</v>
      </c>
      <c r="B255" t="s">
        <v>46</v>
      </c>
      <c r="C255" t="s">
        <v>29</v>
      </c>
      <c r="D255">
        <v>2021</v>
      </c>
      <c r="E255" t="s">
        <v>16</v>
      </c>
      <c r="F255">
        <v>279</v>
      </c>
      <c r="G255">
        <v>4</v>
      </c>
      <c r="H255">
        <v>4</v>
      </c>
      <c r="I255">
        <v>1241000</v>
      </c>
      <c r="J255">
        <v>4448</v>
      </c>
      <c r="K255">
        <v>20</v>
      </c>
      <c r="L255" t="s">
        <v>20</v>
      </c>
      <c r="M255">
        <v>155</v>
      </c>
      <c r="N255" t="s">
        <v>18</v>
      </c>
      <c r="P255">
        <f t="shared" si="30"/>
        <v>1241000</v>
      </c>
      <c r="Q255">
        <f t="shared" si="31"/>
        <v>279</v>
      </c>
      <c r="R255" t="e">
        <f t="shared" si="32"/>
        <v>#N/A</v>
      </c>
      <c r="S255" t="e">
        <f t="shared" si="33"/>
        <v>#N/A</v>
      </c>
      <c r="T255" t="e">
        <f t="shared" si="34"/>
        <v>#N/A</v>
      </c>
      <c r="U255" t="e">
        <f t="shared" si="35"/>
        <v>#N/A</v>
      </c>
      <c r="V255" t="e">
        <f t="shared" si="36"/>
        <v>#N/A</v>
      </c>
      <c r="W255" t="e">
        <f t="shared" si="37"/>
        <v>#N/A</v>
      </c>
      <c r="X255" t="e">
        <f t="shared" si="38"/>
        <v>#N/A</v>
      </c>
      <c r="Y255" t="e">
        <f t="shared" si="39"/>
        <v>#N/A</v>
      </c>
    </row>
    <row r="256" spans="1:25" x14ac:dyDescent="0.2">
      <c r="A256">
        <v>1254</v>
      </c>
      <c r="B256" t="s">
        <v>33</v>
      </c>
      <c r="C256" t="s">
        <v>29</v>
      </c>
      <c r="D256">
        <v>2022</v>
      </c>
      <c r="E256" t="s">
        <v>26</v>
      </c>
      <c r="F256">
        <v>398</v>
      </c>
      <c r="G256">
        <v>4</v>
      </c>
      <c r="H256">
        <v>4</v>
      </c>
      <c r="I256">
        <v>1518000</v>
      </c>
      <c r="J256">
        <v>3814.1</v>
      </c>
      <c r="K256">
        <v>1</v>
      </c>
      <c r="L256" t="s">
        <v>20</v>
      </c>
      <c r="M256">
        <v>11</v>
      </c>
      <c r="N256" t="s">
        <v>27</v>
      </c>
      <c r="P256">
        <f t="shared" si="30"/>
        <v>1518000</v>
      </c>
      <c r="Q256">
        <f t="shared" si="31"/>
        <v>398</v>
      </c>
      <c r="R256" t="e">
        <f t="shared" si="32"/>
        <v>#N/A</v>
      </c>
      <c r="S256" t="e">
        <f t="shared" si="33"/>
        <v>#N/A</v>
      </c>
      <c r="T256" t="e">
        <f t="shared" si="34"/>
        <v>#N/A</v>
      </c>
      <c r="U256" t="e">
        <f t="shared" si="35"/>
        <v>#N/A</v>
      </c>
      <c r="V256" t="e">
        <f t="shared" si="36"/>
        <v>#N/A</v>
      </c>
      <c r="W256" t="e">
        <f t="shared" si="37"/>
        <v>#N/A</v>
      </c>
      <c r="X256" t="e">
        <f t="shared" si="38"/>
        <v>#N/A</v>
      </c>
      <c r="Y256" t="e">
        <f t="shared" si="39"/>
        <v>#N/A</v>
      </c>
    </row>
    <row r="257" spans="1:25" x14ac:dyDescent="0.2">
      <c r="A257">
        <v>1255</v>
      </c>
      <c r="B257" t="s">
        <v>47</v>
      </c>
      <c r="C257" t="s">
        <v>29</v>
      </c>
      <c r="D257">
        <v>2024</v>
      </c>
      <c r="E257" t="s">
        <v>26</v>
      </c>
      <c r="F257">
        <v>477</v>
      </c>
      <c r="G257">
        <v>5</v>
      </c>
      <c r="H257">
        <v>5</v>
      </c>
      <c r="I257">
        <v>2533000</v>
      </c>
      <c r="J257">
        <v>5310.3</v>
      </c>
      <c r="K257">
        <v>0</v>
      </c>
      <c r="L257" t="s">
        <v>20</v>
      </c>
      <c r="M257">
        <v>166</v>
      </c>
      <c r="N257" t="s">
        <v>21</v>
      </c>
      <c r="P257">
        <f t="shared" si="30"/>
        <v>2533000</v>
      </c>
      <c r="Q257">
        <f t="shared" si="31"/>
        <v>477</v>
      </c>
      <c r="R257" t="e">
        <f t="shared" si="32"/>
        <v>#N/A</v>
      </c>
      <c r="S257" t="e">
        <f t="shared" si="33"/>
        <v>#N/A</v>
      </c>
      <c r="T257" t="e">
        <f t="shared" si="34"/>
        <v>#N/A</v>
      </c>
      <c r="U257" t="e">
        <f t="shared" si="35"/>
        <v>#N/A</v>
      </c>
      <c r="V257" t="e">
        <f t="shared" si="36"/>
        <v>#N/A</v>
      </c>
      <c r="W257" t="e">
        <f t="shared" si="37"/>
        <v>#N/A</v>
      </c>
      <c r="X257" t="e">
        <f t="shared" si="38"/>
        <v>#N/A</v>
      </c>
      <c r="Y257" t="e">
        <f t="shared" si="39"/>
        <v>#N/A</v>
      </c>
    </row>
    <row r="258" spans="1:25" x14ac:dyDescent="0.2">
      <c r="A258">
        <v>1256</v>
      </c>
      <c r="B258" t="s">
        <v>45</v>
      </c>
      <c r="C258" t="s">
        <v>29</v>
      </c>
      <c r="D258">
        <v>2024</v>
      </c>
      <c r="E258" t="s">
        <v>30</v>
      </c>
      <c r="F258">
        <v>550</v>
      </c>
      <c r="G258">
        <v>5</v>
      </c>
      <c r="H258">
        <v>5</v>
      </c>
      <c r="I258">
        <v>3877000</v>
      </c>
      <c r="J258">
        <v>7049.1</v>
      </c>
      <c r="K258">
        <v>1</v>
      </c>
      <c r="L258" t="s">
        <v>34</v>
      </c>
      <c r="M258">
        <v>21</v>
      </c>
      <c r="N258" t="s">
        <v>21</v>
      </c>
      <c r="P258">
        <f t="shared" si="30"/>
        <v>3877000</v>
      </c>
      <c r="Q258">
        <f t="shared" si="31"/>
        <v>550</v>
      </c>
      <c r="R258" t="e">
        <f t="shared" si="32"/>
        <v>#N/A</v>
      </c>
      <c r="S258" t="e">
        <f t="shared" si="33"/>
        <v>#N/A</v>
      </c>
      <c r="T258" t="e">
        <f t="shared" si="34"/>
        <v>#N/A</v>
      </c>
      <c r="U258" t="e">
        <f t="shared" si="35"/>
        <v>#N/A</v>
      </c>
      <c r="V258" t="e">
        <f t="shared" si="36"/>
        <v>#N/A</v>
      </c>
      <c r="W258" t="e">
        <f t="shared" si="37"/>
        <v>#N/A</v>
      </c>
      <c r="X258" t="e">
        <f t="shared" si="38"/>
        <v>#N/A</v>
      </c>
      <c r="Y258" t="e">
        <f t="shared" si="39"/>
        <v>#N/A</v>
      </c>
    </row>
    <row r="259" spans="1:25" x14ac:dyDescent="0.2">
      <c r="A259">
        <v>1257</v>
      </c>
      <c r="B259" t="s">
        <v>25</v>
      </c>
      <c r="C259" t="s">
        <v>29</v>
      </c>
      <c r="D259">
        <v>2023</v>
      </c>
      <c r="E259" t="s">
        <v>16</v>
      </c>
      <c r="F259">
        <v>310</v>
      </c>
      <c r="G259">
        <v>5</v>
      </c>
      <c r="H259">
        <v>5</v>
      </c>
      <c r="I259">
        <v>1336000</v>
      </c>
      <c r="J259">
        <v>4309.7</v>
      </c>
      <c r="K259">
        <v>0</v>
      </c>
      <c r="L259" t="s">
        <v>17</v>
      </c>
      <c r="M259">
        <v>63</v>
      </c>
      <c r="N259" t="s">
        <v>27</v>
      </c>
      <c r="P259">
        <f t="shared" ref="P259:P322" si="40">IF(C259="Villa", I259, NA())</f>
        <v>1336000</v>
      </c>
      <c r="Q259">
        <f t="shared" ref="Q259:Q322" si="41">IF(C259="Villa", F259, NA())</f>
        <v>310</v>
      </c>
      <c r="R259" t="e">
        <f t="shared" ref="R259:R322" si="42">IF(C259="Apartment",I259,NA())</f>
        <v>#N/A</v>
      </c>
      <c r="S259" t="e">
        <f t="shared" ref="S259:S322" si="43">IF(C259="Apartment",F259,NA())</f>
        <v>#N/A</v>
      </c>
      <c r="T259" t="e">
        <f t="shared" ref="T259:T322" si="44">IF(C259="Duplex",I259,NA())</f>
        <v>#N/A</v>
      </c>
      <c r="U259" t="e">
        <f t="shared" ref="U259:U322" si="45">IF(C259="Duplex",F259,NA())</f>
        <v>#N/A</v>
      </c>
      <c r="V259" t="e">
        <f t="shared" ref="V259:V322" si="46">IF(C259="Studio",I259,NA())</f>
        <v>#N/A</v>
      </c>
      <c r="W259" t="e">
        <f t="shared" ref="W259:W322" si="47">IF(C259="Studio",F259,NA())</f>
        <v>#N/A</v>
      </c>
      <c r="X259" t="e">
        <f t="shared" ref="X259:X322" si="48">IF(C259="Floor",I259,NA())</f>
        <v>#N/A</v>
      </c>
      <c r="Y259" t="e">
        <f t="shared" ref="Y259:Y322" si="49">IF(C259="Floor",F259,NA())</f>
        <v>#N/A</v>
      </c>
    </row>
    <row r="260" spans="1:25" x14ac:dyDescent="0.2">
      <c r="A260">
        <v>1258</v>
      </c>
      <c r="B260" t="s">
        <v>37</v>
      </c>
      <c r="C260" t="s">
        <v>23</v>
      </c>
      <c r="D260">
        <v>2023</v>
      </c>
      <c r="E260" t="s">
        <v>16</v>
      </c>
      <c r="F260">
        <v>195</v>
      </c>
      <c r="G260">
        <v>4</v>
      </c>
      <c r="H260">
        <v>4</v>
      </c>
      <c r="I260">
        <v>984000</v>
      </c>
      <c r="J260">
        <v>5046.2</v>
      </c>
      <c r="K260">
        <v>15</v>
      </c>
      <c r="L260" t="s">
        <v>34</v>
      </c>
      <c r="M260">
        <v>6</v>
      </c>
      <c r="N260" t="s">
        <v>27</v>
      </c>
      <c r="P260" t="e">
        <f t="shared" si="40"/>
        <v>#N/A</v>
      </c>
      <c r="Q260" t="e">
        <f t="shared" si="41"/>
        <v>#N/A</v>
      </c>
      <c r="R260" t="e">
        <f t="shared" si="42"/>
        <v>#N/A</v>
      </c>
      <c r="S260" t="e">
        <f t="shared" si="43"/>
        <v>#N/A</v>
      </c>
      <c r="T260">
        <f t="shared" si="44"/>
        <v>984000</v>
      </c>
      <c r="U260">
        <f t="shared" si="45"/>
        <v>195</v>
      </c>
      <c r="V260" t="e">
        <f t="shared" si="46"/>
        <v>#N/A</v>
      </c>
      <c r="W260" t="e">
        <f t="shared" si="47"/>
        <v>#N/A</v>
      </c>
      <c r="X260" t="e">
        <f t="shared" si="48"/>
        <v>#N/A</v>
      </c>
      <c r="Y260" t="e">
        <f t="shared" si="49"/>
        <v>#N/A</v>
      </c>
    </row>
    <row r="261" spans="1:25" x14ac:dyDescent="0.2">
      <c r="A261">
        <v>1259</v>
      </c>
      <c r="B261" t="s">
        <v>42</v>
      </c>
      <c r="C261" t="s">
        <v>15</v>
      </c>
      <c r="D261">
        <v>2021</v>
      </c>
      <c r="E261" t="s">
        <v>24</v>
      </c>
      <c r="F261">
        <v>143</v>
      </c>
      <c r="G261">
        <v>2</v>
      </c>
      <c r="H261">
        <v>2</v>
      </c>
      <c r="I261">
        <v>616000</v>
      </c>
      <c r="J261">
        <v>4307.7</v>
      </c>
      <c r="K261">
        <v>2</v>
      </c>
      <c r="L261" t="s">
        <v>17</v>
      </c>
      <c r="M261">
        <v>103</v>
      </c>
      <c r="N261" t="s">
        <v>21</v>
      </c>
      <c r="P261" t="e">
        <f t="shared" si="40"/>
        <v>#N/A</v>
      </c>
      <c r="Q261" t="e">
        <f t="shared" si="41"/>
        <v>#N/A</v>
      </c>
      <c r="R261">
        <f t="shared" si="42"/>
        <v>616000</v>
      </c>
      <c r="S261">
        <f t="shared" si="43"/>
        <v>143</v>
      </c>
      <c r="T261" t="e">
        <f t="shared" si="44"/>
        <v>#N/A</v>
      </c>
      <c r="U261" t="e">
        <f t="shared" si="45"/>
        <v>#N/A</v>
      </c>
      <c r="V261" t="e">
        <f t="shared" si="46"/>
        <v>#N/A</v>
      </c>
      <c r="W261" t="e">
        <f t="shared" si="47"/>
        <v>#N/A</v>
      </c>
      <c r="X261" t="e">
        <f t="shared" si="48"/>
        <v>#N/A</v>
      </c>
      <c r="Y261" t="e">
        <f t="shared" si="49"/>
        <v>#N/A</v>
      </c>
    </row>
    <row r="262" spans="1:25" x14ac:dyDescent="0.2">
      <c r="A262">
        <v>1260</v>
      </c>
      <c r="B262" t="s">
        <v>28</v>
      </c>
      <c r="C262" t="s">
        <v>15</v>
      </c>
      <c r="D262">
        <v>2021</v>
      </c>
      <c r="E262" t="s">
        <v>30</v>
      </c>
      <c r="F262">
        <v>83</v>
      </c>
      <c r="G262">
        <v>3</v>
      </c>
      <c r="H262">
        <v>3</v>
      </c>
      <c r="I262">
        <v>221000</v>
      </c>
      <c r="J262">
        <v>2662.7</v>
      </c>
      <c r="K262">
        <v>1</v>
      </c>
      <c r="L262" t="s">
        <v>17</v>
      </c>
      <c r="M262">
        <v>69</v>
      </c>
      <c r="N262" t="s">
        <v>27</v>
      </c>
      <c r="P262" t="e">
        <f t="shared" si="40"/>
        <v>#N/A</v>
      </c>
      <c r="Q262" t="e">
        <f t="shared" si="41"/>
        <v>#N/A</v>
      </c>
      <c r="R262">
        <f t="shared" si="42"/>
        <v>221000</v>
      </c>
      <c r="S262">
        <f t="shared" si="43"/>
        <v>83</v>
      </c>
      <c r="T262" t="e">
        <f t="shared" si="44"/>
        <v>#N/A</v>
      </c>
      <c r="U262" t="e">
        <f t="shared" si="45"/>
        <v>#N/A</v>
      </c>
      <c r="V262" t="e">
        <f t="shared" si="46"/>
        <v>#N/A</v>
      </c>
      <c r="W262" t="e">
        <f t="shared" si="47"/>
        <v>#N/A</v>
      </c>
      <c r="X262" t="e">
        <f t="shared" si="48"/>
        <v>#N/A</v>
      </c>
      <c r="Y262" t="e">
        <f t="shared" si="49"/>
        <v>#N/A</v>
      </c>
    </row>
    <row r="263" spans="1:25" x14ac:dyDescent="0.2">
      <c r="A263">
        <v>1261</v>
      </c>
      <c r="B263" t="s">
        <v>45</v>
      </c>
      <c r="C263" t="s">
        <v>15</v>
      </c>
      <c r="D263">
        <v>2021</v>
      </c>
      <c r="E263" t="s">
        <v>26</v>
      </c>
      <c r="F263">
        <v>142</v>
      </c>
      <c r="G263">
        <v>3</v>
      </c>
      <c r="H263">
        <v>3</v>
      </c>
      <c r="I263">
        <v>481000</v>
      </c>
      <c r="J263">
        <v>3387.3</v>
      </c>
      <c r="K263">
        <v>15</v>
      </c>
      <c r="L263" t="s">
        <v>17</v>
      </c>
      <c r="M263">
        <v>149</v>
      </c>
      <c r="N263" t="s">
        <v>21</v>
      </c>
      <c r="P263" t="e">
        <f t="shared" si="40"/>
        <v>#N/A</v>
      </c>
      <c r="Q263" t="e">
        <f t="shared" si="41"/>
        <v>#N/A</v>
      </c>
      <c r="R263">
        <f t="shared" si="42"/>
        <v>481000</v>
      </c>
      <c r="S263">
        <f t="shared" si="43"/>
        <v>142</v>
      </c>
      <c r="T263" t="e">
        <f t="shared" si="44"/>
        <v>#N/A</v>
      </c>
      <c r="U263" t="e">
        <f t="shared" si="45"/>
        <v>#N/A</v>
      </c>
      <c r="V263" t="e">
        <f t="shared" si="46"/>
        <v>#N/A</v>
      </c>
      <c r="W263" t="e">
        <f t="shared" si="47"/>
        <v>#N/A</v>
      </c>
      <c r="X263" t="e">
        <f t="shared" si="48"/>
        <v>#N/A</v>
      </c>
      <c r="Y263" t="e">
        <f t="shared" si="49"/>
        <v>#N/A</v>
      </c>
    </row>
    <row r="264" spans="1:25" x14ac:dyDescent="0.2">
      <c r="A264">
        <v>1262</v>
      </c>
      <c r="B264" t="s">
        <v>33</v>
      </c>
      <c r="C264" t="s">
        <v>15</v>
      </c>
      <c r="D264">
        <v>2021</v>
      </c>
      <c r="E264" t="s">
        <v>16</v>
      </c>
      <c r="F264">
        <v>156</v>
      </c>
      <c r="G264">
        <v>3</v>
      </c>
      <c r="H264">
        <v>3</v>
      </c>
      <c r="I264">
        <v>343000</v>
      </c>
      <c r="J264">
        <v>2198.6999999999998</v>
      </c>
      <c r="K264">
        <v>15</v>
      </c>
      <c r="L264" t="s">
        <v>34</v>
      </c>
      <c r="M264">
        <v>140</v>
      </c>
      <c r="N264" t="s">
        <v>27</v>
      </c>
      <c r="P264" t="e">
        <f t="shared" si="40"/>
        <v>#N/A</v>
      </c>
      <c r="Q264" t="e">
        <f t="shared" si="41"/>
        <v>#N/A</v>
      </c>
      <c r="R264">
        <f t="shared" si="42"/>
        <v>343000</v>
      </c>
      <c r="S264">
        <f t="shared" si="43"/>
        <v>156</v>
      </c>
      <c r="T264" t="e">
        <f t="shared" si="44"/>
        <v>#N/A</v>
      </c>
      <c r="U264" t="e">
        <f t="shared" si="45"/>
        <v>#N/A</v>
      </c>
      <c r="V264" t="e">
        <f t="shared" si="46"/>
        <v>#N/A</v>
      </c>
      <c r="W264" t="e">
        <f t="shared" si="47"/>
        <v>#N/A</v>
      </c>
      <c r="X264" t="e">
        <f t="shared" si="48"/>
        <v>#N/A</v>
      </c>
      <c r="Y264" t="e">
        <f t="shared" si="49"/>
        <v>#N/A</v>
      </c>
    </row>
    <row r="265" spans="1:25" x14ac:dyDescent="0.2">
      <c r="A265">
        <v>1263</v>
      </c>
      <c r="B265" t="s">
        <v>44</v>
      </c>
      <c r="C265" t="s">
        <v>15</v>
      </c>
      <c r="D265">
        <v>2024</v>
      </c>
      <c r="E265" t="s">
        <v>30</v>
      </c>
      <c r="F265">
        <v>117</v>
      </c>
      <c r="G265">
        <v>3</v>
      </c>
      <c r="H265">
        <v>3</v>
      </c>
      <c r="I265">
        <v>389000</v>
      </c>
      <c r="J265">
        <v>3324.8</v>
      </c>
      <c r="K265">
        <v>10</v>
      </c>
      <c r="L265" t="s">
        <v>17</v>
      </c>
      <c r="M265">
        <v>44</v>
      </c>
      <c r="N265" t="s">
        <v>18</v>
      </c>
      <c r="P265" t="e">
        <f t="shared" si="40"/>
        <v>#N/A</v>
      </c>
      <c r="Q265" t="e">
        <f t="shared" si="41"/>
        <v>#N/A</v>
      </c>
      <c r="R265">
        <f t="shared" si="42"/>
        <v>389000</v>
      </c>
      <c r="S265">
        <f t="shared" si="43"/>
        <v>117</v>
      </c>
      <c r="T265" t="e">
        <f t="shared" si="44"/>
        <v>#N/A</v>
      </c>
      <c r="U265" t="e">
        <f t="shared" si="45"/>
        <v>#N/A</v>
      </c>
      <c r="V265" t="e">
        <f t="shared" si="46"/>
        <v>#N/A</v>
      </c>
      <c r="W265" t="e">
        <f t="shared" si="47"/>
        <v>#N/A</v>
      </c>
      <c r="X265" t="e">
        <f t="shared" si="48"/>
        <v>#N/A</v>
      </c>
      <c r="Y265" t="e">
        <f t="shared" si="49"/>
        <v>#N/A</v>
      </c>
    </row>
    <row r="266" spans="1:25" x14ac:dyDescent="0.2">
      <c r="A266">
        <v>1264</v>
      </c>
      <c r="B266" t="s">
        <v>28</v>
      </c>
      <c r="C266" t="s">
        <v>29</v>
      </c>
      <c r="D266">
        <v>2024</v>
      </c>
      <c r="E266" t="s">
        <v>16</v>
      </c>
      <c r="F266">
        <v>415</v>
      </c>
      <c r="G266">
        <v>4</v>
      </c>
      <c r="H266">
        <v>4</v>
      </c>
      <c r="I266">
        <v>2095000</v>
      </c>
      <c r="J266">
        <v>5048.2</v>
      </c>
      <c r="K266">
        <v>0</v>
      </c>
      <c r="L266" t="s">
        <v>17</v>
      </c>
      <c r="M266">
        <v>115</v>
      </c>
      <c r="N266" t="s">
        <v>27</v>
      </c>
      <c r="P266">
        <f t="shared" si="40"/>
        <v>2095000</v>
      </c>
      <c r="Q266">
        <f t="shared" si="41"/>
        <v>415</v>
      </c>
      <c r="R266" t="e">
        <f t="shared" si="42"/>
        <v>#N/A</v>
      </c>
      <c r="S266" t="e">
        <f t="shared" si="43"/>
        <v>#N/A</v>
      </c>
      <c r="T266" t="e">
        <f t="shared" si="44"/>
        <v>#N/A</v>
      </c>
      <c r="U266" t="e">
        <f t="shared" si="45"/>
        <v>#N/A</v>
      </c>
      <c r="V266" t="e">
        <f t="shared" si="46"/>
        <v>#N/A</v>
      </c>
      <c r="W266" t="e">
        <f t="shared" si="47"/>
        <v>#N/A</v>
      </c>
      <c r="X266" t="e">
        <f t="shared" si="48"/>
        <v>#N/A</v>
      </c>
      <c r="Y266" t="e">
        <f t="shared" si="49"/>
        <v>#N/A</v>
      </c>
    </row>
    <row r="267" spans="1:25" x14ac:dyDescent="0.2">
      <c r="A267">
        <v>1265</v>
      </c>
      <c r="B267" t="s">
        <v>41</v>
      </c>
      <c r="C267" t="s">
        <v>36</v>
      </c>
      <c r="D267">
        <v>2021</v>
      </c>
      <c r="E267" t="s">
        <v>26</v>
      </c>
      <c r="F267">
        <v>407</v>
      </c>
      <c r="G267">
        <v>5</v>
      </c>
      <c r="H267">
        <v>5</v>
      </c>
      <c r="I267">
        <v>1246000</v>
      </c>
      <c r="J267">
        <v>3061.4</v>
      </c>
      <c r="K267">
        <v>20</v>
      </c>
      <c r="L267" t="s">
        <v>17</v>
      </c>
      <c r="M267">
        <v>174</v>
      </c>
      <c r="N267" t="s">
        <v>21</v>
      </c>
      <c r="P267" t="e">
        <f t="shared" si="40"/>
        <v>#N/A</v>
      </c>
      <c r="Q267" t="e">
        <f t="shared" si="41"/>
        <v>#N/A</v>
      </c>
      <c r="R267" t="e">
        <f t="shared" si="42"/>
        <v>#N/A</v>
      </c>
      <c r="S267" t="e">
        <f t="shared" si="43"/>
        <v>#N/A</v>
      </c>
      <c r="T267" t="e">
        <f t="shared" si="44"/>
        <v>#N/A</v>
      </c>
      <c r="U267" t="e">
        <f t="shared" si="45"/>
        <v>#N/A</v>
      </c>
      <c r="V267" t="e">
        <f t="shared" si="46"/>
        <v>#N/A</v>
      </c>
      <c r="W267" t="e">
        <f t="shared" si="47"/>
        <v>#N/A</v>
      </c>
      <c r="X267">
        <f t="shared" si="48"/>
        <v>1246000</v>
      </c>
      <c r="Y267">
        <f t="shared" si="49"/>
        <v>407</v>
      </c>
    </row>
    <row r="268" spans="1:25" x14ac:dyDescent="0.2">
      <c r="A268">
        <v>1266</v>
      </c>
      <c r="B268" t="s">
        <v>45</v>
      </c>
      <c r="C268" t="s">
        <v>23</v>
      </c>
      <c r="D268">
        <v>2021</v>
      </c>
      <c r="E268" t="s">
        <v>30</v>
      </c>
      <c r="F268">
        <v>253</v>
      </c>
      <c r="G268">
        <v>5</v>
      </c>
      <c r="H268">
        <v>5</v>
      </c>
      <c r="I268">
        <v>993000</v>
      </c>
      <c r="J268">
        <v>3924.9</v>
      </c>
      <c r="K268">
        <v>20</v>
      </c>
      <c r="L268" t="s">
        <v>20</v>
      </c>
      <c r="M268">
        <v>18</v>
      </c>
      <c r="N268" t="s">
        <v>21</v>
      </c>
      <c r="P268" t="e">
        <f t="shared" si="40"/>
        <v>#N/A</v>
      </c>
      <c r="Q268" t="e">
        <f t="shared" si="41"/>
        <v>#N/A</v>
      </c>
      <c r="R268" t="e">
        <f t="shared" si="42"/>
        <v>#N/A</v>
      </c>
      <c r="S268" t="e">
        <f t="shared" si="43"/>
        <v>#N/A</v>
      </c>
      <c r="T268">
        <f t="shared" si="44"/>
        <v>993000</v>
      </c>
      <c r="U268">
        <f t="shared" si="45"/>
        <v>253</v>
      </c>
      <c r="V268" t="e">
        <f t="shared" si="46"/>
        <v>#N/A</v>
      </c>
      <c r="W268" t="e">
        <f t="shared" si="47"/>
        <v>#N/A</v>
      </c>
      <c r="X268" t="e">
        <f t="shared" si="48"/>
        <v>#N/A</v>
      </c>
      <c r="Y268" t="e">
        <f t="shared" si="49"/>
        <v>#N/A</v>
      </c>
    </row>
    <row r="269" spans="1:25" x14ac:dyDescent="0.2">
      <c r="A269">
        <v>1267</v>
      </c>
      <c r="B269" t="s">
        <v>45</v>
      </c>
      <c r="C269" t="s">
        <v>29</v>
      </c>
      <c r="D269">
        <v>2024</v>
      </c>
      <c r="E269" t="s">
        <v>30</v>
      </c>
      <c r="F269">
        <v>357</v>
      </c>
      <c r="G269">
        <v>5</v>
      </c>
      <c r="H269">
        <v>5</v>
      </c>
      <c r="I269">
        <v>2222000</v>
      </c>
      <c r="J269">
        <v>6224.1</v>
      </c>
      <c r="K269">
        <v>2</v>
      </c>
      <c r="L269" t="s">
        <v>34</v>
      </c>
      <c r="M269">
        <v>167</v>
      </c>
      <c r="N269" t="s">
        <v>21</v>
      </c>
      <c r="P269">
        <f t="shared" si="40"/>
        <v>2222000</v>
      </c>
      <c r="Q269">
        <f t="shared" si="41"/>
        <v>357</v>
      </c>
      <c r="R269" t="e">
        <f t="shared" si="42"/>
        <v>#N/A</v>
      </c>
      <c r="S269" t="e">
        <f t="shared" si="43"/>
        <v>#N/A</v>
      </c>
      <c r="T269" t="e">
        <f t="shared" si="44"/>
        <v>#N/A</v>
      </c>
      <c r="U269" t="e">
        <f t="shared" si="45"/>
        <v>#N/A</v>
      </c>
      <c r="V269" t="e">
        <f t="shared" si="46"/>
        <v>#N/A</v>
      </c>
      <c r="W269" t="e">
        <f t="shared" si="47"/>
        <v>#N/A</v>
      </c>
      <c r="X269" t="e">
        <f t="shared" si="48"/>
        <v>#N/A</v>
      </c>
      <c r="Y269" t="e">
        <f t="shared" si="49"/>
        <v>#N/A</v>
      </c>
    </row>
    <row r="270" spans="1:25" x14ac:dyDescent="0.2">
      <c r="A270">
        <v>1268</v>
      </c>
      <c r="B270" t="s">
        <v>47</v>
      </c>
      <c r="C270" t="s">
        <v>23</v>
      </c>
      <c r="D270">
        <v>2023</v>
      </c>
      <c r="E270" t="s">
        <v>24</v>
      </c>
      <c r="F270">
        <v>275</v>
      </c>
      <c r="G270">
        <v>4</v>
      </c>
      <c r="H270">
        <v>4</v>
      </c>
      <c r="I270">
        <v>968000</v>
      </c>
      <c r="J270">
        <v>3520</v>
      </c>
      <c r="K270">
        <v>20</v>
      </c>
      <c r="L270" t="s">
        <v>20</v>
      </c>
      <c r="M270">
        <v>139</v>
      </c>
      <c r="N270" t="s">
        <v>21</v>
      </c>
      <c r="P270" t="e">
        <f t="shared" si="40"/>
        <v>#N/A</v>
      </c>
      <c r="Q270" t="e">
        <f t="shared" si="41"/>
        <v>#N/A</v>
      </c>
      <c r="R270" t="e">
        <f t="shared" si="42"/>
        <v>#N/A</v>
      </c>
      <c r="S270" t="e">
        <f t="shared" si="43"/>
        <v>#N/A</v>
      </c>
      <c r="T270">
        <f t="shared" si="44"/>
        <v>968000</v>
      </c>
      <c r="U270">
        <f t="shared" si="45"/>
        <v>275</v>
      </c>
      <c r="V270" t="e">
        <f t="shared" si="46"/>
        <v>#N/A</v>
      </c>
      <c r="W270" t="e">
        <f t="shared" si="47"/>
        <v>#N/A</v>
      </c>
      <c r="X270" t="e">
        <f t="shared" si="48"/>
        <v>#N/A</v>
      </c>
      <c r="Y270" t="e">
        <f t="shared" si="49"/>
        <v>#N/A</v>
      </c>
    </row>
    <row r="271" spans="1:25" x14ac:dyDescent="0.2">
      <c r="A271">
        <v>1269</v>
      </c>
      <c r="B271" t="s">
        <v>14</v>
      </c>
      <c r="C271" t="s">
        <v>15</v>
      </c>
      <c r="D271">
        <v>2022</v>
      </c>
      <c r="E271" t="s">
        <v>26</v>
      </c>
      <c r="F271">
        <v>114</v>
      </c>
      <c r="G271">
        <v>4</v>
      </c>
      <c r="H271">
        <v>4</v>
      </c>
      <c r="I271">
        <v>401000</v>
      </c>
      <c r="J271">
        <v>3517.5</v>
      </c>
      <c r="K271">
        <v>4</v>
      </c>
      <c r="L271" t="s">
        <v>34</v>
      </c>
      <c r="M271">
        <v>38</v>
      </c>
      <c r="N271" t="s">
        <v>18</v>
      </c>
      <c r="P271" t="e">
        <f t="shared" si="40"/>
        <v>#N/A</v>
      </c>
      <c r="Q271" t="e">
        <f t="shared" si="41"/>
        <v>#N/A</v>
      </c>
      <c r="R271">
        <f t="shared" si="42"/>
        <v>401000</v>
      </c>
      <c r="S271">
        <f t="shared" si="43"/>
        <v>114</v>
      </c>
      <c r="T271" t="e">
        <f t="shared" si="44"/>
        <v>#N/A</v>
      </c>
      <c r="U271" t="e">
        <f t="shared" si="45"/>
        <v>#N/A</v>
      </c>
      <c r="V271" t="e">
        <f t="shared" si="46"/>
        <v>#N/A</v>
      </c>
      <c r="W271" t="e">
        <f t="shared" si="47"/>
        <v>#N/A</v>
      </c>
      <c r="X271" t="e">
        <f t="shared" si="48"/>
        <v>#N/A</v>
      </c>
      <c r="Y271" t="e">
        <f t="shared" si="49"/>
        <v>#N/A</v>
      </c>
    </row>
    <row r="272" spans="1:25" x14ac:dyDescent="0.2">
      <c r="A272">
        <v>1270</v>
      </c>
      <c r="B272" t="s">
        <v>44</v>
      </c>
      <c r="C272" t="s">
        <v>29</v>
      </c>
      <c r="D272">
        <v>2021</v>
      </c>
      <c r="E272" t="s">
        <v>30</v>
      </c>
      <c r="F272">
        <v>577</v>
      </c>
      <c r="G272">
        <v>4</v>
      </c>
      <c r="H272">
        <v>4</v>
      </c>
      <c r="I272">
        <v>2236000</v>
      </c>
      <c r="J272">
        <v>3875.2</v>
      </c>
      <c r="K272">
        <v>15</v>
      </c>
      <c r="L272" t="s">
        <v>17</v>
      </c>
      <c r="M272">
        <v>17</v>
      </c>
      <c r="N272" t="s">
        <v>18</v>
      </c>
      <c r="P272">
        <f t="shared" si="40"/>
        <v>2236000</v>
      </c>
      <c r="Q272">
        <f t="shared" si="41"/>
        <v>577</v>
      </c>
      <c r="R272" t="e">
        <f t="shared" si="42"/>
        <v>#N/A</v>
      </c>
      <c r="S272" t="e">
        <f t="shared" si="43"/>
        <v>#N/A</v>
      </c>
      <c r="T272" t="e">
        <f t="shared" si="44"/>
        <v>#N/A</v>
      </c>
      <c r="U272" t="e">
        <f t="shared" si="45"/>
        <v>#N/A</v>
      </c>
      <c r="V272" t="e">
        <f t="shared" si="46"/>
        <v>#N/A</v>
      </c>
      <c r="W272" t="e">
        <f t="shared" si="47"/>
        <v>#N/A</v>
      </c>
      <c r="X272" t="e">
        <f t="shared" si="48"/>
        <v>#N/A</v>
      </c>
      <c r="Y272" t="e">
        <f t="shared" si="49"/>
        <v>#N/A</v>
      </c>
    </row>
    <row r="273" spans="1:25" x14ac:dyDescent="0.2">
      <c r="A273">
        <v>1271</v>
      </c>
      <c r="B273" t="s">
        <v>46</v>
      </c>
      <c r="C273" t="s">
        <v>36</v>
      </c>
      <c r="D273">
        <v>2024</v>
      </c>
      <c r="E273" t="s">
        <v>30</v>
      </c>
      <c r="F273">
        <v>352</v>
      </c>
      <c r="G273">
        <v>3</v>
      </c>
      <c r="H273">
        <v>3</v>
      </c>
      <c r="I273">
        <v>1040000</v>
      </c>
      <c r="J273">
        <v>2954.5</v>
      </c>
      <c r="K273">
        <v>20</v>
      </c>
      <c r="L273" t="s">
        <v>34</v>
      </c>
      <c r="M273">
        <v>101</v>
      </c>
      <c r="N273" t="s">
        <v>18</v>
      </c>
      <c r="P273" t="e">
        <f t="shared" si="40"/>
        <v>#N/A</v>
      </c>
      <c r="Q273" t="e">
        <f t="shared" si="41"/>
        <v>#N/A</v>
      </c>
      <c r="R273" t="e">
        <f t="shared" si="42"/>
        <v>#N/A</v>
      </c>
      <c r="S273" t="e">
        <f t="shared" si="43"/>
        <v>#N/A</v>
      </c>
      <c r="T273" t="e">
        <f t="shared" si="44"/>
        <v>#N/A</v>
      </c>
      <c r="U273" t="e">
        <f t="shared" si="45"/>
        <v>#N/A</v>
      </c>
      <c r="V273" t="e">
        <f t="shared" si="46"/>
        <v>#N/A</v>
      </c>
      <c r="W273" t="e">
        <f t="shared" si="47"/>
        <v>#N/A</v>
      </c>
      <c r="X273">
        <f t="shared" si="48"/>
        <v>1040000</v>
      </c>
      <c r="Y273">
        <f t="shared" si="49"/>
        <v>352</v>
      </c>
    </row>
    <row r="274" spans="1:25" x14ac:dyDescent="0.2">
      <c r="A274">
        <v>1272</v>
      </c>
      <c r="B274" t="s">
        <v>31</v>
      </c>
      <c r="C274" t="s">
        <v>15</v>
      </c>
      <c r="D274">
        <v>2024</v>
      </c>
      <c r="E274" t="s">
        <v>30</v>
      </c>
      <c r="F274">
        <v>124</v>
      </c>
      <c r="G274">
        <v>3</v>
      </c>
      <c r="H274">
        <v>3</v>
      </c>
      <c r="I274">
        <v>401000</v>
      </c>
      <c r="J274">
        <v>3233.9</v>
      </c>
      <c r="K274">
        <v>15</v>
      </c>
      <c r="L274" t="s">
        <v>34</v>
      </c>
      <c r="M274">
        <v>24</v>
      </c>
      <c r="N274" t="s">
        <v>21</v>
      </c>
      <c r="P274" t="e">
        <f t="shared" si="40"/>
        <v>#N/A</v>
      </c>
      <c r="Q274" t="e">
        <f t="shared" si="41"/>
        <v>#N/A</v>
      </c>
      <c r="R274">
        <f t="shared" si="42"/>
        <v>401000</v>
      </c>
      <c r="S274">
        <f t="shared" si="43"/>
        <v>124</v>
      </c>
      <c r="T274" t="e">
        <f t="shared" si="44"/>
        <v>#N/A</v>
      </c>
      <c r="U274" t="e">
        <f t="shared" si="45"/>
        <v>#N/A</v>
      </c>
      <c r="V274" t="e">
        <f t="shared" si="46"/>
        <v>#N/A</v>
      </c>
      <c r="W274" t="e">
        <f t="shared" si="47"/>
        <v>#N/A</v>
      </c>
      <c r="X274" t="e">
        <f t="shared" si="48"/>
        <v>#N/A</v>
      </c>
      <c r="Y274" t="e">
        <f t="shared" si="49"/>
        <v>#N/A</v>
      </c>
    </row>
    <row r="275" spans="1:25" x14ac:dyDescent="0.2">
      <c r="A275">
        <v>1273</v>
      </c>
      <c r="B275" t="s">
        <v>47</v>
      </c>
      <c r="C275" t="s">
        <v>15</v>
      </c>
      <c r="D275">
        <v>2021</v>
      </c>
      <c r="E275" t="s">
        <v>24</v>
      </c>
      <c r="F275">
        <v>151</v>
      </c>
      <c r="G275">
        <v>2</v>
      </c>
      <c r="H275">
        <v>2</v>
      </c>
      <c r="I275">
        <v>434000</v>
      </c>
      <c r="J275">
        <v>2874.2</v>
      </c>
      <c r="K275">
        <v>15</v>
      </c>
      <c r="L275" t="s">
        <v>17</v>
      </c>
      <c r="M275">
        <v>24</v>
      </c>
      <c r="N275" t="s">
        <v>21</v>
      </c>
      <c r="P275" t="e">
        <f t="shared" si="40"/>
        <v>#N/A</v>
      </c>
      <c r="Q275" t="e">
        <f t="shared" si="41"/>
        <v>#N/A</v>
      </c>
      <c r="R275">
        <f t="shared" si="42"/>
        <v>434000</v>
      </c>
      <c r="S275">
        <f t="shared" si="43"/>
        <v>151</v>
      </c>
      <c r="T275" t="e">
        <f t="shared" si="44"/>
        <v>#N/A</v>
      </c>
      <c r="U275" t="e">
        <f t="shared" si="45"/>
        <v>#N/A</v>
      </c>
      <c r="V275" t="e">
        <f t="shared" si="46"/>
        <v>#N/A</v>
      </c>
      <c r="W275" t="e">
        <f t="shared" si="47"/>
        <v>#N/A</v>
      </c>
      <c r="X275" t="e">
        <f t="shared" si="48"/>
        <v>#N/A</v>
      </c>
      <c r="Y275" t="e">
        <f t="shared" si="49"/>
        <v>#N/A</v>
      </c>
    </row>
    <row r="276" spans="1:25" x14ac:dyDescent="0.2">
      <c r="A276">
        <v>1274</v>
      </c>
      <c r="B276" t="s">
        <v>32</v>
      </c>
      <c r="C276" t="s">
        <v>15</v>
      </c>
      <c r="D276">
        <v>2024</v>
      </c>
      <c r="E276" t="s">
        <v>30</v>
      </c>
      <c r="F276">
        <v>142</v>
      </c>
      <c r="G276">
        <v>3</v>
      </c>
      <c r="H276">
        <v>3</v>
      </c>
      <c r="I276">
        <v>465000</v>
      </c>
      <c r="J276">
        <v>3274.6</v>
      </c>
      <c r="K276">
        <v>0</v>
      </c>
      <c r="L276" t="s">
        <v>17</v>
      </c>
      <c r="M276">
        <v>32</v>
      </c>
      <c r="N276" t="s">
        <v>18</v>
      </c>
      <c r="P276" t="e">
        <f t="shared" si="40"/>
        <v>#N/A</v>
      </c>
      <c r="Q276" t="e">
        <f t="shared" si="41"/>
        <v>#N/A</v>
      </c>
      <c r="R276">
        <f t="shared" si="42"/>
        <v>465000</v>
      </c>
      <c r="S276">
        <f t="shared" si="43"/>
        <v>142</v>
      </c>
      <c r="T276" t="e">
        <f t="shared" si="44"/>
        <v>#N/A</v>
      </c>
      <c r="U276" t="e">
        <f t="shared" si="45"/>
        <v>#N/A</v>
      </c>
      <c r="V276" t="e">
        <f t="shared" si="46"/>
        <v>#N/A</v>
      </c>
      <c r="W276" t="e">
        <f t="shared" si="47"/>
        <v>#N/A</v>
      </c>
      <c r="X276" t="e">
        <f t="shared" si="48"/>
        <v>#N/A</v>
      </c>
      <c r="Y276" t="e">
        <f t="shared" si="49"/>
        <v>#N/A</v>
      </c>
    </row>
    <row r="277" spans="1:25" x14ac:dyDescent="0.2">
      <c r="A277">
        <v>1275</v>
      </c>
      <c r="B277" t="s">
        <v>40</v>
      </c>
      <c r="C277" t="s">
        <v>38</v>
      </c>
      <c r="D277">
        <v>2023</v>
      </c>
      <c r="E277" t="s">
        <v>24</v>
      </c>
      <c r="F277">
        <v>53</v>
      </c>
      <c r="G277">
        <v>0</v>
      </c>
      <c r="H277">
        <v>1</v>
      </c>
      <c r="I277">
        <v>258000</v>
      </c>
      <c r="J277">
        <v>4867.8999999999996</v>
      </c>
      <c r="K277">
        <v>5</v>
      </c>
      <c r="L277" t="s">
        <v>20</v>
      </c>
      <c r="M277">
        <v>54</v>
      </c>
      <c r="N277" t="s">
        <v>18</v>
      </c>
      <c r="P277" t="e">
        <f t="shared" si="40"/>
        <v>#N/A</v>
      </c>
      <c r="Q277" t="e">
        <f t="shared" si="41"/>
        <v>#N/A</v>
      </c>
      <c r="R277" t="e">
        <f t="shared" si="42"/>
        <v>#N/A</v>
      </c>
      <c r="S277" t="e">
        <f t="shared" si="43"/>
        <v>#N/A</v>
      </c>
      <c r="T277" t="e">
        <f t="shared" si="44"/>
        <v>#N/A</v>
      </c>
      <c r="U277" t="e">
        <f t="shared" si="45"/>
        <v>#N/A</v>
      </c>
      <c r="V277">
        <f t="shared" si="46"/>
        <v>258000</v>
      </c>
      <c r="W277">
        <f t="shared" si="47"/>
        <v>53</v>
      </c>
      <c r="X277" t="e">
        <f t="shared" si="48"/>
        <v>#N/A</v>
      </c>
      <c r="Y277" t="e">
        <f t="shared" si="49"/>
        <v>#N/A</v>
      </c>
    </row>
    <row r="278" spans="1:25" x14ac:dyDescent="0.2">
      <c r="A278">
        <v>1276</v>
      </c>
      <c r="B278" t="s">
        <v>42</v>
      </c>
      <c r="C278" t="s">
        <v>38</v>
      </c>
      <c r="D278">
        <v>2024</v>
      </c>
      <c r="E278" t="s">
        <v>30</v>
      </c>
      <c r="F278">
        <v>50</v>
      </c>
      <c r="G278">
        <v>0</v>
      </c>
      <c r="H278">
        <v>1</v>
      </c>
      <c r="I278">
        <v>320000</v>
      </c>
      <c r="J278">
        <v>6400</v>
      </c>
      <c r="K278">
        <v>3</v>
      </c>
      <c r="L278" t="s">
        <v>17</v>
      </c>
      <c r="M278">
        <v>144</v>
      </c>
      <c r="N278" t="s">
        <v>21</v>
      </c>
      <c r="P278" t="e">
        <f t="shared" si="40"/>
        <v>#N/A</v>
      </c>
      <c r="Q278" t="e">
        <f t="shared" si="41"/>
        <v>#N/A</v>
      </c>
      <c r="R278" t="e">
        <f t="shared" si="42"/>
        <v>#N/A</v>
      </c>
      <c r="S278" t="e">
        <f t="shared" si="43"/>
        <v>#N/A</v>
      </c>
      <c r="T278" t="e">
        <f t="shared" si="44"/>
        <v>#N/A</v>
      </c>
      <c r="U278" t="e">
        <f t="shared" si="45"/>
        <v>#N/A</v>
      </c>
      <c r="V278">
        <f t="shared" si="46"/>
        <v>320000</v>
      </c>
      <c r="W278">
        <f t="shared" si="47"/>
        <v>50</v>
      </c>
      <c r="X278" t="e">
        <f t="shared" si="48"/>
        <v>#N/A</v>
      </c>
      <c r="Y278" t="e">
        <f t="shared" si="49"/>
        <v>#N/A</v>
      </c>
    </row>
    <row r="279" spans="1:25" x14ac:dyDescent="0.2">
      <c r="A279">
        <v>1277</v>
      </c>
      <c r="B279" t="s">
        <v>46</v>
      </c>
      <c r="C279" t="s">
        <v>29</v>
      </c>
      <c r="D279">
        <v>2021</v>
      </c>
      <c r="E279" t="s">
        <v>26</v>
      </c>
      <c r="F279">
        <v>374</v>
      </c>
      <c r="G279">
        <v>6</v>
      </c>
      <c r="H279">
        <v>6</v>
      </c>
      <c r="I279">
        <v>1676000</v>
      </c>
      <c r="J279">
        <v>4481.3</v>
      </c>
      <c r="K279">
        <v>15</v>
      </c>
      <c r="L279" t="s">
        <v>17</v>
      </c>
      <c r="M279">
        <v>70</v>
      </c>
      <c r="N279" t="s">
        <v>18</v>
      </c>
      <c r="P279">
        <f t="shared" si="40"/>
        <v>1676000</v>
      </c>
      <c r="Q279">
        <f t="shared" si="41"/>
        <v>374</v>
      </c>
      <c r="R279" t="e">
        <f t="shared" si="42"/>
        <v>#N/A</v>
      </c>
      <c r="S279" t="e">
        <f t="shared" si="43"/>
        <v>#N/A</v>
      </c>
      <c r="T279" t="e">
        <f t="shared" si="44"/>
        <v>#N/A</v>
      </c>
      <c r="U279" t="e">
        <f t="shared" si="45"/>
        <v>#N/A</v>
      </c>
      <c r="V279" t="e">
        <f t="shared" si="46"/>
        <v>#N/A</v>
      </c>
      <c r="W279" t="e">
        <f t="shared" si="47"/>
        <v>#N/A</v>
      </c>
      <c r="X279" t="e">
        <f t="shared" si="48"/>
        <v>#N/A</v>
      </c>
      <c r="Y279" t="e">
        <f t="shared" si="49"/>
        <v>#N/A</v>
      </c>
    </row>
    <row r="280" spans="1:25" x14ac:dyDescent="0.2">
      <c r="A280">
        <v>1278</v>
      </c>
      <c r="B280" t="s">
        <v>22</v>
      </c>
      <c r="C280" t="s">
        <v>15</v>
      </c>
      <c r="D280">
        <v>2022</v>
      </c>
      <c r="E280" t="s">
        <v>30</v>
      </c>
      <c r="F280">
        <v>100</v>
      </c>
      <c r="G280">
        <v>3</v>
      </c>
      <c r="H280">
        <v>3</v>
      </c>
      <c r="I280">
        <v>342000</v>
      </c>
      <c r="J280">
        <v>3420</v>
      </c>
      <c r="K280">
        <v>2</v>
      </c>
      <c r="L280" t="s">
        <v>17</v>
      </c>
      <c r="M280">
        <v>42</v>
      </c>
      <c r="N280" t="s">
        <v>18</v>
      </c>
      <c r="P280" t="e">
        <f t="shared" si="40"/>
        <v>#N/A</v>
      </c>
      <c r="Q280" t="e">
        <f t="shared" si="41"/>
        <v>#N/A</v>
      </c>
      <c r="R280">
        <f t="shared" si="42"/>
        <v>342000</v>
      </c>
      <c r="S280">
        <f t="shared" si="43"/>
        <v>100</v>
      </c>
      <c r="T280" t="e">
        <f t="shared" si="44"/>
        <v>#N/A</v>
      </c>
      <c r="U280" t="e">
        <f t="shared" si="45"/>
        <v>#N/A</v>
      </c>
      <c r="V280" t="e">
        <f t="shared" si="46"/>
        <v>#N/A</v>
      </c>
      <c r="W280" t="e">
        <f t="shared" si="47"/>
        <v>#N/A</v>
      </c>
      <c r="X280" t="e">
        <f t="shared" si="48"/>
        <v>#N/A</v>
      </c>
      <c r="Y280" t="e">
        <f t="shared" si="49"/>
        <v>#N/A</v>
      </c>
    </row>
    <row r="281" spans="1:25" x14ac:dyDescent="0.2">
      <c r="A281">
        <v>1279</v>
      </c>
      <c r="B281" t="s">
        <v>22</v>
      </c>
      <c r="C281" t="s">
        <v>15</v>
      </c>
      <c r="D281">
        <v>2022</v>
      </c>
      <c r="E281" t="s">
        <v>24</v>
      </c>
      <c r="F281">
        <v>186</v>
      </c>
      <c r="G281">
        <v>2</v>
      </c>
      <c r="H281">
        <v>2</v>
      </c>
      <c r="I281">
        <v>665000</v>
      </c>
      <c r="J281">
        <v>3575.3</v>
      </c>
      <c r="K281">
        <v>20</v>
      </c>
      <c r="L281" t="s">
        <v>34</v>
      </c>
      <c r="M281">
        <v>32</v>
      </c>
      <c r="N281" t="s">
        <v>18</v>
      </c>
      <c r="P281" t="e">
        <f t="shared" si="40"/>
        <v>#N/A</v>
      </c>
      <c r="Q281" t="e">
        <f t="shared" si="41"/>
        <v>#N/A</v>
      </c>
      <c r="R281">
        <f t="shared" si="42"/>
        <v>665000</v>
      </c>
      <c r="S281">
        <f t="shared" si="43"/>
        <v>186</v>
      </c>
      <c r="T281" t="e">
        <f t="shared" si="44"/>
        <v>#N/A</v>
      </c>
      <c r="U281" t="e">
        <f t="shared" si="45"/>
        <v>#N/A</v>
      </c>
      <c r="V281" t="e">
        <f t="shared" si="46"/>
        <v>#N/A</v>
      </c>
      <c r="W281" t="e">
        <f t="shared" si="47"/>
        <v>#N/A</v>
      </c>
      <c r="X281" t="e">
        <f t="shared" si="48"/>
        <v>#N/A</v>
      </c>
      <c r="Y281" t="e">
        <f t="shared" si="49"/>
        <v>#N/A</v>
      </c>
    </row>
    <row r="282" spans="1:25" x14ac:dyDescent="0.2">
      <c r="A282">
        <v>1280</v>
      </c>
      <c r="B282" t="s">
        <v>46</v>
      </c>
      <c r="C282" t="s">
        <v>29</v>
      </c>
      <c r="D282">
        <v>2023</v>
      </c>
      <c r="E282" t="s">
        <v>30</v>
      </c>
      <c r="F282">
        <v>466</v>
      </c>
      <c r="G282">
        <v>5</v>
      </c>
      <c r="H282">
        <v>5</v>
      </c>
      <c r="I282">
        <v>2454000</v>
      </c>
      <c r="J282">
        <v>5266.1</v>
      </c>
      <c r="K282">
        <v>5</v>
      </c>
      <c r="L282" t="s">
        <v>20</v>
      </c>
      <c r="M282">
        <v>7</v>
      </c>
      <c r="N282" t="s">
        <v>18</v>
      </c>
      <c r="P282">
        <f t="shared" si="40"/>
        <v>2454000</v>
      </c>
      <c r="Q282">
        <f t="shared" si="41"/>
        <v>466</v>
      </c>
      <c r="R282" t="e">
        <f t="shared" si="42"/>
        <v>#N/A</v>
      </c>
      <c r="S282" t="e">
        <f t="shared" si="43"/>
        <v>#N/A</v>
      </c>
      <c r="T282" t="e">
        <f t="shared" si="44"/>
        <v>#N/A</v>
      </c>
      <c r="U282" t="e">
        <f t="shared" si="45"/>
        <v>#N/A</v>
      </c>
      <c r="V282" t="e">
        <f t="shared" si="46"/>
        <v>#N/A</v>
      </c>
      <c r="W282" t="e">
        <f t="shared" si="47"/>
        <v>#N/A</v>
      </c>
      <c r="X282" t="e">
        <f t="shared" si="48"/>
        <v>#N/A</v>
      </c>
      <c r="Y282" t="e">
        <f t="shared" si="49"/>
        <v>#N/A</v>
      </c>
    </row>
    <row r="283" spans="1:25" x14ac:dyDescent="0.2">
      <c r="A283">
        <v>1281</v>
      </c>
      <c r="B283" t="s">
        <v>19</v>
      </c>
      <c r="C283" t="s">
        <v>15</v>
      </c>
      <c r="D283">
        <v>2022</v>
      </c>
      <c r="E283" t="s">
        <v>30</v>
      </c>
      <c r="F283">
        <v>154</v>
      </c>
      <c r="G283">
        <v>4</v>
      </c>
      <c r="H283">
        <v>4</v>
      </c>
      <c r="I283">
        <v>475000</v>
      </c>
      <c r="J283">
        <v>3084.4</v>
      </c>
      <c r="K283">
        <v>1</v>
      </c>
      <c r="L283" t="s">
        <v>20</v>
      </c>
      <c r="M283">
        <v>130</v>
      </c>
      <c r="N283" t="s">
        <v>21</v>
      </c>
      <c r="P283" t="e">
        <f t="shared" si="40"/>
        <v>#N/A</v>
      </c>
      <c r="Q283" t="e">
        <f t="shared" si="41"/>
        <v>#N/A</v>
      </c>
      <c r="R283">
        <f t="shared" si="42"/>
        <v>475000</v>
      </c>
      <c r="S283">
        <f t="shared" si="43"/>
        <v>154</v>
      </c>
      <c r="T283" t="e">
        <f t="shared" si="44"/>
        <v>#N/A</v>
      </c>
      <c r="U283" t="e">
        <f t="shared" si="45"/>
        <v>#N/A</v>
      </c>
      <c r="V283" t="e">
        <f t="shared" si="46"/>
        <v>#N/A</v>
      </c>
      <c r="W283" t="e">
        <f t="shared" si="47"/>
        <v>#N/A</v>
      </c>
      <c r="X283" t="e">
        <f t="shared" si="48"/>
        <v>#N/A</v>
      </c>
      <c r="Y283" t="e">
        <f t="shared" si="49"/>
        <v>#N/A</v>
      </c>
    </row>
    <row r="284" spans="1:25" x14ac:dyDescent="0.2">
      <c r="A284">
        <v>1282</v>
      </c>
      <c r="B284" t="s">
        <v>32</v>
      </c>
      <c r="C284" t="s">
        <v>15</v>
      </c>
      <c r="D284">
        <v>2022</v>
      </c>
      <c r="E284" t="s">
        <v>16</v>
      </c>
      <c r="F284">
        <v>141</v>
      </c>
      <c r="G284">
        <v>2</v>
      </c>
      <c r="H284">
        <v>2</v>
      </c>
      <c r="I284">
        <v>386000</v>
      </c>
      <c r="J284">
        <v>2737.6</v>
      </c>
      <c r="K284">
        <v>7</v>
      </c>
      <c r="L284" t="s">
        <v>17</v>
      </c>
      <c r="M284">
        <v>106</v>
      </c>
      <c r="N284" t="s">
        <v>18</v>
      </c>
      <c r="P284" t="e">
        <f t="shared" si="40"/>
        <v>#N/A</v>
      </c>
      <c r="Q284" t="e">
        <f t="shared" si="41"/>
        <v>#N/A</v>
      </c>
      <c r="R284">
        <f t="shared" si="42"/>
        <v>386000</v>
      </c>
      <c r="S284">
        <f t="shared" si="43"/>
        <v>141</v>
      </c>
      <c r="T284" t="e">
        <f t="shared" si="44"/>
        <v>#N/A</v>
      </c>
      <c r="U284" t="e">
        <f t="shared" si="45"/>
        <v>#N/A</v>
      </c>
      <c r="V284" t="e">
        <f t="shared" si="46"/>
        <v>#N/A</v>
      </c>
      <c r="W284" t="e">
        <f t="shared" si="47"/>
        <v>#N/A</v>
      </c>
      <c r="X284" t="e">
        <f t="shared" si="48"/>
        <v>#N/A</v>
      </c>
      <c r="Y284" t="e">
        <f t="shared" si="49"/>
        <v>#N/A</v>
      </c>
    </row>
    <row r="285" spans="1:25" x14ac:dyDescent="0.2">
      <c r="A285">
        <v>1283</v>
      </c>
      <c r="B285" t="s">
        <v>32</v>
      </c>
      <c r="C285" t="s">
        <v>15</v>
      </c>
      <c r="D285">
        <v>2022</v>
      </c>
      <c r="E285" t="s">
        <v>16</v>
      </c>
      <c r="F285">
        <v>116</v>
      </c>
      <c r="G285">
        <v>4</v>
      </c>
      <c r="H285">
        <v>4</v>
      </c>
      <c r="I285">
        <v>303000</v>
      </c>
      <c r="J285">
        <v>2612.1</v>
      </c>
      <c r="K285">
        <v>7</v>
      </c>
      <c r="L285" t="s">
        <v>17</v>
      </c>
      <c r="M285">
        <v>161</v>
      </c>
      <c r="N285" t="s">
        <v>18</v>
      </c>
      <c r="P285" t="e">
        <f t="shared" si="40"/>
        <v>#N/A</v>
      </c>
      <c r="Q285" t="e">
        <f t="shared" si="41"/>
        <v>#N/A</v>
      </c>
      <c r="R285">
        <f t="shared" si="42"/>
        <v>303000</v>
      </c>
      <c r="S285">
        <f t="shared" si="43"/>
        <v>116</v>
      </c>
      <c r="T285" t="e">
        <f t="shared" si="44"/>
        <v>#N/A</v>
      </c>
      <c r="U285" t="e">
        <f t="shared" si="45"/>
        <v>#N/A</v>
      </c>
      <c r="V285" t="e">
        <f t="shared" si="46"/>
        <v>#N/A</v>
      </c>
      <c r="W285" t="e">
        <f t="shared" si="47"/>
        <v>#N/A</v>
      </c>
      <c r="X285" t="e">
        <f t="shared" si="48"/>
        <v>#N/A</v>
      </c>
      <c r="Y285" t="e">
        <f t="shared" si="49"/>
        <v>#N/A</v>
      </c>
    </row>
    <row r="286" spans="1:25" x14ac:dyDescent="0.2">
      <c r="A286">
        <v>1284</v>
      </c>
      <c r="B286" t="s">
        <v>25</v>
      </c>
      <c r="C286" t="s">
        <v>23</v>
      </c>
      <c r="D286">
        <v>2022</v>
      </c>
      <c r="E286" t="s">
        <v>16</v>
      </c>
      <c r="F286">
        <v>242</v>
      </c>
      <c r="G286">
        <v>4</v>
      </c>
      <c r="H286">
        <v>4</v>
      </c>
      <c r="I286">
        <v>639000</v>
      </c>
      <c r="J286">
        <v>2640.5</v>
      </c>
      <c r="K286">
        <v>1</v>
      </c>
      <c r="L286" t="s">
        <v>20</v>
      </c>
      <c r="M286">
        <v>127</v>
      </c>
      <c r="N286" t="s">
        <v>27</v>
      </c>
      <c r="P286" t="e">
        <f t="shared" si="40"/>
        <v>#N/A</v>
      </c>
      <c r="Q286" t="e">
        <f t="shared" si="41"/>
        <v>#N/A</v>
      </c>
      <c r="R286" t="e">
        <f t="shared" si="42"/>
        <v>#N/A</v>
      </c>
      <c r="S286" t="e">
        <f t="shared" si="43"/>
        <v>#N/A</v>
      </c>
      <c r="T286">
        <f t="shared" si="44"/>
        <v>639000</v>
      </c>
      <c r="U286">
        <f t="shared" si="45"/>
        <v>242</v>
      </c>
      <c r="V286" t="e">
        <f t="shared" si="46"/>
        <v>#N/A</v>
      </c>
      <c r="W286" t="e">
        <f t="shared" si="47"/>
        <v>#N/A</v>
      </c>
      <c r="X286" t="e">
        <f t="shared" si="48"/>
        <v>#N/A</v>
      </c>
      <c r="Y286" t="e">
        <f t="shared" si="49"/>
        <v>#N/A</v>
      </c>
    </row>
    <row r="287" spans="1:25" x14ac:dyDescent="0.2">
      <c r="A287">
        <v>1285</v>
      </c>
      <c r="B287" t="s">
        <v>33</v>
      </c>
      <c r="C287" t="s">
        <v>15</v>
      </c>
      <c r="D287">
        <v>2021</v>
      </c>
      <c r="E287" t="s">
        <v>16</v>
      </c>
      <c r="F287">
        <v>102</v>
      </c>
      <c r="G287">
        <v>3</v>
      </c>
      <c r="H287">
        <v>3</v>
      </c>
      <c r="I287">
        <v>230000</v>
      </c>
      <c r="J287">
        <v>2254.9</v>
      </c>
      <c r="K287">
        <v>0</v>
      </c>
      <c r="L287" t="s">
        <v>17</v>
      </c>
      <c r="M287">
        <v>43</v>
      </c>
      <c r="N287" t="s">
        <v>27</v>
      </c>
      <c r="P287" t="e">
        <f t="shared" si="40"/>
        <v>#N/A</v>
      </c>
      <c r="Q287" t="e">
        <f t="shared" si="41"/>
        <v>#N/A</v>
      </c>
      <c r="R287">
        <f t="shared" si="42"/>
        <v>230000</v>
      </c>
      <c r="S287">
        <f t="shared" si="43"/>
        <v>102</v>
      </c>
      <c r="T287" t="e">
        <f t="shared" si="44"/>
        <v>#N/A</v>
      </c>
      <c r="U287" t="e">
        <f t="shared" si="45"/>
        <v>#N/A</v>
      </c>
      <c r="V287" t="e">
        <f t="shared" si="46"/>
        <v>#N/A</v>
      </c>
      <c r="W287" t="e">
        <f t="shared" si="47"/>
        <v>#N/A</v>
      </c>
      <c r="X287" t="e">
        <f t="shared" si="48"/>
        <v>#N/A</v>
      </c>
      <c r="Y287" t="e">
        <f t="shared" si="49"/>
        <v>#N/A</v>
      </c>
    </row>
    <row r="288" spans="1:25" x14ac:dyDescent="0.2">
      <c r="A288">
        <v>1286</v>
      </c>
      <c r="B288" t="s">
        <v>32</v>
      </c>
      <c r="C288" t="s">
        <v>15</v>
      </c>
      <c r="D288">
        <v>2021</v>
      </c>
      <c r="E288" t="s">
        <v>24</v>
      </c>
      <c r="F288">
        <v>126</v>
      </c>
      <c r="G288">
        <v>4</v>
      </c>
      <c r="H288">
        <v>4</v>
      </c>
      <c r="I288">
        <v>298000</v>
      </c>
      <c r="J288">
        <v>2365.1</v>
      </c>
      <c r="K288">
        <v>1</v>
      </c>
      <c r="L288" t="s">
        <v>20</v>
      </c>
      <c r="M288">
        <v>47</v>
      </c>
      <c r="N288" t="s">
        <v>18</v>
      </c>
      <c r="P288" t="e">
        <f t="shared" si="40"/>
        <v>#N/A</v>
      </c>
      <c r="Q288" t="e">
        <f t="shared" si="41"/>
        <v>#N/A</v>
      </c>
      <c r="R288">
        <f t="shared" si="42"/>
        <v>298000</v>
      </c>
      <c r="S288">
        <f t="shared" si="43"/>
        <v>126</v>
      </c>
      <c r="T288" t="e">
        <f t="shared" si="44"/>
        <v>#N/A</v>
      </c>
      <c r="U288" t="e">
        <f t="shared" si="45"/>
        <v>#N/A</v>
      </c>
      <c r="V288" t="e">
        <f t="shared" si="46"/>
        <v>#N/A</v>
      </c>
      <c r="W288" t="e">
        <f t="shared" si="47"/>
        <v>#N/A</v>
      </c>
      <c r="X288" t="e">
        <f t="shared" si="48"/>
        <v>#N/A</v>
      </c>
      <c r="Y288" t="e">
        <f t="shared" si="49"/>
        <v>#N/A</v>
      </c>
    </row>
    <row r="289" spans="1:25" x14ac:dyDescent="0.2">
      <c r="A289">
        <v>1287</v>
      </c>
      <c r="B289" t="s">
        <v>14</v>
      </c>
      <c r="C289" t="s">
        <v>23</v>
      </c>
      <c r="D289">
        <v>2021</v>
      </c>
      <c r="E289" t="s">
        <v>26</v>
      </c>
      <c r="F289">
        <v>226</v>
      </c>
      <c r="G289">
        <v>5</v>
      </c>
      <c r="H289">
        <v>5</v>
      </c>
      <c r="I289">
        <v>937000</v>
      </c>
      <c r="J289">
        <v>4146</v>
      </c>
      <c r="K289">
        <v>4</v>
      </c>
      <c r="L289" t="s">
        <v>17</v>
      </c>
      <c r="M289">
        <v>99</v>
      </c>
      <c r="N289" t="s">
        <v>18</v>
      </c>
      <c r="P289" t="e">
        <f t="shared" si="40"/>
        <v>#N/A</v>
      </c>
      <c r="Q289" t="e">
        <f t="shared" si="41"/>
        <v>#N/A</v>
      </c>
      <c r="R289" t="e">
        <f t="shared" si="42"/>
        <v>#N/A</v>
      </c>
      <c r="S289" t="e">
        <f t="shared" si="43"/>
        <v>#N/A</v>
      </c>
      <c r="T289">
        <f t="shared" si="44"/>
        <v>937000</v>
      </c>
      <c r="U289">
        <f t="shared" si="45"/>
        <v>226</v>
      </c>
      <c r="V289" t="e">
        <f t="shared" si="46"/>
        <v>#N/A</v>
      </c>
      <c r="W289" t="e">
        <f t="shared" si="47"/>
        <v>#N/A</v>
      </c>
      <c r="X289" t="e">
        <f t="shared" si="48"/>
        <v>#N/A</v>
      </c>
      <c r="Y289" t="e">
        <f t="shared" si="49"/>
        <v>#N/A</v>
      </c>
    </row>
    <row r="290" spans="1:25" x14ac:dyDescent="0.2">
      <c r="A290">
        <v>1288</v>
      </c>
      <c r="B290" t="s">
        <v>14</v>
      </c>
      <c r="C290" t="s">
        <v>38</v>
      </c>
      <c r="D290">
        <v>2022</v>
      </c>
      <c r="E290" t="s">
        <v>16</v>
      </c>
      <c r="F290">
        <v>72</v>
      </c>
      <c r="G290">
        <v>0</v>
      </c>
      <c r="H290">
        <v>1</v>
      </c>
      <c r="I290">
        <v>357000</v>
      </c>
      <c r="J290">
        <v>4958.3</v>
      </c>
      <c r="K290">
        <v>0</v>
      </c>
      <c r="L290" t="s">
        <v>20</v>
      </c>
      <c r="M290">
        <v>19</v>
      </c>
      <c r="N290" t="s">
        <v>18</v>
      </c>
      <c r="P290" t="e">
        <f t="shared" si="40"/>
        <v>#N/A</v>
      </c>
      <c r="Q290" t="e">
        <f t="shared" si="41"/>
        <v>#N/A</v>
      </c>
      <c r="R290" t="e">
        <f t="shared" si="42"/>
        <v>#N/A</v>
      </c>
      <c r="S290" t="e">
        <f t="shared" si="43"/>
        <v>#N/A</v>
      </c>
      <c r="T290" t="e">
        <f t="shared" si="44"/>
        <v>#N/A</v>
      </c>
      <c r="U290" t="e">
        <f t="shared" si="45"/>
        <v>#N/A</v>
      </c>
      <c r="V290">
        <f t="shared" si="46"/>
        <v>357000</v>
      </c>
      <c r="W290">
        <f t="shared" si="47"/>
        <v>72</v>
      </c>
      <c r="X290" t="e">
        <f t="shared" si="48"/>
        <v>#N/A</v>
      </c>
      <c r="Y290" t="e">
        <f t="shared" si="49"/>
        <v>#N/A</v>
      </c>
    </row>
    <row r="291" spans="1:25" x14ac:dyDescent="0.2">
      <c r="A291">
        <v>1289</v>
      </c>
      <c r="B291" t="s">
        <v>32</v>
      </c>
      <c r="C291" t="s">
        <v>15</v>
      </c>
      <c r="D291">
        <v>2024</v>
      </c>
      <c r="E291" t="s">
        <v>16</v>
      </c>
      <c r="F291">
        <v>171</v>
      </c>
      <c r="G291">
        <v>2</v>
      </c>
      <c r="H291">
        <v>2</v>
      </c>
      <c r="I291">
        <v>534000</v>
      </c>
      <c r="J291">
        <v>3122.8</v>
      </c>
      <c r="K291">
        <v>20</v>
      </c>
      <c r="L291" t="s">
        <v>34</v>
      </c>
      <c r="M291">
        <v>127</v>
      </c>
      <c r="N291" t="s">
        <v>18</v>
      </c>
      <c r="P291" t="e">
        <f t="shared" si="40"/>
        <v>#N/A</v>
      </c>
      <c r="Q291" t="e">
        <f t="shared" si="41"/>
        <v>#N/A</v>
      </c>
      <c r="R291">
        <f t="shared" si="42"/>
        <v>534000</v>
      </c>
      <c r="S291">
        <f t="shared" si="43"/>
        <v>171</v>
      </c>
      <c r="T291" t="e">
        <f t="shared" si="44"/>
        <v>#N/A</v>
      </c>
      <c r="U291" t="e">
        <f t="shared" si="45"/>
        <v>#N/A</v>
      </c>
      <c r="V291" t="e">
        <f t="shared" si="46"/>
        <v>#N/A</v>
      </c>
      <c r="W291" t="e">
        <f t="shared" si="47"/>
        <v>#N/A</v>
      </c>
      <c r="X291" t="e">
        <f t="shared" si="48"/>
        <v>#N/A</v>
      </c>
      <c r="Y291" t="e">
        <f t="shared" si="49"/>
        <v>#N/A</v>
      </c>
    </row>
    <row r="292" spans="1:25" x14ac:dyDescent="0.2">
      <c r="A292">
        <v>1290</v>
      </c>
      <c r="B292" t="s">
        <v>42</v>
      </c>
      <c r="C292" t="s">
        <v>36</v>
      </c>
      <c r="D292">
        <v>2022</v>
      </c>
      <c r="E292" t="s">
        <v>26</v>
      </c>
      <c r="F292">
        <v>355</v>
      </c>
      <c r="G292">
        <v>4</v>
      </c>
      <c r="H292">
        <v>4</v>
      </c>
      <c r="I292">
        <v>1196000</v>
      </c>
      <c r="J292">
        <v>3369</v>
      </c>
      <c r="K292">
        <v>1</v>
      </c>
      <c r="L292" t="s">
        <v>20</v>
      </c>
      <c r="M292">
        <v>126</v>
      </c>
      <c r="N292" t="s">
        <v>21</v>
      </c>
      <c r="P292" t="e">
        <f t="shared" si="40"/>
        <v>#N/A</v>
      </c>
      <c r="Q292" t="e">
        <f t="shared" si="41"/>
        <v>#N/A</v>
      </c>
      <c r="R292" t="e">
        <f t="shared" si="42"/>
        <v>#N/A</v>
      </c>
      <c r="S292" t="e">
        <f t="shared" si="43"/>
        <v>#N/A</v>
      </c>
      <c r="T292" t="e">
        <f t="shared" si="44"/>
        <v>#N/A</v>
      </c>
      <c r="U292" t="e">
        <f t="shared" si="45"/>
        <v>#N/A</v>
      </c>
      <c r="V292" t="e">
        <f t="shared" si="46"/>
        <v>#N/A</v>
      </c>
      <c r="W292" t="e">
        <f t="shared" si="47"/>
        <v>#N/A</v>
      </c>
      <c r="X292">
        <f t="shared" si="48"/>
        <v>1196000</v>
      </c>
      <c r="Y292">
        <f t="shared" si="49"/>
        <v>355</v>
      </c>
    </row>
    <row r="293" spans="1:25" x14ac:dyDescent="0.2">
      <c r="A293">
        <v>1291</v>
      </c>
      <c r="B293" t="s">
        <v>31</v>
      </c>
      <c r="C293" t="s">
        <v>15</v>
      </c>
      <c r="D293">
        <v>2023</v>
      </c>
      <c r="E293" t="s">
        <v>24</v>
      </c>
      <c r="F293">
        <v>119</v>
      </c>
      <c r="G293">
        <v>3</v>
      </c>
      <c r="H293">
        <v>3</v>
      </c>
      <c r="I293">
        <v>356000</v>
      </c>
      <c r="J293">
        <v>2991.6</v>
      </c>
      <c r="K293">
        <v>5</v>
      </c>
      <c r="L293" t="s">
        <v>34</v>
      </c>
      <c r="M293">
        <v>28</v>
      </c>
      <c r="N293" t="s">
        <v>21</v>
      </c>
      <c r="P293" t="e">
        <f t="shared" si="40"/>
        <v>#N/A</v>
      </c>
      <c r="Q293" t="e">
        <f t="shared" si="41"/>
        <v>#N/A</v>
      </c>
      <c r="R293">
        <f t="shared" si="42"/>
        <v>356000</v>
      </c>
      <c r="S293">
        <f t="shared" si="43"/>
        <v>119</v>
      </c>
      <c r="T293" t="e">
        <f t="shared" si="44"/>
        <v>#N/A</v>
      </c>
      <c r="U293" t="e">
        <f t="shared" si="45"/>
        <v>#N/A</v>
      </c>
      <c r="V293" t="e">
        <f t="shared" si="46"/>
        <v>#N/A</v>
      </c>
      <c r="W293" t="e">
        <f t="shared" si="47"/>
        <v>#N/A</v>
      </c>
      <c r="X293" t="e">
        <f t="shared" si="48"/>
        <v>#N/A</v>
      </c>
      <c r="Y293" t="e">
        <f t="shared" si="49"/>
        <v>#N/A</v>
      </c>
    </row>
    <row r="294" spans="1:25" x14ac:dyDescent="0.2">
      <c r="A294">
        <v>1292</v>
      </c>
      <c r="B294" t="s">
        <v>28</v>
      </c>
      <c r="C294" t="s">
        <v>15</v>
      </c>
      <c r="D294">
        <v>2021</v>
      </c>
      <c r="E294" t="s">
        <v>24</v>
      </c>
      <c r="F294">
        <v>114</v>
      </c>
      <c r="G294">
        <v>4</v>
      </c>
      <c r="H294">
        <v>4</v>
      </c>
      <c r="I294">
        <v>287000</v>
      </c>
      <c r="J294">
        <v>2517.5</v>
      </c>
      <c r="K294">
        <v>1</v>
      </c>
      <c r="L294" t="s">
        <v>17</v>
      </c>
      <c r="M294">
        <v>176</v>
      </c>
      <c r="N294" t="s">
        <v>27</v>
      </c>
      <c r="P294" t="e">
        <f t="shared" si="40"/>
        <v>#N/A</v>
      </c>
      <c r="Q294" t="e">
        <f t="shared" si="41"/>
        <v>#N/A</v>
      </c>
      <c r="R294">
        <f t="shared" si="42"/>
        <v>287000</v>
      </c>
      <c r="S294">
        <f t="shared" si="43"/>
        <v>114</v>
      </c>
      <c r="T294" t="e">
        <f t="shared" si="44"/>
        <v>#N/A</v>
      </c>
      <c r="U294" t="e">
        <f t="shared" si="45"/>
        <v>#N/A</v>
      </c>
      <c r="V294" t="e">
        <f t="shared" si="46"/>
        <v>#N/A</v>
      </c>
      <c r="W294" t="e">
        <f t="shared" si="47"/>
        <v>#N/A</v>
      </c>
      <c r="X294" t="e">
        <f t="shared" si="48"/>
        <v>#N/A</v>
      </c>
      <c r="Y294" t="e">
        <f t="shared" si="49"/>
        <v>#N/A</v>
      </c>
    </row>
    <row r="295" spans="1:25" x14ac:dyDescent="0.2">
      <c r="A295">
        <v>1293</v>
      </c>
      <c r="B295" t="s">
        <v>43</v>
      </c>
      <c r="C295" t="s">
        <v>38</v>
      </c>
      <c r="D295">
        <v>2023</v>
      </c>
      <c r="E295" t="s">
        <v>26</v>
      </c>
      <c r="F295">
        <v>53</v>
      </c>
      <c r="G295">
        <v>0</v>
      </c>
      <c r="H295">
        <v>1</v>
      </c>
      <c r="I295">
        <v>301000</v>
      </c>
      <c r="J295">
        <v>5679.2</v>
      </c>
      <c r="K295">
        <v>7</v>
      </c>
      <c r="L295" t="s">
        <v>17</v>
      </c>
      <c r="M295">
        <v>67</v>
      </c>
      <c r="N295" t="s">
        <v>27</v>
      </c>
      <c r="P295" t="e">
        <f t="shared" si="40"/>
        <v>#N/A</v>
      </c>
      <c r="Q295" t="e">
        <f t="shared" si="41"/>
        <v>#N/A</v>
      </c>
      <c r="R295" t="e">
        <f t="shared" si="42"/>
        <v>#N/A</v>
      </c>
      <c r="S295" t="e">
        <f t="shared" si="43"/>
        <v>#N/A</v>
      </c>
      <c r="T295" t="e">
        <f t="shared" si="44"/>
        <v>#N/A</v>
      </c>
      <c r="U295" t="e">
        <f t="shared" si="45"/>
        <v>#N/A</v>
      </c>
      <c r="V295">
        <f t="shared" si="46"/>
        <v>301000</v>
      </c>
      <c r="W295">
        <f t="shared" si="47"/>
        <v>53</v>
      </c>
      <c r="X295" t="e">
        <f t="shared" si="48"/>
        <v>#N/A</v>
      </c>
      <c r="Y295" t="e">
        <f t="shared" si="49"/>
        <v>#N/A</v>
      </c>
    </row>
    <row r="296" spans="1:25" x14ac:dyDescent="0.2">
      <c r="A296">
        <v>1294</v>
      </c>
      <c r="B296" t="s">
        <v>47</v>
      </c>
      <c r="C296" t="s">
        <v>15</v>
      </c>
      <c r="D296">
        <v>2024</v>
      </c>
      <c r="E296" t="s">
        <v>30</v>
      </c>
      <c r="F296">
        <v>173</v>
      </c>
      <c r="G296">
        <v>3</v>
      </c>
      <c r="H296">
        <v>3</v>
      </c>
      <c r="I296">
        <v>565000</v>
      </c>
      <c r="J296">
        <v>3265.9</v>
      </c>
      <c r="K296">
        <v>1</v>
      </c>
      <c r="L296" t="s">
        <v>20</v>
      </c>
      <c r="M296">
        <v>12</v>
      </c>
      <c r="N296" t="s">
        <v>21</v>
      </c>
      <c r="P296" t="e">
        <f t="shared" si="40"/>
        <v>#N/A</v>
      </c>
      <c r="Q296" t="e">
        <f t="shared" si="41"/>
        <v>#N/A</v>
      </c>
      <c r="R296">
        <f t="shared" si="42"/>
        <v>565000</v>
      </c>
      <c r="S296">
        <f t="shared" si="43"/>
        <v>173</v>
      </c>
      <c r="T296" t="e">
        <f t="shared" si="44"/>
        <v>#N/A</v>
      </c>
      <c r="U296" t="e">
        <f t="shared" si="45"/>
        <v>#N/A</v>
      </c>
      <c r="V296" t="e">
        <f t="shared" si="46"/>
        <v>#N/A</v>
      </c>
      <c r="W296" t="e">
        <f t="shared" si="47"/>
        <v>#N/A</v>
      </c>
      <c r="X296" t="e">
        <f t="shared" si="48"/>
        <v>#N/A</v>
      </c>
      <c r="Y296" t="e">
        <f t="shared" si="49"/>
        <v>#N/A</v>
      </c>
    </row>
    <row r="297" spans="1:25" x14ac:dyDescent="0.2">
      <c r="A297">
        <v>1295</v>
      </c>
      <c r="B297" t="s">
        <v>14</v>
      </c>
      <c r="C297" t="s">
        <v>15</v>
      </c>
      <c r="D297">
        <v>2023</v>
      </c>
      <c r="E297" t="s">
        <v>26</v>
      </c>
      <c r="F297">
        <v>202</v>
      </c>
      <c r="G297">
        <v>3</v>
      </c>
      <c r="H297">
        <v>3</v>
      </c>
      <c r="I297">
        <v>849000</v>
      </c>
      <c r="J297">
        <v>4203</v>
      </c>
      <c r="K297">
        <v>3</v>
      </c>
      <c r="L297" t="s">
        <v>17</v>
      </c>
      <c r="M297">
        <v>157</v>
      </c>
      <c r="N297" t="s">
        <v>18</v>
      </c>
      <c r="P297" t="e">
        <f t="shared" si="40"/>
        <v>#N/A</v>
      </c>
      <c r="Q297" t="e">
        <f t="shared" si="41"/>
        <v>#N/A</v>
      </c>
      <c r="R297">
        <f t="shared" si="42"/>
        <v>849000</v>
      </c>
      <c r="S297">
        <f t="shared" si="43"/>
        <v>202</v>
      </c>
      <c r="T297" t="e">
        <f t="shared" si="44"/>
        <v>#N/A</v>
      </c>
      <c r="U297" t="e">
        <f t="shared" si="45"/>
        <v>#N/A</v>
      </c>
      <c r="V297" t="e">
        <f t="shared" si="46"/>
        <v>#N/A</v>
      </c>
      <c r="W297" t="e">
        <f t="shared" si="47"/>
        <v>#N/A</v>
      </c>
      <c r="X297" t="e">
        <f t="shared" si="48"/>
        <v>#N/A</v>
      </c>
      <c r="Y297" t="e">
        <f t="shared" si="49"/>
        <v>#N/A</v>
      </c>
    </row>
    <row r="298" spans="1:25" x14ac:dyDescent="0.2">
      <c r="A298">
        <v>1296</v>
      </c>
      <c r="B298" t="s">
        <v>43</v>
      </c>
      <c r="C298" t="s">
        <v>29</v>
      </c>
      <c r="D298">
        <v>2022</v>
      </c>
      <c r="E298" t="s">
        <v>26</v>
      </c>
      <c r="F298">
        <v>308</v>
      </c>
      <c r="G298">
        <v>6</v>
      </c>
      <c r="H298">
        <v>6</v>
      </c>
      <c r="I298">
        <v>1783000</v>
      </c>
      <c r="J298">
        <v>5789</v>
      </c>
      <c r="K298">
        <v>0</v>
      </c>
      <c r="L298" t="s">
        <v>17</v>
      </c>
      <c r="M298">
        <v>94</v>
      </c>
      <c r="N298" t="s">
        <v>27</v>
      </c>
      <c r="P298">
        <f t="shared" si="40"/>
        <v>1783000</v>
      </c>
      <c r="Q298">
        <f t="shared" si="41"/>
        <v>308</v>
      </c>
      <c r="R298" t="e">
        <f t="shared" si="42"/>
        <v>#N/A</v>
      </c>
      <c r="S298" t="e">
        <f t="shared" si="43"/>
        <v>#N/A</v>
      </c>
      <c r="T298" t="e">
        <f t="shared" si="44"/>
        <v>#N/A</v>
      </c>
      <c r="U298" t="e">
        <f t="shared" si="45"/>
        <v>#N/A</v>
      </c>
      <c r="V298" t="e">
        <f t="shared" si="46"/>
        <v>#N/A</v>
      </c>
      <c r="W298" t="e">
        <f t="shared" si="47"/>
        <v>#N/A</v>
      </c>
      <c r="X298" t="e">
        <f t="shared" si="48"/>
        <v>#N/A</v>
      </c>
      <c r="Y298" t="e">
        <f t="shared" si="49"/>
        <v>#N/A</v>
      </c>
    </row>
    <row r="299" spans="1:25" x14ac:dyDescent="0.2">
      <c r="A299">
        <v>1297</v>
      </c>
      <c r="B299" t="s">
        <v>33</v>
      </c>
      <c r="C299" t="s">
        <v>23</v>
      </c>
      <c r="D299">
        <v>2022</v>
      </c>
      <c r="E299" t="s">
        <v>30</v>
      </c>
      <c r="F299">
        <v>308</v>
      </c>
      <c r="G299">
        <v>4</v>
      </c>
      <c r="H299">
        <v>4</v>
      </c>
      <c r="I299">
        <v>853000</v>
      </c>
      <c r="J299">
        <v>2769.5</v>
      </c>
      <c r="K299">
        <v>10</v>
      </c>
      <c r="L299" t="s">
        <v>20</v>
      </c>
      <c r="M299">
        <v>77</v>
      </c>
      <c r="N299" t="s">
        <v>27</v>
      </c>
      <c r="P299" t="e">
        <f t="shared" si="40"/>
        <v>#N/A</v>
      </c>
      <c r="Q299" t="e">
        <f t="shared" si="41"/>
        <v>#N/A</v>
      </c>
      <c r="R299" t="e">
        <f t="shared" si="42"/>
        <v>#N/A</v>
      </c>
      <c r="S299" t="e">
        <f t="shared" si="43"/>
        <v>#N/A</v>
      </c>
      <c r="T299">
        <f t="shared" si="44"/>
        <v>853000</v>
      </c>
      <c r="U299">
        <f t="shared" si="45"/>
        <v>308</v>
      </c>
      <c r="V299" t="e">
        <f t="shared" si="46"/>
        <v>#N/A</v>
      </c>
      <c r="W299" t="e">
        <f t="shared" si="47"/>
        <v>#N/A</v>
      </c>
      <c r="X299" t="e">
        <f t="shared" si="48"/>
        <v>#N/A</v>
      </c>
      <c r="Y299" t="e">
        <f t="shared" si="49"/>
        <v>#N/A</v>
      </c>
    </row>
    <row r="300" spans="1:25" x14ac:dyDescent="0.2">
      <c r="A300">
        <v>1298</v>
      </c>
      <c r="B300" t="s">
        <v>42</v>
      </c>
      <c r="C300" t="s">
        <v>15</v>
      </c>
      <c r="D300">
        <v>2022</v>
      </c>
      <c r="E300" t="s">
        <v>24</v>
      </c>
      <c r="F300">
        <v>125</v>
      </c>
      <c r="G300">
        <v>3</v>
      </c>
      <c r="H300">
        <v>3</v>
      </c>
      <c r="I300">
        <v>513000</v>
      </c>
      <c r="J300">
        <v>4104</v>
      </c>
      <c r="K300">
        <v>5</v>
      </c>
      <c r="L300" t="s">
        <v>17</v>
      </c>
      <c r="M300">
        <v>155</v>
      </c>
      <c r="N300" t="s">
        <v>21</v>
      </c>
      <c r="P300" t="e">
        <f t="shared" si="40"/>
        <v>#N/A</v>
      </c>
      <c r="Q300" t="e">
        <f t="shared" si="41"/>
        <v>#N/A</v>
      </c>
      <c r="R300">
        <f t="shared" si="42"/>
        <v>513000</v>
      </c>
      <c r="S300">
        <f t="shared" si="43"/>
        <v>125</v>
      </c>
      <c r="T300" t="e">
        <f t="shared" si="44"/>
        <v>#N/A</v>
      </c>
      <c r="U300" t="e">
        <f t="shared" si="45"/>
        <v>#N/A</v>
      </c>
      <c r="V300" t="e">
        <f t="shared" si="46"/>
        <v>#N/A</v>
      </c>
      <c r="W300" t="e">
        <f t="shared" si="47"/>
        <v>#N/A</v>
      </c>
      <c r="X300" t="e">
        <f t="shared" si="48"/>
        <v>#N/A</v>
      </c>
      <c r="Y300" t="e">
        <f t="shared" si="49"/>
        <v>#N/A</v>
      </c>
    </row>
    <row r="301" spans="1:25" x14ac:dyDescent="0.2">
      <c r="A301">
        <v>1299</v>
      </c>
      <c r="B301" t="s">
        <v>37</v>
      </c>
      <c r="C301" t="s">
        <v>29</v>
      </c>
      <c r="D301">
        <v>2021</v>
      </c>
      <c r="E301" t="s">
        <v>26</v>
      </c>
      <c r="F301">
        <v>381</v>
      </c>
      <c r="G301">
        <v>5</v>
      </c>
      <c r="H301">
        <v>5</v>
      </c>
      <c r="I301">
        <v>2074000</v>
      </c>
      <c r="J301">
        <v>5443.6</v>
      </c>
      <c r="K301">
        <v>5</v>
      </c>
      <c r="L301" t="s">
        <v>17</v>
      </c>
      <c r="M301">
        <v>174</v>
      </c>
      <c r="N301" t="s">
        <v>27</v>
      </c>
      <c r="P301">
        <f t="shared" si="40"/>
        <v>2074000</v>
      </c>
      <c r="Q301">
        <f t="shared" si="41"/>
        <v>381</v>
      </c>
      <c r="R301" t="e">
        <f t="shared" si="42"/>
        <v>#N/A</v>
      </c>
      <c r="S301" t="e">
        <f t="shared" si="43"/>
        <v>#N/A</v>
      </c>
      <c r="T301" t="e">
        <f t="shared" si="44"/>
        <v>#N/A</v>
      </c>
      <c r="U301" t="e">
        <f t="shared" si="45"/>
        <v>#N/A</v>
      </c>
      <c r="V301" t="e">
        <f t="shared" si="46"/>
        <v>#N/A</v>
      </c>
      <c r="W301" t="e">
        <f t="shared" si="47"/>
        <v>#N/A</v>
      </c>
      <c r="X301" t="e">
        <f t="shared" si="48"/>
        <v>#N/A</v>
      </c>
      <c r="Y301" t="e">
        <f t="shared" si="49"/>
        <v>#N/A</v>
      </c>
    </row>
    <row r="302" spans="1:25" x14ac:dyDescent="0.2">
      <c r="A302">
        <v>1300</v>
      </c>
      <c r="B302" t="s">
        <v>14</v>
      </c>
      <c r="C302" t="s">
        <v>36</v>
      </c>
      <c r="D302">
        <v>2021</v>
      </c>
      <c r="E302" t="s">
        <v>24</v>
      </c>
      <c r="F302">
        <v>353</v>
      </c>
      <c r="G302">
        <v>4</v>
      </c>
      <c r="H302">
        <v>4</v>
      </c>
      <c r="I302">
        <v>892000</v>
      </c>
      <c r="J302">
        <v>2526.9</v>
      </c>
      <c r="K302">
        <v>7</v>
      </c>
      <c r="L302" t="s">
        <v>17</v>
      </c>
      <c r="M302">
        <v>86</v>
      </c>
      <c r="N302" t="s">
        <v>18</v>
      </c>
      <c r="P302" t="e">
        <f t="shared" si="40"/>
        <v>#N/A</v>
      </c>
      <c r="Q302" t="e">
        <f t="shared" si="41"/>
        <v>#N/A</v>
      </c>
      <c r="R302" t="e">
        <f t="shared" si="42"/>
        <v>#N/A</v>
      </c>
      <c r="S302" t="e">
        <f t="shared" si="43"/>
        <v>#N/A</v>
      </c>
      <c r="T302" t="e">
        <f t="shared" si="44"/>
        <v>#N/A</v>
      </c>
      <c r="U302" t="e">
        <f t="shared" si="45"/>
        <v>#N/A</v>
      </c>
      <c r="V302" t="e">
        <f t="shared" si="46"/>
        <v>#N/A</v>
      </c>
      <c r="W302" t="e">
        <f t="shared" si="47"/>
        <v>#N/A</v>
      </c>
      <c r="X302">
        <f t="shared" si="48"/>
        <v>892000</v>
      </c>
      <c r="Y302">
        <f t="shared" si="49"/>
        <v>353</v>
      </c>
    </row>
    <row r="303" spans="1:25" x14ac:dyDescent="0.2">
      <c r="A303">
        <v>1301</v>
      </c>
      <c r="B303" t="s">
        <v>22</v>
      </c>
      <c r="C303" t="s">
        <v>15</v>
      </c>
      <c r="D303">
        <v>2022</v>
      </c>
      <c r="E303" t="s">
        <v>26</v>
      </c>
      <c r="F303">
        <v>120</v>
      </c>
      <c r="G303">
        <v>2</v>
      </c>
      <c r="H303">
        <v>2</v>
      </c>
      <c r="I303">
        <v>445000</v>
      </c>
      <c r="J303">
        <v>3708.3</v>
      </c>
      <c r="K303">
        <v>1</v>
      </c>
      <c r="L303" t="s">
        <v>17</v>
      </c>
      <c r="M303">
        <v>166</v>
      </c>
      <c r="N303" t="s">
        <v>18</v>
      </c>
      <c r="P303" t="e">
        <f t="shared" si="40"/>
        <v>#N/A</v>
      </c>
      <c r="Q303" t="e">
        <f t="shared" si="41"/>
        <v>#N/A</v>
      </c>
      <c r="R303">
        <f t="shared" si="42"/>
        <v>445000</v>
      </c>
      <c r="S303">
        <f t="shared" si="43"/>
        <v>120</v>
      </c>
      <c r="T303" t="e">
        <f t="shared" si="44"/>
        <v>#N/A</v>
      </c>
      <c r="U303" t="e">
        <f t="shared" si="45"/>
        <v>#N/A</v>
      </c>
      <c r="V303" t="e">
        <f t="shared" si="46"/>
        <v>#N/A</v>
      </c>
      <c r="W303" t="e">
        <f t="shared" si="47"/>
        <v>#N/A</v>
      </c>
      <c r="X303" t="e">
        <f t="shared" si="48"/>
        <v>#N/A</v>
      </c>
      <c r="Y303" t="e">
        <f t="shared" si="49"/>
        <v>#N/A</v>
      </c>
    </row>
    <row r="304" spans="1:25" x14ac:dyDescent="0.2">
      <c r="A304">
        <v>1302</v>
      </c>
      <c r="B304" t="s">
        <v>28</v>
      </c>
      <c r="C304" t="s">
        <v>15</v>
      </c>
      <c r="D304">
        <v>2023</v>
      </c>
      <c r="E304" t="s">
        <v>24</v>
      </c>
      <c r="F304">
        <v>138</v>
      </c>
      <c r="G304">
        <v>3</v>
      </c>
      <c r="H304">
        <v>3</v>
      </c>
      <c r="I304">
        <v>453000</v>
      </c>
      <c r="J304">
        <v>3282.6</v>
      </c>
      <c r="K304">
        <v>0</v>
      </c>
      <c r="L304" t="s">
        <v>34</v>
      </c>
      <c r="M304">
        <v>80</v>
      </c>
      <c r="N304" t="s">
        <v>27</v>
      </c>
      <c r="P304" t="e">
        <f t="shared" si="40"/>
        <v>#N/A</v>
      </c>
      <c r="Q304" t="e">
        <f t="shared" si="41"/>
        <v>#N/A</v>
      </c>
      <c r="R304">
        <f t="shared" si="42"/>
        <v>453000</v>
      </c>
      <c r="S304">
        <f t="shared" si="43"/>
        <v>138</v>
      </c>
      <c r="T304" t="e">
        <f t="shared" si="44"/>
        <v>#N/A</v>
      </c>
      <c r="U304" t="e">
        <f t="shared" si="45"/>
        <v>#N/A</v>
      </c>
      <c r="V304" t="e">
        <f t="shared" si="46"/>
        <v>#N/A</v>
      </c>
      <c r="W304" t="e">
        <f t="shared" si="47"/>
        <v>#N/A</v>
      </c>
      <c r="X304" t="e">
        <f t="shared" si="48"/>
        <v>#N/A</v>
      </c>
      <c r="Y304" t="e">
        <f t="shared" si="49"/>
        <v>#N/A</v>
      </c>
    </row>
    <row r="305" spans="1:25" x14ac:dyDescent="0.2">
      <c r="A305">
        <v>1303</v>
      </c>
      <c r="B305" t="s">
        <v>32</v>
      </c>
      <c r="C305" t="s">
        <v>15</v>
      </c>
      <c r="D305">
        <v>2024</v>
      </c>
      <c r="E305" t="s">
        <v>30</v>
      </c>
      <c r="F305">
        <v>118</v>
      </c>
      <c r="G305">
        <v>3</v>
      </c>
      <c r="H305">
        <v>3</v>
      </c>
      <c r="I305">
        <v>390000</v>
      </c>
      <c r="J305">
        <v>3305.1</v>
      </c>
      <c r="K305">
        <v>10</v>
      </c>
      <c r="L305" t="s">
        <v>34</v>
      </c>
      <c r="M305">
        <v>157</v>
      </c>
      <c r="N305" t="s">
        <v>18</v>
      </c>
      <c r="P305" t="e">
        <f t="shared" si="40"/>
        <v>#N/A</v>
      </c>
      <c r="Q305" t="e">
        <f t="shared" si="41"/>
        <v>#N/A</v>
      </c>
      <c r="R305">
        <f t="shared" si="42"/>
        <v>390000</v>
      </c>
      <c r="S305">
        <f t="shared" si="43"/>
        <v>118</v>
      </c>
      <c r="T305" t="e">
        <f t="shared" si="44"/>
        <v>#N/A</v>
      </c>
      <c r="U305" t="e">
        <f t="shared" si="45"/>
        <v>#N/A</v>
      </c>
      <c r="V305" t="e">
        <f t="shared" si="46"/>
        <v>#N/A</v>
      </c>
      <c r="W305" t="e">
        <f t="shared" si="47"/>
        <v>#N/A</v>
      </c>
      <c r="X305" t="e">
        <f t="shared" si="48"/>
        <v>#N/A</v>
      </c>
      <c r="Y305" t="e">
        <f t="shared" si="49"/>
        <v>#N/A</v>
      </c>
    </row>
    <row r="306" spans="1:25" x14ac:dyDescent="0.2">
      <c r="A306">
        <v>1304</v>
      </c>
      <c r="B306" t="s">
        <v>19</v>
      </c>
      <c r="C306" t="s">
        <v>29</v>
      </c>
      <c r="D306">
        <v>2022</v>
      </c>
      <c r="E306" t="s">
        <v>30</v>
      </c>
      <c r="F306">
        <v>374</v>
      </c>
      <c r="G306">
        <v>5</v>
      </c>
      <c r="H306">
        <v>5</v>
      </c>
      <c r="I306">
        <v>1652000</v>
      </c>
      <c r="J306">
        <v>4417.1000000000004</v>
      </c>
      <c r="K306">
        <v>15</v>
      </c>
      <c r="L306" t="s">
        <v>20</v>
      </c>
      <c r="M306">
        <v>35</v>
      </c>
      <c r="N306" t="s">
        <v>21</v>
      </c>
      <c r="P306">
        <f t="shared" si="40"/>
        <v>1652000</v>
      </c>
      <c r="Q306">
        <f t="shared" si="41"/>
        <v>374</v>
      </c>
      <c r="R306" t="e">
        <f t="shared" si="42"/>
        <v>#N/A</v>
      </c>
      <c r="S306" t="e">
        <f t="shared" si="43"/>
        <v>#N/A</v>
      </c>
      <c r="T306" t="e">
        <f t="shared" si="44"/>
        <v>#N/A</v>
      </c>
      <c r="U306" t="e">
        <f t="shared" si="45"/>
        <v>#N/A</v>
      </c>
      <c r="V306" t="e">
        <f t="shared" si="46"/>
        <v>#N/A</v>
      </c>
      <c r="W306" t="e">
        <f t="shared" si="47"/>
        <v>#N/A</v>
      </c>
      <c r="X306" t="e">
        <f t="shared" si="48"/>
        <v>#N/A</v>
      </c>
      <c r="Y306" t="e">
        <f t="shared" si="49"/>
        <v>#N/A</v>
      </c>
    </row>
    <row r="307" spans="1:25" x14ac:dyDescent="0.2">
      <c r="A307">
        <v>1305</v>
      </c>
      <c r="B307" t="s">
        <v>40</v>
      </c>
      <c r="C307" t="s">
        <v>38</v>
      </c>
      <c r="D307">
        <v>2022</v>
      </c>
      <c r="E307" t="s">
        <v>30</v>
      </c>
      <c r="F307">
        <v>63</v>
      </c>
      <c r="G307">
        <v>0</v>
      </c>
      <c r="H307">
        <v>1</v>
      </c>
      <c r="I307">
        <v>280000</v>
      </c>
      <c r="J307">
        <v>4444.3999999999996</v>
      </c>
      <c r="K307">
        <v>1</v>
      </c>
      <c r="L307" t="s">
        <v>17</v>
      </c>
      <c r="M307">
        <v>84</v>
      </c>
      <c r="N307" t="s">
        <v>18</v>
      </c>
      <c r="P307" t="e">
        <f t="shared" si="40"/>
        <v>#N/A</v>
      </c>
      <c r="Q307" t="e">
        <f t="shared" si="41"/>
        <v>#N/A</v>
      </c>
      <c r="R307" t="e">
        <f t="shared" si="42"/>
        <v>#N/A</v>
      </c>
      <c r="S307" t="e">
        <f t="shared" si="43"/>
        <v>#N/A</v>
      </c>
      <c r="T307" t="e">
        <f t="shared" si="44"/>
        <v>#N/A</v>
      </c>
      <c r="U307" t="e">
        <f t="shared" si="45"/>
        <v>#N/A</v>
      </c>
      <c r="V307">
        <f t="shared" si="46"/>
        <v>280000</v>
      </c>
      <c r="W307">
        <f t="shared" si="47"/>
        <v>63</v>
      </c>
      <c r="X307" t="e">
        <f t="shared" si="48"/>
        <v>#N/A</v>
      </c>
      <c r="Y307" t="e">
        <f t="shared" si="49"/>
        <v>#N/A</v>
      </c>
    </row>
    <row r="308" spans="1:25" x14ac:dyDescent="0.2">
      <c r="A308">
        <v>1306</v>
      </c>
      <c r="B308" t="s">
        <v>47</v>
      </c>
      <c r="C308" t="s">
        <v>29</v>
      </c>
      <c r="D308">
        <v>2021</v>
      </c>
      <c r="E308" t="s">
        <v>30</v>
      </c>
      <c r="F308">
        <v>428</v>
      </c>
      <c r="G308">
        <v>6</v>
      </c>
      <c r="H308">
        <v>6</v>
      </c>
      <c r="I308">
        <v>1773000</v>
      </c>
      <c r="J308">
        <v>4142.5</v>
      </c>
      <c r="K308">
        <v>3</v>
      </c>
      <c r="L308" t="s">
        <v>34</v>
      </c>
      <c r="M308">
        <v>86</v>
      </c>
      <c r="N308" t="s">
        <v>21</v>
      </c>
      <c r="P308">
        <f t="shared" si="40"/>
        <v>1773000</v>
      </c>
      <c r="Q308">
        <f t="shared" si="41"/>
        <v>428</v>
      </c>
      <c r="R308" t="e">
        <f t="shared" si="42"/>
        <v>#N/A</v>
      </c>
      <c r="S308" t="e">
        <f t="shared" si="43"/>
        <v>#N/A</v>
      </c>
      <c r="T308" t="e">
        <f t="shared" si="44"/>
        <v>#N/A</v>
      </c>
      <c r="U308" t="e">
        <f t="shared" si="45"/>
        <v>#N/A</v>
      </c>
      <c r="V308" t="e">
        <f t="shared" si="46"/>
        <v>#N/A</v>
      </c>
      <c r="W308" t="e">
        <f t="shared" si="47"/>
        <v>#N/A</v>
      </c>
      <c r="X308" t="e">
        <f t="shared" si="48"/>
        <v>#N/A</v>
      </c>
      <c r="Y308" t="e">
        <f t="shared" si="49"/>
        <v>#N/A</v>
      </c>
    </row>
    <row r="309" spans="1:25" x14ac:dyDescent="0.2">
      <c r="A309">
        <v>1307</v>
      </c>
      <c r="B309" t="s">
        <v>31</v>
      </c>
      <c r="C309" t="s">
        <v>15</v>
      </c>
      <c r="D309">
        <v>2022</v>
      </c>
      <c r="E309" t="s">
        <v>24</v>
      </c>
      <c r="F309">
        <v>168</v>
      </c>
      <c r="G309">
        <v>2</v>
      </c>
      <c r="H309">
        <v>2</v>
      </c>
      <c r="I309">
        <v>431000</v>
      </c>
      <c r="J309">
        <v>2565.5</v>
      </c>
      <c r="K309">
        <v>0</v>
      </c>
      <c r="L309" t="s">
        <v>34</v>
      </c>
      <c r="M309">
        <v>141</v>
      </c>
      <c r="N309" t="s">
        <v>21</v>
      </c>
      <c r="P309" t="e">
        <f t="shared" si="40"/>
        <v>#N/A</v>
      </c>
      <c r="Q309" t="e">
        <f t="shared" si="41"/>
        <v>#N/A</v>
      </c>
      <c r="R309">
        <f t="shared" si="42"/>
        <v>431000</v>
      </c>
      <c r="S309">
        <f t="shared" si="43"/>
        <v>168</v>
      </c>
      <c r="T309" t="e">
        <f t="shared" si="44"/>
        <v>#N/A</v>
      </c>
      <c r="U309" t="e">
        <f t="shared" si="45"/>
        <v>#N/A</v>
      </c>
      <c r="V309" t="e">
        <f t="shared" si="46"/>
        <v>#N/A</v>
      </c>
      <c r="W309" t="e">
        <f t="shared" si="47"/>
        <v>#N/A</v>
      </c>
      <c r="X309" t="e">
        <f t="shared" si="48"/>
        <v>#N/A</v>
      </c>
      <c r="Y309" t="e">
        <f t="shared" si="49"/>
        <v>#N/A</v>
      </c>
    </row>
    <row r="310" spans="1:25" x14ac:dyDescent="0.2">
      <c r="A310">
        <v>1308</v>
      </c>
      <c r="B310" t="s">
        <v>40</v>
      </c>
      <c r="C310" t="s">
        <v>38</v>
      </c>
      <c r="D310">
        <v>2022</v>
      </c>
      <c r="E310" t="s">
        <v>16</v>
      </c>
      <c r="F310">
        <v>48</v>
      </c>
      <c r="G310">
        <v>0</v>
      </c>
      <c r="H310">
        <v>1</v>
      </c>
      <c r="I310">
        <v>202000</v>
      </c>
      <c r="J310">
        <v>4208.3</v>
      </c>
      <c r="K310">
        <v>0</v>
      </c>
      <c r="L310" t="s">
        <v>34</v>
      </c>
      <c r="M310">
        <v>117</v>
      </c>
      <c r="N310" t="s">
        <v>18</v>
      </c>
      <c r="P310" t="e">
        <f t="shared" si="40"/>
        <v>#N/A</v>
      </c>
      <c r="Q310" t="e">
        <f t="shared" si="41"/>
        <v>#N/A</v>
      </c>
      <c r="R310" t="e">
        <f t="shared" si="42"/>
        <v>#N/A</v>
      </c>
      <c r="S310" t="e">
        <f t="shared" si="43"/>
        <v>#N/A</v>
      </c>
      <c r="T310" t="e">
        <f t="shared" si="44"/>
        <v>#N/A</v>
      </c>
      <c r="U310" t="e">
        <f t="shared" si="45"/>
        <v>#N/A</v>
      </c>
      <c r="V310">
        <f t="shared" si="46"/>
        <v>202000</v>
      </c>
      <c r="W310">
        <f t="shared" si="47"/>
        <v>48</v>
      </c>
      <c r="X310" t="e">
        <f t="shared" si="48"/>
        <v>#N/A</v>
      </c>
      <c r="Y310" t="e">
        <f t="shared" si="49"/>
        <v>#N/A</v>
      </c>
    </row>
    <row r="311" spans="1:25" x14ac:dyDescent="0.2">
      <c r="A311">
        <v>1309</v>
      </c>
      <c r="B311" t="s">
        <v>25</v>
      </c>
      <c r="C311" t="s">
        <v>38</v>
      </c>
      <c r="D311">
        <v>2022</v>
      </c>
      <c r="E311" t="s">
        <v>24</v>
      </c>
      <c r="F311">
        <v>61</v>
      </c>
      <c r="G311">
        <v>0</v>
      </c>
      <c r="H311">
        <v>1</v>
      </c>
      <c r="I311">
        <v>194000</v>
      </c>
      <c r="J311">
        <v>3180.3</v>
      </c>
      <c r="K311">
        <v>15</v>
      </c>
      <c r="L311" t="s">
        <v>17</v>
      </c>
      <c r="M311">
        <v>40</v>
      </c>
      <c r="N311" t="s">
        <v>27</v>
      </c>
      <c r="P311" t="e">
        <f t="shared" si="40"/>
        <v>#N/A</v>
      </c>
      <c r="Q311" t="e">
        <f t="shared" si="41"/>
        <v>#N/A</v>
      </c>
      <c r="R311" t="e">
        <f t="shared" si="42"/>
        <v>#N/A</v>
      </c>
      <c r="S311" t="e">
        <f t="shared" si="43"/>
        <v>#N/A</v>
      </c>
      <c r="T311" t="e">
        <f t="shared" si="44"/>
        <v>#N/A</v>
      </c>
      <c r="U311" t="e">
        <f t="shared" si="45"/>
        <v>#N/A</v>
      </c>
      <c r="V311">
        <f t="shared" si="46"/>
        <v>194000</v>
      </c>
      <c r="W311">
        <f t="shared" si="47"/>
        <v>61</v>
      </c>
      <c r="X311" t="e">
        <f t="shared" si="48"/>
        <v>#N/A</v>
      </c>
      <c r="Y311" t="e">
        <f t="shared" si="49"/>
        <v>#N/A</v>
      </c>
    </row>
    <row r="312" spans="1:25" x14ac:dyDescent="0.2">
      <c r="A312">
        <v>1310</v>
      </c>
      <c r="B312" t="s">
        <v>44</v>
      </c>
      <c r="C312" t="s">
        <v>23</v>
      </c>
      <c r="D312">
        <v>2024</v>
      </c>
      <c r="E312" t="s">
        <v>30</v>
      </c>
      <c r="F312">
        <v>199</v>
      </c>
      <c r="G312">
        <v>4</v>
      </c>
      <c r="H312">
        <v>4</v>
      </c>
      <c r="I312">
        <v>746000</v>
      </c>
      <c r="J312">
        <v>3748.7</v>
      </c>
      <c r="K312">
        <v>7</v>
      </c>
      <c r="L312" t="s">
        <v>17</v>
      </c>
      <c r="M312">
        <v>61</v>
      </c>
      <c r="N312" t="s">
        <v>18</v>
      </c>
      <c r="P312" t="e">
        <f t="shared" si="40"/>
        <v>#N/A</v>
      </c>
      <c r="Q312" t="e">
        <f t="shared" si="41"/>
        <v>#N/A</v>
      </c>
      <c r="R312" t="e">
        <f t="shared" si="42"/>
        <v>#N/A</v>
      </c>
      <c r="S312" t="e">
        <f t="shared" si="43"/>
        <v>#N/A</v>
      </c>
      <c r="T312">
        <f t="shared" si="44"/>
        <v>746000</v>
      </c>
      <c r="U312">
        <f t="shared" si="45"/>
        <v>199</v>
      </c>
      <c r="V312" t="e">
        <f t="shared" si="46"/>
        <v>#N/A</v>
      </c>
      <c r="W312" t="e">
        <f t="shared" si="47"/>
        <v>#N/A</v>
      </c>
      <c r="X312" t="e">
        <f t="shared" si="48"/>
        <v>#N/A</v>
      </c>
      <c r="Y312" t="e">
        <f t="shared" si="49"/>
        <v>#N/A</v>
      </c>
    </row>
    <row r="313" spans="1:25" x14ac:dyDescent="0.2">
      <c r="A313">
        <v>1311</v>
      </c>
      <c r="B313" t="s">
        <v>35</v>
      </c>
      <c r="C313" t="s">
        <v>29</v>
      </c>
      <c r="D313">
        <v>2023</v>
      </c>
      <c r="E313" t="s">
        <v>24</v>
      </c>
      <c r="F313">
        <v>424</v>
      </c>
      <c r="G313">
        <v>5</v>
      </c>
      <c r="H313">
        <v>5</v>
      </c>
      <c r="I313">
        <v>2402000</v>
      </c>
      <c r="J313">
        <v>5665.1</v>
      </c>
      <c r="K313">
        <v>10</v>
      </c>
      <c r="L313" t="s">
        <v>34</v>
      </c>
      <c r="M313">
        <v>145</v>
      </c>
      <c r="N313" t="s">
        <v>18</v>
      </c>
      <c r="P313">
        <f t="shared" si="40"/>
        <v>2402000</v>
      </c>
      <c r="Q313">
        <f t="shared" si="41"/>
        <v>424</v>
      </c>
      <c r="R313" t="e">
        <f t="shared" si="42"/>
        <v>#N/A</v>
      </c>
      <c r="S313" t="e">
        <f t="shared" si="43"/>
        <v>#N/A</v>
      </c>
      <c r="T313" t="e">
        <f t="shared" si="44"/>
        <v>#N/A</v>
      </c>
      <c r="U313" t="e">
        <f t="shared" si="45"/>
        <v>#N/A</v>
      </c>
      <c r="V313" t="e">
        <f t="shared" si="46"/>
        <v>#N/A</v>
      </c>
      <c r="W313" t="e">
        <f t="shared" si="47"/>
        <v>#N/A</v>
      </c>
      <c r="X313" t="e">
        <f t="shared" si="48"/>
        <v>#N/A</v>
      </c>
      <c r="Y313" t="e">
        <f t="shared" si="49"/>
        <v>#N/A</v>
      </c>
    </row>
    <row r="314" spans="1:25" x14ac:dyDescent="0.2">
      <c r="A314">
        <v>1312</v>
      </c>
      <c r="B314" t="s">
        <v>25</v>
      </c>
      <c r="C314" t="s">
        <v>29</v>
      </c>
      <c r="D314">
        <v>2023</v>
      </c>
      <c r="E314" t="s">
        <v>16</v>
      </c>
      <c r="F314">
        <v>471</v>
      </c>
      <c r="G314">
        <v>5</v>
      </c>
      <c r="H314">
        <v>5</v>
      </c>
      <c r="I314">
        <v>1789000</v>
      </c>
      <c r="J314">
        <v>3798.3</v>
      </c>
      <c r="K314">
        <v>15</v>
      </c>
      <c r="L314" t="s">
        <v>17</v>
      </c>
      <c r="M314">
        <v>133</v>
      </c>
      <c r="N314" t="s">
        <v>27</v>
      </c>
      <c r="P314">
        <f t="shared" si="40"/>
        <v>1789000</v>
      </c>
      <c r="Q314">
        <f t="shared" si="41"/>
        <v>471</v>
      </c>
      <c r="R314" t="e">
        <f t="shared" si="42"/>
        <v>#N/A</v>
      </c>
      <c r="S314" t="e">
        <f t="shared" si="43"/>
        <v>#N/A</v>
      </c>
      <c r="T314" t="e">
        <f t="shared" si="44"/>
        <v>#N/A</v>
      </c>
      <c r="U314" t="e">
        <f t="shared" si="45"/>
        <v>#N/A</v>
      </c>
      <c r="V314" t="e">
        <f t="shared" si="46"/>
        <v>#N/A</v>
      </c>
      <c r="W314" t="e">
        <f t="shared" si="47"/>
        <v>#N/A</v>
      </c>
      <c r="X314" t="e">
        <f t="shared" si="48"/>
        <v>#N/A</v>
      </c>
      <c r="Y314" t="e">
        <f t="shared" si="49"/>
        <v>#N/A</v>
      </c>
    </row>
    <row r="315" spans="1:25" x14ac:dyDescent="0.2">
      <c r="A315">
        <v>1313</v>
      </c>
      <c r="B315" t="s">
        <v>33</v>
      </c>
      <c r="C315" t="s">
        <v>23</v>
      </c>
      <c r="D315">
        <v>2022</v>
      </c>
      <c r="E315" t="s">
        <v>24</v>
      </c>
      <c r="F315">
        <v>197</v>
      </c>
      <c r="G315">
        <v>5</v>
      </c>
      <c r="H315">
        <v>5</v>
      </c>
      <c r="I315">
        <v>576000</v>
      </c>
      <c r="J315">
        <v>2923.9</v>
      </c>
      <c r="K315">
        <v>2</v>
      </c>
      <c r="L315" t="s">
        <v>20</v>
      </c>
      <c r="M315">
        <v>119</v>
      </c>
      <c r="N315" t="s">
        <v>27</v>
      </c>
      <c r="P315" t="e">
        <f t="shared" si="40"/>
        <v>#N/A</v>
      </c>
      <c r="Q315" t="e">
        <f t="shared" si="41"/>
        <v>#N/A</v>
      </c>
      <c r="R315" t="e">
        <f t="shared" si="42"/>
        <v>#N/A</v>
      </c>
      <c r="S315" t="e">
        <f t="shared" si="43"/>
        <v>#N/A</v>
      </c>
      <c r="T315">
        <f t="shared" si="44"/>
        <v>576000</v>
      </c>
      <c r="U315">
        <f t="shared" si="45"/>
        <v>197</v>
      </c>
      <c r="V315" t="e">
        <f t="shared" si="46"/>
        <v>#N/A</v>
      </c>
      <c r="W315" t="e">
        <f t="shared" si="47"/>
        <v>#N/A</v>
      </c>
      <c r="X315" t="e">
        <f t="shared" si="48"/>
        <v>#N/A</v>
      </c>
      <c r="Y315" t="e">
        <f t="shared" si="49"/>
        <v>#N/A</v>
      </c>
    </row>
    <row r="316" spans="1:25" x14ac:dyDescent="0.2">
      <c r="A316">
        <v>1314</v>
      </c>
      <c r="B316" t="s">
        <v>31</v>
      </c>
      <c r="C316" t="s">
        <v>15</v>
      </c>
      <c r="D316">
        <v>2021</v>
      </c>
      <c r="E316" t="s">
        <v>26</v>
      </c>
      <c r="F316">
        <v>125</v>
      </c>
      <c r="G316">
        <v>3</v>
      </c>
      <c r="H316">
        <v>3</v>
      </c>
      <c r="I316">
        <v>300000</v>
      </c>
      <c r="J316">
        <v>2400</v>
      </c>
      <c r="K316">
        <v>15</v>
      </c>
      <c r="L316" t="s">
        <v>17</v>
      </c>
      <c r="M316">
        <v>41</v>
      </c>
      <c r="N316" t="s">
        <v>21</v>
      </c>
      <c r="P316" t="e">
        <f t="shared" si="40"/>
        <v>#N/A</v>
      </c>
      <c r="Q316" t="e">
        <f t="shared" si="41"/>
        <v>#N/A</v>
      </c>
      <c r="R316">
        <f t="shared" si="42"/>
        <v>300000</v>
      </c>
      <c r="S316">
        <f t="shared" si="43"/>
        <v>125</v>
      </c>
      <c r="T316" t="e">
        <f t="shared" si="44"/>
        <v>#N/A</v>
      </c>
      <c r="U316" t="e">
        <f t="shared" si="45"/>
        <v>#N/A</v>
      </c>
      <c r="V316" t="e">
        <f t="shared" si="46"/>
        <v>#N/A</v>
      </c>
      <c r="W316" t="e">
        <f t="shared" si="47"/>
        <v>#N/A</v>
      </c>
      <c r="X316" t="e">
        <f t="shared" si="48"/>
        <v>#N/A</v>
      </c>
      <c r="Y316" t="e">
        <f t="shared" si="49"/>
        <v>#N/A</v>
      </c>
    </row>
    <row r="317" spans="1:25" x14ac:dyDescent="0.2">
      <c r="A317">
        <v>1315</v>
      </c>
      <c r="B317" t="s">
        <v>46</v>
      </c>
      <c r="C317" t="s">
        <v>23</v>
      </c>
      <c r="D317">
        <v>2023</v>
      </c>
      <c r="E317" t="s">
        <v>26</v>
      </c>
      <c r="F317">
        <v>282</v>
      </c>
      <c r="G317">
        <v>4</v>
      </c>
      <c r="H317">
        <v>4</v>
      </c>
      <c r="I317">
        <v>1075000</v>
      </c>
      <c r="J317">
        <v>3812.1</v>
      </c>
      <c r="K317">
        <v>2</v>
      </c>
      <c r="L317" t="s">
        <v>34</v>
      </c>
      <c r="M317">
        <v>85</v>
      </c>
      <c r="N317" t="s">
        <v>18</v>
      </c>
      <c r="P317" t="e">
        <f t="shared" si="40"/>
        <v>#N/A</v>
      </c>
      <c r="Q317" t="e">
        <f t="shared" si="41"/>
        <v>#N/A</v>
      </c>
      <c r="R317" t="e">
        <f t="shared" si="42"/>
        <v>#N/A</v>
      </c>
      <c r="S317" t="e">
        <f t="shared" si="43"/>
        <v>#N/A</v>
      </c>
      <c r="T317">
        <f t="shared" si="44"/>
        <v>1075000</v>
      </c>
      <c r="U317">
        <f t="shared" si="45"/>
        <v>282</v>
      </c>
      <c r="V317" t="e">
        <f t="shared" si="46"/>
        <v>#N/A</v>
      </c>
      <c r="W317" t="e">
        <f t="shared" si="47"/>
        <v>#N/A</v>
      </c>
      <c r="X317" t="e">
        <f t="shared" si="48"/>
        <v>#N/A</v>
      </c>
      <c r="Y317" t="e">
        <f t="shared" si="49"/>
        <v>#N/A</v>
      </c>
    </row>
    <row r="318" spans="1:25" x14ac:dyDescent="0.2">
      <c r="A318">
        <v>1316</v>
      </c>
      <c r="B318" t="s">
        <v>33</v>
      </c>
      <c r="C318" t="s">
        <v>29</v>
      </c>
      <c r="D318">
        <v>2021</v>
      </c>
      <c r="E318" t="s">
        <v>26</v>
      </c>
      <c r="F318">
        <v>501</v>
      </c>
      <c r="G318">
        <v>6</v>
      </c>
      <c r="H318">
        <v>6</v>
      </c>
      <c r="I318">
        <v>1696000</v>
      </c>
      <c r="J318">
        <v>3385.2</v>
      </c>
      <c r="K318">
        <v>2</v>
      </c>
      <c r="L318" t="s">
        <v>20</v>
      </c>
      <c r="M318">
        <v>154</v>
      </c>
      <c r="N318" t="s">
        <v>27</v>
      </c>
      <c r="P318">
        <f t="shared" si="40"/>
        <v>1696000</v>
      </c>
      <c r="Q318">
        <f t="shared" si="41"/>
        <v>501</v>
      </c>
      <c r="R318" t="e">
        <f t="shared" si="42"/>
        <v>#N/A</v>
      </c>
      <c r="S318" t="e">
        <f t="shared" si="43"/>
        <v>#N/A</v>
      </c>
      <c r="T318" t="e">
        <f t="shared" si="44"/>
        <v>#N/A</v>
      </c>
      <c r="U318" t="e">
        <f t="shared" si="45"/>
        <v>#N/A</v>
      </c>
      <c r="V318" t="e">
        <f t="shared" si="46"/>
        <v>#N/A</v>
      </c>
      <c r="W318" t="e">
        <f t="shared" si="47"/>
        <v>#N/A</v>
      </c>
      <c r="X318" t="e">
        <f t="shared" si="48"/>
        <v>#N/A</v>
      </c>
      <c r="Y318" t="e">
        <f t="shared" si="49"/>
        <v>#N/A</v>
      </c>
    </row>
    <row r="319" spans="1:25" x14ac:dyDescent="0.2">
      <c r="A319">
        <v>1317</v>
      </c>
      <c r="B319" t="s">
        <v>45</v>
      </c>
      <c r="C319" t="s">
        <v>36</v>
      </c>
      <c r="D319">
        <v>2023</v>
      </c>
      <c r="E319" t="s">
        <v>26</v>
      </c>
      <c r="F319">
        <v>315</v>
      </c>
      <c r="G319">
        <v>5</v>
      </c>
      <c r="H319">
        <v>5</v>
      </c>
      <c r="I319">
        <v>1031000</v>
      </c>
      <c r="J319">
        <v>3273</v>
      </c>
      <c r="K319">
        <v>1</v>
      </c>
      <c r="L319" t="s">
        <v>20</v>
      </c>
      <c r="M319">
        <v>60</v>
      </c>
      <c r="N319" t="s">
        <v>21</v>
      </c>
      <c r="P319" t="e">
        <f t="shared" si="40"/>
        <v>#N/A</v>
      </c>
      <c r="Q319" t="e">
        <f t="shared" si="41"/>
        <v>#N/A</v>
      </c>
      <c r="R319" t="e">
        <f t="shared" si="42"/>
        <v>#N/A</v>
      </c>
      <c r="S319" t="e">
        <f t="shared" si="43"/>
        <v>#N/A</v>
      </c>
      <c r="T319" t="e">
        <f t="shared" si="44"/>
        <v>#N/A</v>
      </c>
      <c r="U319" t="e">
        <f t="shared" si="45"/>
        <v>#N/A</v>
      </c>
      <c r="V319" t="e">
        <f t="shared" si="46"/>
        <v>#N/A</v>
      </c>
      <c r="W319" t="e">
        <f t="shared" si="47"/>
        <v>#N/A</v>
      </c>
      <c r="X319">
        <f t="shared" si="48"/>
        <v>1031000</v>
      </c>
      <c r="Y319">
        <f t="shared" si="49"/>
        <v>315</v>
      </c>
    </row>
    <row r="320" spans="1:25" x14ac:dyDescent="0.2">
      <c r="A320">
        <v>1318</v>
      </c>
      <c r="B320" t="s">
        <v>22</v>
      </c>
      <c r="C320" t="s">
        <v>15</v>
      </c>
      <c r="D320">
        <v>2021</v>
      </c>
      <c r="E320" t="s">
        <v>30</v>
      </c>
      <c r="F320">
        <v>161</v>
      </c>
      <c r="G320">
        <v>4</v>
      </c>
      <c r="H320">
        <v>4</v>
      </c>
      <c r="I320">
        <v>511000</v>
      </c>
      <c r="J320">
        <v>3173.9</v>
      </c>
      <c r="K320">
        <v>5</v>
      </c>
      <c r="L320" t="s">
        <v>20</v>
      </c>
      <c r="M320">
        <v>142</v>
      </c>
      <c r="N320" t="s">
        <v>18</v>
      </c>
      <c r="P320" t="e">
        <f t="shared" si="40"/>
        <v>#N/A</v>
      </c>
      <c r="Q320" t="e">
        <f t="shared" si="41"/>
        <v>#N/A</v>
      </c>
      <c r="R320">
        <f t="shared" si="42"/>
        <v>511000</v>
      </c>
      <c r="S320">
        <f t="shared" si="43"/>
        <v>161</v>
      </c>
      <c r="T320" t="e">
        <f t="shared" si="44"/>
        <v>#N/A</v>
      </c>
      <c r="U320" t="e">
        <f t="shared" si="45"/>
        <v>#N/A</v>
      </c>
      <c r="V320" t="e">
        <f t="shared" si="46"/>
        <v>#N/A</v>
      </c>
      <c r="W320" t="e">
        <f t="shared" si="47"/>
        <v>#N/A</v>
      </c>
      <c r="X320" t="e">
        <f t="shared" si="48"/>
        <v>#N/A</v>
      </c>
      <c r="Y320" t="e">
        <f t="shared" si="49"/>
        <v>#N/A</v>
      </c>
    </row>
    <row r="321" spans="1:25" x14ac:dyDescent="0.2">
      <c r="A321">
        <v>1319</v>
      </c>
      <c r="B321" t="s">
        <v>39</v>
      </c>
      <c r="C321" t="s">
        <v>15</v>
      </c>
      <c r="D321">
        <v>2024</v>
      </c>
      <c r="E321" t="s">
        <v>26</v>
      </c>
      <c r="F321">
        <v>188</v>
      </c>
      <c r="G321">
        <v>4</v>
      </c>
      <c r="H321">
        <v>4</v>
      </c>
      <c r="I321">
        <v>786000</v>
      </c>
      <c r="J321">
        <v>4180.8999999999996</v>
      </c>
      <c r="K321">
        <v>0</v>
      </c>
      <c r="L321" t="s">
        <v>17</v>
      </c>
      <c r="M321">
        <v>132</v>
      </c>
      <c r="N321" t="s">
        <v>21</v>
      </c>
      <c r="P321" t="e">
        <f t="shared" si="40"/>
        <v>#N/A</v>
      </c>
      <c r="Q321" t="e">
        <f t="shared" si="41"/>
        <v>#N/A</v>
      </c>
      <c r="R321">
        <f t="shared" si="42"/>
        <v>786000</v>
      </c>
      <c r="S321">
        <f t="shared" si="43"/>
        <v>188</v>
      </c>
      <c r="T321" t="e">
        <f t="shared" si="44"/>
        <v>#N/A</v>
      </c>
      <c r="U321" t="e">
        <f t="shared" si="45"/>
        <v>#N/A</v>
      </c>
      <c r="V321" t="e">
        <f t="shared" si="46"/>
        <v>#N/A</v>
      </c>
      <c r="W321" t="e">
        <f t="shared" si="47"/>
        <v>#N/A</v>
      </c>
      <c r="X321" t="e">
        <f t="shared" si="48"/>
        <v>#N/A</v>
      </c>
      <c r="Y321" t="e">
        <f t="shared" si="49"/>
        <v>#N/A</v>
      </c>
    </row>
    <row r="322" spans="1:25" x14ac:dyDescent="0.2">
      <c r="A322">
        <v>1320</v>
      </c>
      <c r="B322" t="s">
        <v>41</v>
      </c>
      <c r="C322" t="s">
        <v>38</v>
      </c>
      <c r="D322">
        <v>2022</v>
      </c>
      <c r="E322" t="s">
        <v>30</v>
      </c>
      <c r="F322">
        <v>61</v>
      </c>
      <c r="G322">
        <v>0</v>
      </c>
      <c r="H322">
        <v>1</v>
      </c>
      <c r="I322">
        <v>384000</v>
      </c>
      <c r="J322">
        <v>6295.1</v>
      </c>
      <c r="K322">
        <v>15</v>
      </c>
      <c r="L322" t="s">
        <v>17</v>
      </c>
      <c r="M322">
        <v>19</v>
      </c>
      <c r="N322" t="s">
        <v>21</v>
      </c>
      <c r="P322" t="e">
        <f t="shared" si="40"/>
        <v>#N/A</v>
      </c>
      <c r="Q322" t="e">
        <f t="shared" si="41"/>
        <v>#N/A</v>
      </c>
      <c r="R322" t="e">
        <f t="shared" si="42"/>
        <v>#N/A</v>
      </c>
      <c r="S322" t="e">
        <f t="shared" si="43"/>
        <v>#N/A</v>
      </c>
      <c r="T322" t="e">
        <f t="shared" si="44"/>
        <v>#N/A</v>
      </c>
      <c r="U322" t="e">
        <f t="shared" si="45"/>
        <v>#N/A</v>
      </c>
      <c r="V322">
        <f t="shared" si="46"/>
        <v>384000</v>
      </c>
      <c r="W322">
        <f t="shared" si="47"/>
        <v>61</v>
      </c>
      <c r="X322" t="e">
        <f t="shared" si="48"/>
        <v>#N/A</v>
      </c>
      <c r="Y322" t="e">
        <f t="shared" si="49"/>
        <v>#N/A</v>
      </c>
    </row>
    <row r="323" spans="1:25" x14ac:dyDescent="0.2">
      <c r="A323">
        <v>1321</v>
      </c>
      <c r="B323" t="s">
        <v>37</v>
      </c>
      <c r="C323" t="s">
        <v>29</v>
      </c>
      <c r="D323">
        <v>2022</v>
      </c>
      <c r="E323" t="s">
        <v>30</v>
      </c>
      <c r="F323">
        <v>404</v>
      </c>
      <c r="G323">
        <v>5</v>
      </c>
      <c r="H323">
        <v>5</v>
      </c>
      <c r="I323">
        <v>2643000</v>
      </c>
      <c r="J323">
        <v>6542.1</v>
      </c>
      <c r="K323">
        <v>10</v>
      </c>
      <c r="L323" t="s">
        <v>17</v>
      </c>
      <c r="M323">
        <v>61</v>
      </c>
      <c r="N323" t="s">
        <v>27</v>
      </c>
      <c r="P323">
        <f t="shared" ref="P323:P386" si="50">IF(C323="Villa", I323, NA())</f>
        <v>2643000</v>
      </c>
      <c r="Q323">
        <f t="shared" ref="Q323:Q386" si="51">IF(C323="Villa", F323, NA())</f>
        <v>404</v>
      </c>
      <c r="R323" t="e">
        <f t="shared" ref="R323:R386" si="52">IF(C323="Apartment",I323,NA())</f>
        <v>#N/A</v>
      </c>
      <c r="S323" t="e">
        <f t="shared" ref="S323:S386" si="53">IF(C323="Apartment",F323,NA())</f>
        <v>#N/A</v>
      </c>
      <c r="T323" t="e">
        <f t="shared" ref="T323:T386" si="54">IF(C323="Duplex",I323,NA())</f>
        <v>#N/A</v>
      </c>
      <c r="U323" t="e">
        <f t="shared" ref="U323:U386" si="55">IF(C323="Duplex",F323,NA())</f>
        <v>#N/A</v>
      </c>
      <c r="V323" t="e">
        <f t="shared" ref="V323:V386" si="56">IF(C323="Studio",I323,NA())</f>
        <v>#N/A</v>
      </c>
      <c r="W323" t="e">
        <f t="shared" ref="W323:W386" si="57">IF(C323="Studio",F323,NA())</f>
        <v>#N/A</v>
      </c>
      <c r="X323" t="e">
        <f t="shared" ref="X323:X386" si="58">IF(C323="Floor",I323,NA())</f>
        <v>#N/A</v>
      </c>
      <c r="Y323" t="e">
        <f t="shared" ref="Y323:Y386" si="59">IF(C323="Floor",F323,NA())</f>
        <v>#N/A</v>
      </c>
    </row>
    <row r="324" spans="1:25" x14ac:dyDescent="0.2">
      <c r="A324">
        <v>1322</v>
      </c>
      <c r="B324" t="s">
        <v>45</v>
      </c>
      <c r="C324" t="s">
        <v>15</v>
      </c>
      <c r="D324">
        <v>2024</v>
      </c>
      <c r="E324" t="s">
        <v>24</v>
      </c>
      <c r="F324">
        <v>156</v>
      </c>
      <c r="G324">
        <v>3</v>
      </c>
      <c r="H324">
        <v>3</v>
      </c>
      <c r="I324">
        <v>732000</v>
      </c>
      <c r="J324">
        <v>4692.3</v>
      </c>
      <c r="K324">
        <v>1</v>
      </c>
      <c r="L324" t="s">
        <v>17</v>
      </c>
      <c r="M324">
        <v>24</v>
      </c>
      <c r="N324" t="s">
        <v>21</v>
      </c>
      <c r="P324" t="e">
        <f t="shared" si="50"/>
        <v>#N/A</v>
      </c>
      <c r="Q324" t="e">
        <f t="shared" si="51"/>
        <v>#N/A</v>
      </c>
      <c r="R324">
        <f t="shared" si="52"/>
        <v>732000</v>
      </c>
      <c r="S324">
        <f t="shared" si="53"/>
        <v>156</v>
      </c>
      <c r="T324" t="e">
        <f t="shared" si="54"/>
        <v>#N/A</v>
      </c>
      <c r="U324" t="e">
        <f t="shared" si="55"/>
        <v>#N/A</v>
      </c>
      <c r="V324" t="e">
        <f t="shared" si="56"/>
        <v>#N/A</v>
      </c>
      <c r="W324" t="e">
        <f t="shared" si="57"/>
        <v>#N/A</v>
      </c>
      <c r="X324" t="e">
        <f t="shared" si="58"/>
        <v>#N/A</v>
      </c>
      <c r="Y324" t="e">
        <f t="shared" si="59"/>
        <v>#N/A</v>
      </c>
    </row>
    <row r="325" spans="1:25" x14ac:dyDescent="0.2">
      <c r="A325">
        <v>1323</v>
      </c>
      <c r="B325" t="s">
        <v>41</v>
      </c>
      <c r="C325" t="s">
        <v>29</v>
      </c>
      <c r="D325">
        <v>2022</v>
      </c>
      <c r="E325" t="s">
        <v>30</v>
      </c>
      <c r="F325">
        <v>372</v>
      </c>
      <c r="G325">
        <v>6</v>
      </c>
      <c r="H325">
        <v>6</v>
      </c>
      <c r="I325">
        <v>2435000</v>
      </c>
      <c r="J325">
        <v>6545.7</v>
      </c>
      <c r="K325">
        <v>1</v>
      </c>
      <c r="L325" t="s">
        <v>17</v>
      </c>
      <c r="M325">
        <v>9</v>
      </c>
      <c r="N325" t="s">
        <v>21</v>
      </c>
      <c r="P325">
        <f t="shared" si="50"/>
        <v>2435000</v>
      </c>
      <c r="Q325">
        <f t="shared" si="51"/>
        <v>372</v>
      </c>
      <c r="R325" t="e">
        <f t="shared" si="52"/>
        <v>#N/A</v>
      </c>
      <c r="S325" t="e">
        <f t="shared" si="53"/>
        <v>#N/A</v>
      </c>
      <c r="T325" t="e">
        <f t="shared" si="54"/>
        <v>#N/A</v>
      </c>
      <c r="U325" t="e">
        <f t="shared" si="55"/>
        <v>#N/A</v>
      </c>
      <c r="V325" t="e">
        <f t="shared" si="56"/>
        <v>#N/A</v>
      </c>
      <c r="W325" t="e">
        <f t="shared" si="57"/>
        <v>#N/A</v>
      </c>
      <c r="X325" t="e">
        <f t="shared" si="58"/>
        <v>#N/A</v>
      </c>
      <c r="Y325" t="e">
        <f t="shared" si="59"/>
        <v>#N/A</v>
      </c>
    </row>
    <row r="326" spans="1:25" x14ac:dyDescent="0.2">
      <c r="A326">
        <v>1324</v>
      </c>
      <c r="B326" t="s">
        <v>19</v>
      </c>
      <c r="C326" t="s">
        <v>23</v>
      </c>
      <c r="D326">
        <v>2021</v>
      </c>
      <c r="E326" t="s">
        <v>30</v>
      </c>
      <c r="F326">
        <v>284</v>
      </c>
      <c r="G326">
        <v>5</v>
      </c>
      <c r="H326">
        <v>5</v>
      </c>
      <c r="I326">
        <v>956000</v>
      </c>
      <c r="J326">
        <v>3366.2</v>
      </c>
      <c r="K326">
        <v>0</v>
      </c>
      <c r="L326" t="s">
        <v>20</v>
      </c>
      <c r="M326">
        <v>127</v>
      </c>
      <c r="N326" t="s">
        <v>21</v>
      </c>
      <c r="P326" t="e">
        <f t="shared" si="50"/>
        <v>#N/A</v>
      </c>
      <c r="Q326" t="e">
        <f t="shared" si="51"/>
        <v>#N/A</v>
      </c>
      <c r="R326" t="e">
        <f t="shared" si="52"/>
        <v>#N/A</v>
      </c>
      <c r="S326" t="e">
        <f t="shared" si="53"/>
        <v>#N/A</v>
      </c>
      <c r="T326">
        <f t="shared" si="54"/>
        <v>956000</v>
      </c>
      <c r="U326">
        <f t="shared" si="55"/>
        <v>284</v>
      </c>
      <c r="V326" t="e">
        <f t="shared" si="56"/>
        <v>#N/A</v>
      </c>
      <c r="W326" t="e">
        <f t="shared" si="57"/>
        <v>#N/A</v>
      </c>
      <c r="X326" t="e">
        <f t="shared" si="58"/>
        <v>#N/A</v>
      </c>
      <c r="Y326" t="e">
        <f t="shared" si="59"/>
        <v>#N/A</v>
      </c>
    </row>
    <row r="327" spans="1:25" x14ac:dyDescent="0.2">
      <c r="A327">
        <v>1325</v>
      </c>
      <c r="B327" t="s">
        <v>40</v>
      </c>
      <c r="C327" t="s">
        <v>23</v>
      </c>
      <c r="D327">
        <v>2021</v>
      </c>
      <c r="E327" t="s">
        <v>24</v>
      </c>
      <c r="F327">
        <v>272</v>
      </c>
      <c r="G327">
        <v>3</v>
      </c>
      <c r="H327">
        <v>3</v>
      </c>
      <c r="I327">
        <v>1022000</v>
      </c>
      <c r="J327">
        <v>3757.4</v>
      </c>
      <c r="K327">
        <v>5</v>
      </c>
      <c r="L327" t="s">
        <v>20</v>
      </c>
      <c r="M327">
        <v>150</v>
      </c>
      <c r="N327" t="s">
        <v>18</v>
      </c>
      <c r="P327" t="e">
        <f t="shared" si="50"/>
        <v>#N/A</v>
      </c>
      <c r="Q327" t="e">
        <f t="shared" si="51"/>
        <v>#N/A</v>
      </c>
      <c r="R327" t="e">
        <f t="shared" si="52"/>
        <v>#N/A</v>
      </c>
      <c r="S327" t="e">
        <f t="shared" si="53"/>
        <v>#N/A</v>
      </c>
      <c r="T327">
        <f t="shared" si="54"/>
        <v>1022000</v>
      </c>
      <c r="U327">
        <f t="shared" si="55"/>
        <v>272</v>
      </c>
      <c r="V327" t="e">
        <f t="shared" si="56"/>
        <v>#N/A</v>
      </c>
      <c r="W327" t="e">
        <f t="shared" si="57"/>
        <v>#N/A</v>
      </c>
      <c r="X327" t="e">
        <f t="shared" si="58"/>
        <v>#N/A</v>
      </c>
      <c r="Y327" t="e">
        <f t="shared" si="59"/>
        <v>#N/A</v>
      </c>
    </row>
    <row r="328" spans="1:25" x14ac:dyDescent="0.2">
      <c r="A328">
        <v>1326</v>
      </c>
      <c r="B328" t="s">
        <v>14</v>
      </c>
      <c r="C328" t="s">
        <v>29</v>
      </c>
      <c r="D328">
        <v>2021</v>
      </c>
      <c r="E328" t="s">
        <v>24</v>
      </c>
      <c r="F328">
        <v>447</v>
      </c>
      <c r="G328">
        <v>6</v>
      </c>
      <c r="H328">
        <v>6</v>
      </c>
      <c r="I328">
        <v>2156000</v>
      </c>
      <c r="J328">
        <v>4823.3</v>
      </c>
      <c r="K328">
        <v>5</v>
      </c>
      <c r="L328" t="s">
        <v>34</v>
      </c>
      <c r="M328">
        <v>150</v>
      </c>
      <c r="N328" t="s">
        <v>18</v>
      </c>
      <c r="P328">
        <f t="shared" si="50"/>
        <v>2156000</v>
      </c>
      <c r="Q328">
        <f t="shared" si="51"/>
        <v>447</v>
      </c>
      <c r="R328" t="e">
        <f t="shared" si="52"/>
        <v>#N/A</v>
      </c>
      <c r="S328" t="e">
        <f t="shared" si="53"/>
        <v>#N/A</v>
      </c>
      <c r="T328" t="e">
        <f t="shared" si="54"/>
        <v>#N/A</v>
      </c>
      <c r="U328" t="e">
        <f t="shared" si="55"/>
        <v>#N/A</v>
      </c>
      <c r="V328" t="e">
        <f t="shared" si="56"/>
        <v>#N/A</v>
      </c>
      <c r="W328" t="e">
        <f t="shared" si="57"/>
        <v>#N/A</v>
      </c>
      <c r="X328" t="e">
        <f t="shared" si="58"/>
        <v>#N/A</v>
      </c>
      <c r="Y328" t="e">
        <f t="shared" si="59"/>
        <v>#N/A</v>
      </c>
    </row>
    <row r="329" spans="1:25" x14ac:dyDescent="0.2">
      <c r="A329">
        <v>1327</v>
      </c>
      <c r="B329" t="s">
        <v>40</v>
      </c>
      <c r="C329" t="s">
        <v>15</v>
      </c>
      <c r="D329">
        <v>2024</v>
      </c>
      <c r="E329" t="s">
        <v>24</v>
      </c>
      <c r="F329">
        <v>133</v>
      </c>
      <c r="G329">
        <v>3</v>
      </c>
      <c r="H329">
        <v>3</v>
      </c>
      <c r="I329">
        <v>475000</v>
      </c>
      <c r="J329">
        <v>3571.4</v>
      </c>
      <c r="K329">
        <v>7</v>
      </c>
      <c r="L329" t="s">
        <v>17</v>
      </c>
      <c r="M329">
        <v>43</v>
      </c>
      <c r="N329" t="s">
        <v>18</v>
      </c>
      <c r="P329" t="e">
        <f t="shared" si="50"/>
        <v>#N/A</v>
      </c>
      <c r="Q329" t="e">
        <f t="shared" si="51"/>
        <v>#N/A</v>
      </c>
      <c r="R329">
        <f t="shared" si="52"/>
        <v>475000</v>
      </c>
      <c r="S329">
        <f t="shared" si="53"/>
        <v>133</v>
      </c>
      <c r="T329" t="e">
        <f t="shared" si="54"/>
        <v>#N/A</v>
      </c>
      <c r="U329" t="e">
        <f t="shared" si="55"/>
        <v>#N/A</v>
      </c>
      <c r="V329" t="e">
        <f t="shared" si="56"/>
        <v>#N/A</v>
      </c>
      <c r="W329" t="e">
        <f t="shared" si="57"/>
        <v>#N/A</v>
      </c>
      <c r="X329" t="e">
        <f t="shared" si="58"/>
        <v>#N/A</v>
      </c>
      <c r="Y329" t="e">
        <f t="shared" si="59"/>
        <v>#N/A</v>
      </c>
    </row>
    <row r="330" spans="1:25" x14ac:dyDescent="0.2">
      <c r="A330">
        <v>1328</v>
      </c>
      <c r="B330" t="s">
        <v>41</v>
      </c>
      <c r="C330" t="s">
        <v>23</v>
      </c>
      <c r="D330">
        <v>2021</v>
      </c>
      <c r="E330" t="s">
        <v>26</v>
      </c>
      <c r="F330">
        <v>300</v>
      </c>
      <c r="G330">
        <v>3</v>
      </c>
      <c r="H330">
        <v>3</v>
      </c>
      <c r="I330">
        <v>1515000</v>
      </c>
      <c r="J330">
        <v>5050</v>
      </c>
      <c r="K330">
        <v>10</v>
      </c>
      <c r="L330" t="s">
        <v>34</v>
      </c>
      <c r="M330">
        <v>116</v>
      </c>
      <c r="N330" t="s">
        <v>21</v>
      </c>
      <c r="P330" t="e">
        <f t="shared" si="50"/>
        <v>#N/A</v>
      </c>
      <c r="Q330" t="e">
        <f t="shared" si="51"/>
        <v>#N/A</v>
      </c>
      <c r="R330" t="e">
        <f t="shared" si="52"/>
        <v>#N/A</v>
      </c>
      <c r="S330" t="e">
        <f t="shared" si="53"/>
        <v>#N/A</v>
      </c>
      <c r="T330">
        <f t="shared" si="54"/>
        <v>1515000</v>
      </c>
      <c r="U330">
        <f t="shared" si="55"/>
        <v>300</v>
      </c>
      <c r="V330" t="e">
        <f t="shared" si="56"/>
        <v>#N/A</v>
      </c>
      <c r="W330" t="e">
        <f t="shared" si="57"/>
        <v>#N/A</v>
      </c>
      <c r="X330" t="e">
        <f t="shared" si="58"/>
        <v>#N/A</v>
      </c>
      <c r="Y330" t="e">
        <f t="shared" si="59"/>
        <v>#N/A</v>
      </c>
    </row>
    <row r="331" spans="1:25" x14ac:dyDescent="0.2">
      <c r="A331">
        <v>1329</v>
      </c>
      <c r="B331" t="s">
        <v>48</v>
      </c>
      <c r="C331" t="s">
        <v>36</v>
      </c>
      <c r="D331">
        <v>2023</v>
      </c>
      <c r="E331" t="s">
        <v>24</v>
      </c>
      <c r="F331">
        <v>325</v>
      </c>
      <c r="G331">
        <v>3</v>
      </c>
      <c r="H331">
        <v>3</v>
      </c>
      <c r="I331">
        <v>782000</v>
      </c>
      <c r="J331">
        <v>2406.1999999999998</v>
      </c>
      <c r="K331">
        <v>15</v>
      </c>
      <c r="L331" t="s">
        <v>34</v>
      </c>
      <c r="M331">
        <v>65</v>
      </c>
      <c r="N331" t="s">
        <v>27</v>
      </c>
      <c r="P331" t="e">
        <f t="shared" si="50"/>
        <v>#N/A</v>
      </c>
      <c r="Q331" t="e">
        <f t="shared" si="51"/>
        <v>#N/A</v>
      </c>
      <c r="R331" t="e">
        <f t="shared" si="52"/>
        <v>#N/A</v>
      </c>
      <c r="S331" t="e">
        <f t="shared" si="53"/>
        <v>#N/A</v>
      </c>
      <c r="T331" t="e">
        <f t="shared" si="54"/>
        <v>#N/A</v>
      </c>
      <c r="U331" t="e">
        <f t="shared" si="55"/>
        <v>#N/A</v>
      </c>
      <c r="V331" t="e">
        <f t="shared" si="56"/>
        <v>#N/A</v>
      </c>
      <c r="W331" t="e">
        <f t="shared" si="57"/>
        <v>#N/A</v>
      </c>
      <c r="X331">
        <f t="shared" si="58"/>
        <v>782000</v>
      </c>
      <c r="Y331">
        <f t="shared" si="59"/>
        <v>325</v>
      </c>
    </row>
    <row r="332" spans="1:25" x14ac:dyDescent="0.2">
      <c r="A332">
        <v>1330</v>
      </c>
      <c r="B332" t="s">
        <v>32</v>
      </c>
      <c r="C332" t="s">
        <v>29</v>
      </c>
      <c r="D332">
        <v>2021</v>
      </c>
      <c r="E332" t="s">
        <v>30</v>
      </c>
      <c r="F332">
        <v>490</v>
      </c>
      <c r="G332">
        <v>5</v>
      </c>
      <c r="H332">
        <v>5</v>
      </c>
      <c r="I332">
        <v>1845000</v>
      </c>
      <c r="J332">
        <v>3765.3</v>
      </c>
      <c r="K332">
        <v>7</v>
      </c>
      <c r="L332" t="s">
        <v>17</v>
      </c>
      <c r="M332">
        <v>162</v>
      </c>
      <c r="N332" t="s">
        <v>18</v>
      </c>
      <c r="P332">
        <f t="shared" si="50"/>
        <v>1845000</v>
      </c>
      <c r="Q332">
        <f t="shared" si="51"/>
        <v>490</v>
      </c>
      <c r="R332" t="e">
        <f t="shared" si="52"/>
        <v>#N/A</v>
      </c>
      <c r="S332" t="e">
        <f t="shared" si="53"/>
        <v>#N/A</v>
      </c>
      <c r="T332" t="e">
        <f t="shared" si="54"/>
        <v>#N/A</v>
      </c>
      <c r="U332" t="e">
        <f t="shared" si="55"/>
        <v>#N/A</v>
      </c>
      <c r="V332" t="e">
        <f t="shared" si="56"/>
        <v>#N/A</v>
      </c>
      <c r="W332" t="e">
        <f t="shared" si="57"/>
        <v>#N/A</v>
      </c>
      <c r="X332" t="e">
        <f t="shared" si="58"/>
        <v>#N/A</v>
      </c>
      <c r="Y332" t="e">
        <f t="shared" si="59"/>
        <v>#N/A</v>
      </c>
    </row>
    <row r="333" spans="1:25" x14ac:dyDescent="0.2">
      <c r="A333">
        <v>1331</v>
      </c>
      <c r="B333" t="s">
        <v>25</v>
      </c>
      <c r="C333" t="s">
        <v>15</v>
      </c>
      <c r="D333">
        <v>2021</v>
      </c>
      <c r="E333" t="s">
        <v>24</v>
      </c>
      <c r="F333">
        <v>135</v>
      </c>
      <c r="G333">
        <v>3</v>
      </c>
      <c r="H333">
        <v>3</v>
      </c>
      <c r="I333">
        <v>320000</v>
      </c>
      <c r="J333">
        <v>2370.4</v>
      </c>
      <c r="K333">
        <v>3</v>
      </c>
      <c r="L333" t="s">
        <v>17</v>
      </c>
      <c r="M333">
        <v>151</v>
      </c>
      <c r="N333" t="s">
        <v>27</v>
      </c>
      <c r="P333" t="e">
        <f t="shared" si="50"/>
        <v>#N/A</v>
      </c>
      <c r="Q333" t="e">
        <f t="shared" si="51"/>
        <v>#N/A</v>
      </c>
      <c r="R333">
        <f t="shared" si="52"/>
        <v>320000</v>
      </c>
      <c r="S333">
        <f t="shared" si="53"/>
        <v>135</v>
      </c>
      <c r="T333" t="e">
        <f t="shared" si="54"/>
        <v>#N/A</v>
      </c>
      <c r="U333" t="e">
        <f t="shared" si="55"/>
        <v>#N/A</v>
      </c>
      <c r="V333" t="e">
        <f t="shared" si="56"/>
        <v>#N/A</v>
      </c>
      <c r="W333" t="e">
        <f t="shared" si="57"/>
        <v>#N/A</v>
      </c>
      <c r="X333" t="e">
        <f t="shared" si="58"/>
        <v>#N/A</v>
      </c>
      <c r="Y333" t="e">
        <f t="shared" si="59"/>
        <v>#N/A</v>
      </c>
    </row>
    <row r="334" spans="1:25" x14ac:dyDescent="0.2">
      <c r="A334">
        <v>1332</v>
      </c>
      <c r="B334" t="s">
        <v>43</v>
      </c>
      <c r="C334" t="s">
        <v>23</v>
      </c>
      <c r="D334">
        <v>2022</v>
      </c>
      <c r="E334" t="s">
        <v>30</v>
      </c>
      <c r="F334">
        <v>178</v>
      </c>
      <c r="G334">
        <v>3</v>
      </c>
      <c r="H334">
        <v>3</v>
      </c>
      <c r="I334">
        <v>843000</v>
      </c>
      <c r="J334">
        <v>4736</v>
      </c>
      <c r="K334">
        <v>3</v>
      </c>
      <c r="L334" t="s">
        <v>17</v>
      </c>
      <c r="M334">
        <v>145</v>
      </c>
      <c r="N334" t="s">
        <v>27</v>
      </c>
      <c r="P334" t="e">
        <f t="shared" si="50"/>
        <v>#N/A</v>
      </c>
      <c r="Q334" t="e">
        <f t="shared" si="51"/>
        <v>#N/A</v>
      </c>
      <c r="R334" t="e">
        <f t="shared" si="52"/>
        <v>#N/A</v>
      </c>
      <c r="S334" t="e">
        <f t="shared" si="53"/>
        <v>#N/A</v>
      </c>
      <c r="T334">
        <f t="shared" si="54"/>
        <v>843000</v>
      </c>
      <c r="U334">
        <f t="shared" si="55"/>
        <v>178</v>
      </c>
      <c r="V334" t="e">
        <f t="shared" si="56"/>
        <v>#N/A</v>
      </c>
      <c r="W334" t="e">
        <f t="shared" si="57"/>
        <v>#N/A</v>
      </c>
      <c r="X334" t="e">
        <f t="shared" si="58"/>
        <v>#N/A</v>
      </c>
      <c r="Y334" t="e">
        <f t="shared" si="59"/>
        <v>#N/A</v>
      </c>
    </row>
    <row r="335" spans="1:25" x14ac:dyDescent="0.2">
      <c r="A335">
        <v>1333</v>
      </c>
      <c r="B335" t="s">
        <v>48</v>
      </c>
      <c r="C335" t="s">
        <v>15</v>
      </c>
      <c r="D335">
        <v>2024</v>
      </c>
      <c r="E335" t="s">
        <v>24</v>
      </c>
      <c r="F335">
        <v>115</v>
      </c>
      <c r="G335">
        <v>2</v>
      </c>
      <c r="H335">
        <v>2</v>
      </c>
      <c r="I335">
        <v>368000</v>
      </c>
      <c r="J335">
        <v>3200</v>
      </c>
      <c r="K335">
        <v>0</v>
      </c>
      <c r="L335" t="s">
        <v>17</v>
      </c>
      <c r="M335">
        <v>9</v>
      </c>
      <c r="N335" t="s">
        <v>27</v>
      </c>
      <c r="P335" t="e">
        <f t="shared" si="50"/>
        <v>#N/A</v>
      </c>
      <c r="Q335" t="e">
        <f t="shared" si="51"/>
        <v>#N/A</v>
      </c>
      <c r="R335">
        <f t="shared" si="52"/>
        <v>368000</v>
      </c>
      <c r="S335">
        <f t="shared" si="53"/>
        <v>115</v>
      </c>
      <c r="T335" t="e">
        <f t="shared" si="54"/>
        <v>#N/A</v>
      </c>
      <c r="U335" t="e">
        <f t="shared" si="55"/>
        <v>#N/A</v>
      </c>
      <c r="V335" t="e">
        <f t="shared" si="56"/>
        <v>#N/A</v>
      </c>
      <c r="W335" t="e">
        <f t="shared" si="57"/>
        <v>#N/A</v>
      </c>
      <c r="X335" t="e">
        <f t="shared" si="58"/>
        <v>#N/A</v>
      </c>
      <c r="Y335" t="e">
        <f t="shared" si="59"/>
        <v>#N/A</v>
      </c>
    </row>
    <row r="336" spans="1:25" x14ac:dyDescent="0.2">
      <c r="A336">
        <v>1334</v>
      </c>
      <c r="B336" t="s">
        <v>35</v>
      </c>
      <c r="C336" t="s">
        <v>23</v>
      </c>
      <c r="D336">
        <v>2021</v>
      </c>
      <c r="E336" t="s">
        <v>16</v>
      </c>
      <c r="F336">
        <v>281</v>
      </c>
      <c r="G336">
        <v>3</v>
      </c>
      <c r="H336">
        <v>3</v>
      </c>
      <c r="I336">
        <v>986000</v>
      </c>
      <c r="J336">
        <v>3508.9</v>
      </c>
      <c r="K336">
        <v>10</v>
      </c>
      <c r="L336" t="s">
        <v>17</v>
      </c>
      <c r="M336">
        <v>120</v>
      </c>
      <c r="N336" t="s">
        <v>18</v>
      </c>
      <c r="P336" t="e">
        <f t="shared" si="50"/>
        <v>#N/A</v>
      </c>
      <c r="Q336" t="e">
        <f t="shared" si="51"/>
        <v>#N/A</v>
      </c>
      <c r="R336" t="e">
        <f t="shared" si="52"/>
        <v>#N/A</v>
      </c>
      <c r="S336" t="e">
        <f t="shared" si="53"/>
        <v>#N/A</v>
      </c>
      <c r="T336">
        <f t="shared" si="54"/>
        <v>986000</v>
      </c>
      <c r="U336">
        <f t="shared" si="55"/>
        <v>281</v>
      </c>
      <c r="V336" t="e">
        <f t="shared" si="56"/>
        <v>#N/A</v>
      </c>
      <c r="W336" t="e">
        <f t="shared" si="57"/>
        <v>#N/A</v>
      </c>
      <c r="X336" t="e">
        <f t="shared" si="58"/>
        <v>#N/A</v>
      </c>
      <c r="Y336" t="e">
        <f t="shared" si="59"/>
        <v>#N/A</v>
      </c>
    </row>
    <row r="337" spans="1:25" x14ac:dyDescent="0.2">
      <c r="A337">
        <v>1335</v>
      </c>
      <c r="B337" t="s">
        <v>47</v>
      </c>
      <c r="C337" t="s">
        <v>15</v>
      </c>
      <c r="D337">
        <v>2021</v>
      </c>
      <c r="E337" t="s">
        <v>30</v>
      </c>
      <c r="F337">
        <v>195</v>
      </c>
      <c r="G337">
        <v>3</v>
      </c>
      <c r="H337">
        <v>3</v>
      </c>
      <c r="I337">
        <v>559000</v>
      </c>
      <c r="J337">
        <v>2866.7</v>
      </c>
      <c r="K337">
        <v>0</v>
      </c>
      <c r="L337" t="s">
        <v>17</v>
      </c>
      <c r="M337">
        <v>44</v>
      </c>
      <c r="N337" t="s">
        <v>21</v>
      </c>
      <c r="P337" t="e">
        <f t="shared" si="50"/>
        <v>#N/A</v>
      </c>
      <c r="Q337" t="e">
        <f t="shared" si="51"/>
        <v>#N/A</v>
      </c>
      <c r="R337">
        <f t="shared" si="52"/>
        <v>559000</v>
      </c>
      <c r="S337">
        <f t="shared" si="53"/>
        <v>195</v>
      </c>
      <c r="T337" t="e">
        <f t="shared" si="54"/>
        <v>#N/A</v>
      </c>
      <c r="U337" t="e">
        <f t="shared" si="55"/>
        <v>#N/A</v>
      </c>
      <c r="V337" t="e">
        <f t="shared" si="56"/>
        <v>#N/A</v>
      </c>
      <c r="W337" t="e">
        <f t="shared" si="57"/>
        <v>#N/A</v>
      </c>
      <c r="X337" t="e">
        <f t="shared" si="58"/>
        <v>#N/A</v>
      </c>
      <c r="Y337" t="e">
        <f t="shared" si="59"/>
        <v>#N/A</v>
      </c>
    </row>
    <row r="338" spans="1:25" x14ac:dyDescent="0.2">
      <c r="A338">
        <v>1336</v>
      </c>
      <c r="B338" t="s">
        <v>35</v>
      </c>
      <c r="C338" t="s">
        <v>15</v>
      </c>
      <c r="D338">
        <v>2022</v>
      </c>
      <c r="E338" t="s">
        <v>26</v>
      </c>
      <c r="F338">
        <v>170</v>
      </c>
      <c r="G338">
        <v>4</v>
      </c>
      <c r="H338">
        <v>4</v>
      </c>
      <c r="I338">
        <v>612000</v>
      </c>
      <c r="J338">
        <v>3600</v>
      </c>
      <c r="K338">
        <v>3</v>
      </c>
      <c r="L338" t="s">
        <v>17</v>
      </c>
      <c r="M338">
        <v>16</v>
      </c>
      <c r="N338" t="s">
        <v>18</v>
      </c>
      <c r="P338" t="e">
        <f t="shared" si="50"/>
        <v>#N/A</v>
      </c>
      <c r="Q338" t="e">
        <f t="shared" si="51"/>
        <v>#N/A</v>
      </c>
      <c r="R338">
        <f t="shared" si="52"/>
        <v>612000</v>
      </c>
      <c r="S338">
        <f t="shared" si="53"/>
        <v>170</v>
      </c>
      <c r="T338" t="e">
        <f t="shared" si="54"/>
        <v>#N/A</v>
      </c>
      <c r="U338" t="e">
        <f t="shared" si="55"/>
        <v>#N/A</v>
      </c>
      <c r="V338" t="e">
        <f t="shared" si="56"/>
        <v>#N/A</v>
      </c>
      <c r="W338" t="e">
        <f t="shared" si="57"/>
        <v>#N/A</v>
      </c>
      <c r="X338" t="e">
        <f t="shared" si="58"/>
        <v>#N/A</v>
      </c>
      <c r="Y338" t="e">
        <f t="shared" si="59"/>
        <v>#N/A</v>
      </c>
    </row>
    <row r="339" spans="1:25" x14ac:dyDescent="0.2">
      <c r="A339">
        <v>1337</v>
      </c>
      <c r="B339" t="s">
        <v>43</v>
      </c>
      <c r="C339" t="s">
        <v>29</v>
      </c>
      <c r="D339">
        <v>2021</v>
      </c>
      <c r="E339" t="s">
        <v>26</v>
      </c>
      <c r="F339">
        <v>243</v>
      </c>
      <c r="G339">
        <v>6</v>
      </c>
      <c r="H339">
        <v>6</v>
      </c>
      <c r="I339">
        <v>1419000</v>
      </c>
      <c r="J339">
        <v>5839.5</v>
      </c>
      <c r="K339">
        <v>0</v>
      </c>
      <c r="L339" t="s">
        <v>17</v>
      </c>
      <c r="M339">
        <v>149</v>
      </c>
      <c r="N339" t="s">
        <v>27</v>
      </c>
      <c r="P339">
        <f t="shared" si="50"/>
        <v>1419000</v>
      </c>
      <c r="Q339">
        <f t="shared" si="51"/>
        <v>243</v>
      </c>
      <c r="R339" t="e">
        <f t="shared" si="52"/>
        <v>#N/A</v>
      </c>
      <c r="S339" t="e">
        <f t="shared" si="53"/>
        <v>#N/A</v>
      </c>
      <c r="T339" t="e">
        <f t="shared" si="54"/>
        <v>#N/A</v>
      </c>
      <c r="U339" t="e">
        <f t="shared" si="55"/>
        <v>#N/A</v>
      </c>
      <c r="V339" t="e">
        <f t="shared" si="56"/>
        <v>#N/A</v>
      </c>
      <c r="W339" t="e">
        <f t="shared" si="57"/>
        <v>#N/A</v>
      </c>
      <c r="X339" t="e">
        <f t="shared" si="58"/>
        <v>#N/A</v>
      </c>
      <c r="Y339" t="e">
        <f t="shared" si="59"/>
        <v>#N/A</v>
      </c>
    </row>
    <row r="340" spans="1:25" x14ac:dyDescent="0.2">
      <c r="A340">
        <v>1338</v>
      </c>
      <c r="B340" t="s">
        <v>25</v>
      </c>
      <c r="C340" t="s">
        <v>36</v>
      </c>
      <c r="D340">
        <v>2023</v>
      </c>
      <c r="E340" t="s">
        <v>16</v>
      </c>
      <c r="F340">
        <v>261</v>
      </c>
      <c r="G340">
        <v>3</v>
      </c>
      <c r="H340">
        <v>3</v>
      </c>
      <c r="I340">
        <v>500000</v>
      </c>
      <c r="J340">
        <v>1915.7</v>
      </c>
      <c r="K340">
        <v>10</v>
      </c>
      <c r="L340" t="s">
        <v>34</v>
      </c>
      <c r="M340">
        <v>60</v>
      </c>
      <c r="N340" t="s">
        <v>27</v>
      </c>
      <c r="P340" t="e">
        <f t="shared" si="50"/>
        <v>#N/A</v>
      </c>
      <c r="Q340" t="e">
        <f t="shared" si="51"/>
        <v>#N/A</v>
      </c>
      <c r="R340" t="e">
        <f t="shared" si="52"/>
        <v>#N/A</v>
      </c>
      <c r="S340" t="e">
        <f t="shared" si="53"/>
        <v>#N/A</v>
      </c>
      <c r="T340" t="e">
        <f t="shared" si="54"/>
        <v>#N/A</v>
      </c>
      <c r="U340" t="e">
        <f t="shared" si="55"/>
        <v>#N/A</v>
      </c>
      <c r="V340" t="e">
        <f t="shared" si="56"/>
        <v>#N/A</v>
      </c>
      <c r="W340" t="e">
        <f t="shared" si="57"/>
        <v>#N/A</v>
      </c>
      <c r="X340">
        <f t="shared" si="58"/>
        <v>500000</v>
      </c>
      <c r="Y340">
        <f t="shared" si="59"/>
        <v>261</v>
      </c>
    </row>
    <row r="341" spans="1:25" x14ac:dyDescent="0.2">
      <c r="A341">
        <v>1339</v>
      </c>
      <c r="B341" t="s">
        <v>25</v>
      </c>
      <c r="C341" t="s">
        <v>29</v>
      </c>
      <c r="D341">
        <v>2023</v>
      </c>
      <c r="E341" t="s">
        <v>26</v>
      </c>
      <c r="F341">
        <v>512</v>
      </c>
      <c r="G341">
        <v>5</v>
      </c>
      <c r="H341">
        <v>5</v>
      </c>
      <c r="I341">
        <v>2155000</v>
      </c>
      <c r="J341">
        <v>4209</v>
      </c>
      <c r="K341">
        <v>2</v>
      </c>
      <c r="L341" t="s">
        <v>34</v>
      </c>
      <c r="M341">
        <v>174</v>
      </c>
      <c r="N341" t="s">
        <v>27</v>
      </c>
      <c r="P341">
        <f t="shared" si="50"/>
        <v>2155000</v>
      </c>
      <c r="Q341">
        <f t="shared" si="51"/>
        <v>512</v>
      </c>
      <c r="R341" t="e">
        <f t="shared" si="52"/>
        <v>#N/A</v>
      </c>
      <c r="S341" t="e">
        <f t="shared" si="53"/>
        <v>#N/A</v>
      </c>
      <c r="T341" t="e">
        <f t="shared" si="54"/>
        <v>#N/A</v>
      </c>
      <c r="U341" t="e">
        <f t="shared" si="55"/>
        <v>#N/A</v>
      </c>
      <c r="V341" t="e">
        <f t="shared" si="56"/>
        <v>#N/A</v>
      </c>
      <c r="W341" t="e">
        <f t="shared" si="57"/>
        <v>#N/A</v>
      </c>
      <c r="X341" t="e">
        <f t="shared" si="58"/>
        <v>#N/A</v>
      </c>
      <c r="Y341" t="e">
        <f t="shared" si="59"/>
        <v>#N/A</v>
      </c>
    </row>
    <row r="342" spans="1:25" x14ac:dyDescent="0.2">
      <c r="A342">
        <v>1340</v>
      </c>
      <c r="B342" t="s">
        <v>44</v>
      </c>
      <c r="C342" t="s">
        <v>29</v>
      </c>
      <c r="D342">
        <v>2023</v>
      </c>
      <c r="E342" t="s">
        <v>30</v>
      </c>
      <c r="F342">
        <v>471</v>
      </c>
      <c r="G342">
        <v>6</v>
      </c>
      <c r="H342">
        <v>6</v>
      </c>
      <c r="I342">
        <v>2451000</v>
      </c>
      <c r="J342">
        <v>5203.8</v>
      </c>
      <c r="K342">
        <v>15</v>
      </c>
      <c r="L342" t="s">
        <v>17</v>
      </c>
      <c r="M342">
        <v>74</v>
      </c>
      <c r="N342" t="s">
        <v>18</v>
      </c>
      <c r="P342">
        <f t="shared" si="50"/>
        <v>2451000</v>
      </c>
      <c r="Q342">
        <f t="shared" si="51"/>
        <v>471</v>
      </c>
      <c r="R342" t="e">
        <f t="shared" si="52"/>
        <v>#N/A</v>
      </c>
      <c r="S342" t="e">
        <f t="shared" si="53"/>
        <v>#N/A</v>
      </c>
      <c r="T342" t="e">
        <f t="shared" si="54"/>
        <v>#N/A</v>
      </c>
      <c r="U342" t="e">
        <f t="shared" si="55"/>
        <v>#N/A</v>
      </c>
      <c r="V342" t="e">
        <f t="shared" si="56"/>
        <v>#N/A</v>
      </c>
      <c r="W342" t="e">
        <f t="shared" si="57"/>
        <v>#N/A</v>
      </c>
      <c r="X342" t="e">
        <f t="shared" si="58"/>
        <v>#N/A</v>
      </c>
      <c r="Y342" t="e">
        <f t="shared" si="59"/>
        <v>#N/A</v>
      </c>
    </row>
    <row r="343" spans="1:25" x14ac:dyDescent="0.2">
      <c r="A343">
        <v>1341</v>
      </c>
      <c r="B343" t="s">
        <v>35</v>
      </c>
      <c r="C343" t="s">
        <v>29</v>
      </c>
      <c r="D343">
        <v>2022</v>
      </c>
      <c r="E343" t="s">
        <v>30</v>
      </c>
      <c r="F343">
        <v>602</v>
      </c>
      <c r="G343">
        <v>6</v>
      </c>
      <c r="H343">
        <v>6</v>
      </c>
      <c r="I343">
        <v>3236000</v>
      </c>
      <c r="J343">
        <v>5375.4</v>
      </c>
      <c r="K343">
        <v>7</v>
      </c>
      <c r="L343" t="s">
        <v>20</v>
      </c>
      <c r="M343">
        <v>75</v>
      </c>
      <c r="N343" t="s">
        <v>18</v>
      </c>
      <c r="P343">
        <f t="shared" si="50"/>
        <v>3236000</v>
      </c>
      <c r="Q343">
        <f t="shared" si="51"/>
        <v>602</v>
      </c>
      <c r="R343" t="e">
        <f t="shared" si="52"/>
        <v>#N/A</v>
      </c>
      <c r="S343" t="e">
        <f t="shared" si="53"/>
        <v>#N/A</v>
      </c>
      <c r="T343" t="e">
        <f t="shared" si="54"/>
        <v>#N/A</v>
      </c>
      <c r="U343" t="e">
        <f t="shared" si="55"/>
        <v>#N/A</v>
      </c>
      <c r="V343" t="e">
        <f t="shared" si="56"/>
        <v>#N/A</v>
      </c>
      <c r="W343" t="e">
        <f t="shared" si="57"/>
        <v>#N/A</v>
      </c>
      <c r="X343" t="e">
        <f t="shared" si="58"/>
        <v>#N/A</v>
      </c>
      <c r="Y343" t="e">
        <f t="shared" si="59"/>
        <v>#N/A</v>
      </c>
    </row>
    <row r="344" spans="1:25" x14ac:dyDescent="0.2">
      <c r="A344">
        <v>1342</v>
      </c>
      <c r="B344" t="s">
        <v>33</v>
      </c>
      <c r="C344" t="s">
        <v>15</v>
      </c>
      <c r="D344">
        <v>2024</v>
      </c>
      <c r="E344" t="s">
        <v>26</v>
      </c>
      <c r="F344">
        <v>131</v>
      </c>
      <c r="G344">
        <v>3</v>
      </c>
      <c r="H344">
        <v>3</v>
      </c>
      <c r="I344">
        <v>361000</v>
      </c>
      <c r="J344">
        <v>2755.7</v>
      </c>
      <c r="K344">
        <v>10</v>
      </c>
      <c r="L344" t="s">
        <v>17</v>
      </c>
      <c r="M344">
        <v>78</v>
      </c>
      <c r="N344" t="s">
        <v>27</v>
      </c>
      <c r="P344" t="e">
        <f t="shared" si="50"/>
        <v>#N/A</v>
      </c>
      <c r="Q344" t="e">
        <f t="shared" si="51"/>
        <v>#N/A</v>
      </c>
      <c r="R344">
        <f t="shared" si="52"/>
        <v>361000</v>
      </c>
      <c r="S344">
        <f t="shared" si="53"/>
        <v>131</v>
      </c>
      <c r="T344" t="e">
        <f t="shared" si="54"/>
        <v>#N/A</v>
      </c>
      <c r="U344" t="e">
        <f t="shared" si="55"/>
        <v>#N/A</v>
      </c>
      <c r="V344" t="e">
        <f t="shared" si="56"/>
        <v>#N/A</v>
      </c>
      <c r="W344" t="e">
        <f t="shared" si="57"/>
        <v>#N/A</v>
      </c>
      <c r="X344" t="e">
        <f t="shared" si="58"/>
        <v>#N/A</v>
      </c>
      <c r="Y344" t="e">
        <f t="shared" si="59"/>
        <v>#N/A</v>
      </c>
    </row>
    <row r="345" spans="1:25" x14ac:dyDescent="0.2">
      <c r="A345">
        <v>1343</v>
      </c>
      <c r="B345" t="s">
        <v>33</v>
      </c>
      <c r="C345" t="s">
        <v>29</v>
      </c>
      <c r="D345">
        <v>2022</v>
      </c>
      <c r="E345" t="s">
        <v>16</v>
      </c>
      <c r="F345">
        <v>352</v>
      </c>
      <c r="G345">
        <v>6</v>
      </c>
      <c r="H345">
        <v>6</v>
      </c>
      <c r="I345">
        <v>1392000</v>
      </c>
      <c r="J345">
        <v>3954.5</v>
      </c>
      <c r="K345">
        <v>5</v>
      </c>
      <c r="L345" t="s">
        <v>34</v>
      </c>
      <c r="M345">
        <v>91</v>
      </c>
      <c r="N345" t="s">
        <v>27</v>
      </c>
      <c r="P345">
        <f t="shared" si="50"/>
        <v>1392000</v>
      </c>
      <c r="Q345">
        <f t="shared" si="51"/>
        <v>352</v>
      </c>
      <c r="R345" t="e">
        <f t="shared" si="52"/>
        <v>#N/A</v>
      </c>
      <c r="S345" t="e">
        <f t="shared" si="53"/>
        <v>#N/A</v>
      </c>
      <c r="T345" t="e">
        <f t="shared" si="54"/>
        <v>#N/A</v>
      </c>
      <c r="U345" t="e">
        <f t="shared" si="55"/>
        <v>#N/A</v>
      </c>
      <c r="V345" t="e">
        <f t="shared" si="56"/>
        <v>#N/A</v>
      </c>
      <c r="W345" t="e">
        <f t="shared" si="57"/>
        <v>#N/A</v>
      </c>
      <c r="X345" t="e">
        <f t="shared" si="58"/>
        <v>#N/A</v>
      </c>
      <c r="Y345" t="e">
        <f t="shared" si="59"/>
        <v>#N/A</v>
      </c>
    </row>
    <row r="346" spans="1:25" x14ac:dyDescent="0.2">
      <c r="A346">
        <v>1344</v>
      </c>
      <c r="B346" t="s">
        <v>47</v>
      </c>
      <c r="C346" t="s">
        <v>29</v>
      </c>
      <c r="D346">
        <v>2022</v>
      </c>
      <c r="E346" t="s">
        <v>24</v>
      </c>
      <c r="F346">
        <v>426</v>
      </c>
      <c r="G346">
        <v>5</v>
      </c>
      <c r="H346">
        <v>5</v>
      </c>
      <c r="I346">
        <v>1964000</v>
      </c>
      <c r="J346">
        <v>4610.3</v>
      </c>
      <c r="K346">
        <v>10</v>
      </c>
      <c r="L346" t="s">
        <v>20</v>
      </c>
      <c r="M346">
        <v>109</v>
      </c>
      <c r="N346" t="s">
        <v>21</v>
      </c>
      <c r="P346">
        <f t="shared" si="50"/>
        <v>1964000</v>
      </c>
      <c r="Q346">
        <f t="shared" si="51"/>
        <v>426</v>
      </c>
      <c r="R346" t="e">
        <f t="shared" si="52"/>
        <v>#N/A</v>
      </c>
      <c r="S346" t="e">
        <f t="shared" si="53"/>
        <v>#N/A</v>
      </c>
      <c r="T346" t="e">
        <f t="shared" si="54"/>
        <v>#N/A</v>
      </c>
      <c r="U346" t="e">
        <f t="shared" si="55"/>
        <v>#N/A</v>
      </c>
      <c r="V346" t="e">
        <f t="shared" si="56"/>
        <v>#N/A</v>
      </c>
      <c r="W346" t="e">
        <f t="shared" si="57"/>
        <v>#N/A</v>
      </c>
      <c r="X346" t="e">
        <f t="shared" si="58"/>
        <v>#N/A</v>
      </c>
      <c r="Y346" t="e">
        <f t="shared" si="59"/>
        <v>#N/A</v>
      </c>
    </row>
    <row r="347" spans="1:25" x14ac:dyDescent="0.2">
      <c r="A347">
        <v>1345</v>
      </c>
      <c r="B347" t="s">
        <v>37</v>
      </c>
      <c r="C347" t="s">
        <v>15</v>
      </c>
      <c r="D347">
        <v>2023</v>
      </c>
      <c r="E347" t="s">
        <v>16</v>
      </c>
      <c r="F347">
        <v>131</v>
      </c>
      <c r="G347">
        <v>3</v>
      </c>
      <c r="H347">
        <v>3</v>
      </c>
      <c r="I347">
        <v>603000</v>
      </c>
      <c r="J347">
        <v>4603.1000000000004</v>
      </c>
      <c r="K347">
        <v>2</v>
      </c>
      <c r="L347" t="s">
        <v>17</v>
      </c>
      <c r="M347">
        <v>177</v>
      </c>
      <c r="N347" t="s">
        <v>27</v>
      </c>
      <c r="P347" t="e">
        <f t="shared" si="50"/>
        <v>#N/A</v>
      </c>
      <c r="Q347" t="e">
        <f t="shared" si="51"/>
        <v>#N/A</v>
      </c>
      <c r="R347">
        <f t="shared" si="52"/>
        <v>603000</v>
      </c>
      <c r="S347">
        <f t="shared" si="53"/>
        <v>131</v>
      </c>
      <c r="T347" t="e">
        <f t="shared" si="54"/>
        <v>#N/A</v>
      </c>
      <c r="U347" t="e">
        <f t="shared" si="55"/>
        <v>#N/A</v>
      </c>
      <c r="V347" t="e">
        <f t="shared" si="56"/>
        <v>#N/A</v>
      </c>
      <c r="W347" t="e">
        <f t="shared" si="57"/>
        <v>#N/A</v>
      </c>
      <c r="X347" t="e">
        <f t="shared" si="58"/>
        <v>#N/A</v>
      </c>
      <c r="Y347" t="e">
        <f t="shared" si="59"/>
        <v>#N/A</v>
      </c>
    </row>
    <row r="348" spans="1:25" x14ac:dyDescent="0.2">
      <c r="A348">
        <v>1346</v>
      </c>
      <c r="B348" t="s">
        <v>22</v>
      </c>
      <c r="C348" t="s">
        <v>29</v>
      </c>
      <c r="D348">
        <v>2023</v>
      </c>
      <c r="E348" t="s">
        <v>30</v>
      </c>
      <c r="F348">
        <v>503</v>
      </c>
      <c r="G348">
        <v>6</v>
      </c>
      <c r="H348">
        <v>6</v>
      </c>
      <c r="I348">
        <v>2674000</v>
      </c>
      <c r="J348">
        <v>5316.1</v>
      </c>
      <c r="K348">
        <v>10</v>
      </c>
      <c r="L348" t="s">
        <v>34</v>
      </c>
      <c r="M348">
        <v>52</v>
      </c>
      <c r="N348" t="s">
        <v>18</v>
      </c>
      <c r="P348">
        <f t="shared" si="50"/>
        <v>2674000</v>
      </c>
      <c r="Q348">
        <f t="shared" si="51"/>
        <v>503</v>
      </c>
      <c r="R348" t="e">
        <f t="shared" si="52"/>
        <v>#N/A</v>
      </c>
      <c r="S348" t="e">
        <f t="shared" si="53"/>
        <v>#N/A</v>
      </c>
      <c r="T348" t="e">
        <f t="shared" si="54"/>
        <v>#N/A</v>
      </c>
      <c r="U348" t="e">
        <f t="shared" si="55"/>
        <v>#N/A</v>
      </c>
      <c r="V348" t="e">
        <f t="shared" si="56"/>
        <v>#N/A</v>
      </c>
      <c r="W348" t="e">
        <f t="shared" si="57"/>
        <v>#N/A</v>
      </c>
      <c r="X348" t="e">
        <f t="shared" si="58"/>
        <v>#N/A</v>
      </c>
      <c r="Y348" t="e">
        <f t="shared" si="59"/>
        <v>#N/A</v>
      </c>
    </row>
    <row r="349" spans="1:25" x14ac:dyDescent="0.2">
      <c r="A349">
        <v>1347</v>
      </c>
      <c r="B349" t="s">
        <v>42</v>
      </c>
      <c r="C349" t="s">
        <v>38</v>
      </c>
      <c r="D349">
        <v>2021</v>
      </c>
      <c r="E349" t="s">
        <v>30</v>
      </c>
      <c r="F349">
        <v>50</v>
      </c>
      <c r="G349">
        <v>0</v>
      </c>
      <c r="H349">
        <v>1</v>
      </c>
      <c r="I349">
        <v>278000</v>
      </c>
      <c r="J349">
        <v>5560</v>
      </c>
      <c r="K349">
        <v>0</v>
      </c>
      <c r="L349" t="s">
        <v>20</v>
      </c>
      <c r="M349">
        <v>142</v>
      </c>
      <c r="N349" t="s">
        <v>21</v>
      </c>
      <c r="P349" t="e">
        <f t="shared" si="50"/>
        <v>#N/A</v>
      </c>
      <c r="Q349" t="e">
        <f t="shared" si="51"/>
        <v>#N/A</v>
      </c>
      <c r="R349" t="e">
        <f t="shared" si="52"/>
        <v>#N/A</v>
      </c>
      <c r="S349" t="e">
        <f t="shared" si="53"/>
        <v>#N/A</v>
      </c>
      <c r="T349" t="e">
        <f t="shared" si="54"/>
        <v>#N/A</v>
      </c>
      <c r="U349" t="e">
        <f t="shared" si="55"/>
        <v>#N/A</v>
      </c>
      <c r="V349">
        <f t="shared" si="56"/>
        <v>278000</v>
      </c>
      <c r="W349">
        <f t="shared" si="57"/>
        <v>50</v>
      </c>
      <c r="X349" t="e">
        <f t="shared" si="58"/>
        <v>#N/A</v>
      </c>
      <c r="Y349" t="e">
        <f t="shared" si="59"/>
        <v>#N/A</v>
      </c>
    </row>
    <row r="350" spans="1:25" x14ac:dyDescent="0.2">
      <c r="A350">
        <v>1348</v>
      </c>
      <c r="B350" t="s">
        <v>44</v>
      </c>
      <c r="C350" t="s">
        <v>23</v>
      </c>
      <c r="D350">
        <v>2022</v>
      </c>
      <c r="E350" t="s">
        <v>30</v>
      </c>
      <c r="F350">
        <v>267</v>
      </c>
      <c r="G350">
        <v>4</v>
      </c>
      <c r="H350">
        <v>4</v>
      </c>
      <c r="I350">
        <v>974000</v>
      </c>
      <c r="J350">
        <v>3647.9</v>
      </c>
      <c r="K350">
        <v>10</v>
      </c>
      <c r="L350" t="s">
        <v>20</v>
      </c>
      <c r="M350">
        <v>157</v>
      </c>
      <c r="N350" t="s">
        <v>18</v>
      </c>
      <c r="P350" t="e">
        <f t="shared" si="50"/>
        <v>#N/A</v>
      </c>
      <c r="Q350" t="e">
        <f t="shared" si="51"/>
        <v>#N/A</v>
      </c>
      <c r="R350" t="e">
        <f t="shared" si="52"/>
        <v>#N/A</v>
      </c>
      <c r="S350" t="e">
        <f t="shared" si="53"/>
        <v>#N/A</v>
      </c>
      <c r="T350">
        <f t="shared" si="54"/>
        <v>974000</v>
      </c>
      <c r="U350">
        <f t="shared" si="55"/>
        <v>267</v>
      </c>
      <c r="V350" t="e">
        <f t="shared" si="56"/>
        <v>#N/A</v>
      </c>
      <c r="W350" t="e">
        <f t="shared" si="57"/>
        <v>#N/A</v>
      </c>
      <c r="X350" t="e">
        <f t="shared" si="58"/>
        <v>#N/A</v>
      </c>
      <c r="Y350" t="e">
        <f t="shared" si="59"/>
        <v>#N/A</v>
      </c>
    </row>
    <row r="351" spans="1:25" x14ac:dyDescent="0.2">
      <c r="A351">
        <v>1349</v>
      </c>
      <c r="B351" t="s">
        <v>31</v>
      </c>
      <c r="C351" t="s">
        <v>38</v>
      </c>
      <c r="D351">
        <v>2024</v>
      </c>
      <c r="E351" t="s">
        <v>16</v>
      </c>
      <c r="F351">
        <v>45</v>
      </c>
      <c r="G351">
        <v>0</v>
      </c>
      <c r="H351">
        <v>1</v>
      </c>
      <c r="I351">
        <v>171000</v>
      </c>
      <c r="J351">
        <v>3800</v>
      </c>
      <c r="K351">
        <v>3</v>
      </c>
      <c r="L351" t="s">
        <v>34</v>
      </c>
      <c r="M351">
        <v>124</v>
      </c>
      <c r="N351" t="s">
        <v>21</v>
      </c>
      <c r="P351" t="e">
        <f t="shared" si="50"/>
        <v>#N/A</v>
      </c>
      <c r="Q351" t="e">
        <f t="shared" si="51"/>
        <v>#N/A</v>
      </c>
      <c r="R351" t="e">
        <f t="shared" si="52"/>
        <v>#N/A</v>
      </c>
      <c r="S351" t="e">
        <f t="shared" si="53"/>
        <v>#N/A</v>
      </c>
      <c r="T351" t="e">
        <f t="shared" si="54"/>
        <v>#N/A</v>
      </c>
      <c r="U351" t="e">
        <f t="shared" si="55"/>
        <v>#N/A</v>
      </c>
      <c r="V351">
        <f t="shared" si="56"/>
        <v>171000</v>
      </c>
      <c r="W351">
        <f t="shared" si="57"/>
        <v>45</v>
      </c>
      <c r="X351" t="e">
        <f t="shared" si="58"/>
        <v>#N/A</v>
      </c>
      <c r="Y351" t="e">
        <f t="shared" si="59"/>
        <v>#N/A</v>
      </c>
    </row>
    <row r="352" spans="1:25" x14ac:dyDescent="0.2">
      <c r="A352">
        <v>1350</v>
      </c>
      <c r="B352" t="s">
        <v>31</v>
      </c>
      <c r="C352" t="s">
        <v>15</v>
      </c>
      <c r="D352">
        <v>2023</v>
      </c>
      <c r="E352" t="s">
        <v>16</v>
      </c>
      <c r="F352">
        <v>168</v>
      </c>
      <c r="G352">
        <v>4</v>
      </c>
      <c r="H352">
        <v>4</v>
      </c>
      <c r="I352">
        <v>501000</v>
      </c>
      <c r="J352">
        <v>2982.1</v>
      </c>
      <c r="K352">
        <v>5</v>
      </c>
      <c r="L352" t="s">
        <v>17</v>
      </c>
      <c r="M352">
        <v>140</v>
      </c>
      <c r="N352" t="s">
        <v>21</v>
      </c>
      <c r="P352" t="e">
        <f t="shared" si="50"/>
        <v>#N/A</v>
      </c>
      <c r="Q352" t="e">
        <f t="shared" si="51"/>
        <v>#N/A</v>
      </c>
      <c r="R352">
        <f t="shared" si="52"/>
        <v>501000</v>
      </c>
      <c r="S352">
        <f t="shared" si="53"/>
        <v>168</v>
      </c>
      <c r="T352" t="e">
        <f t="shared" si="54"/>
        <v>#N/A</v>
      </c>
      <c r="U352" t="e">
        <f t="shared" si="55"/>
        <v>#N/A</v>
      </c>
      <c r="V352" t="e">
        <f t="shared" si="56"/>
        <v>#N/A</v>
      </c>
      <c r="W352" t="e">
        <f t="shared" si="57"/>
        <v>#N/A</v>
      </c>
      <c r="X352" t="e">
        <f t="shared" si="58"/>
        <v>#N/A</v>
      </c>
      <c r="Y352" t="e">
        <f t="shared" si="59"/>
        <v>#N/A</v>
      </c>
    </row>
    <row r="353" spans="1:25" x14ac:dyDescent="0.2">
      <c r="A353">
        <v>1351</v>
      </c>
      <c r="B353" t="s">
        <v>40</v>
      </c>
      <c r="C353" t="s">
        <v>15</v>
      </c>
      <c r="D353">
        <v>2022</v>
      </c>
      <c r="E353" t="s">
        <v>30</v>
      </c>
      <c r="F353">
        <v>117</v>
      </c>
      <c r="G353">
        <v>3</v>
      </c>
      <c r="H353">
        <v>3</v>
      </c>
      <c r="I353">
        <v>393000</v>
      </c>
      <c r="J353">
        <v>3359</v>
      </c>
      <c r="K353">
        <v>0</v>
      </c>
      <c r="L353" t="s">
        <v>20</v>
      </c>
      <c r="M353">
        <v>48</v>
      </c>
      <c r="N353" t="s">
        <v>18</v>
      </c>
      <c r="P353" t="e">
        <f t="shared" si="50"/>
        <v>#N/A</v>
      </c>
      <c r="Q353" t="e">
        <f t="shared" si="51"/>
        <v>#N/A</v>
      </c>
      <c r="R353">
        <f t="shared" si="52"/>
        <v>393000</v>
      </c>
      <c r="S353">
        <f t="shared" si="53"/>
        <v>117</v>
      </c>
      <c r="T353" t="e">
        <f t="shared" si="54"/>
        <v>#N/A</v>
      </c>
      <c r="U353" t="e">
        <f t="shared" si="55"/>
        <v>#N/A</v>
      </c>
      <c r="V353" t="e">
        <f t="shared" si="56"/>
        <v>#N/A</v>
      </c>
      <c r="W353" t="e">
        <f t="shared" si="57"/>
        <v>#N/A</v>
      </c>
      <c r="X353" t="e">
        <f t="shared" si="58"/>
        <v>#N/A</v>
      </c>
      <c r="Y353" t="e">
        <f t="shared" si="59"/>
        <v>#N/A</v>
      </c>
    </row>
    <row r="354" spans="1:25" x14ac:dyDescent="0.2">
      <c r="A354">
        <v>1352</v>
      </c>
      <c r="B354" t="s">
        <v>22</v>
      </c>
      <c r="C354" t="s">
        <v>29</v>
      </c>
      <c r="D354">
        <v>2023</v>
      </c>
      <c r="E354" t="s">
        <v>30</v>
      </c>
      <c r="F354">
        <v>453</v>
      </c>
      <c r="G354">
        <v>5</v>
      </c>
      <c r="H354">
        <v>5</v>
      </c>
      <c r="I354">
        <v>2466000</v>
      </c>
      <c r="J354">
        <v>5443.7</v>
      </c>
      <c r="K354">
        <v>1</v>
      </c>
      <c r="L354" t="s">
        <v>17</v>
      </c>
      <c r="M354">
        <v>10</v>
      </c>
      <c r="N354" t="s">
        <v>18</v>
      </c>
      <c r="P354">
        <f t="shared" si="50"/>
        <v>2466000</v>
      </c>
      <c r="Q354">
        <f t="shared" si="51"/>
        <v>453</v>
      </c>
      <c r="R354" t="e">
        <f t="shared" si="52"/>
        <v>#N/A</v>
      </c>
      <c r="S354" t="e">
        <f t="shared" si="53"/>
        <v>#N/A</v>
      </c>
      <c r="T354" t="e">
        <f t="shared" si="54"/>
        <v>#N/A</v>
      </c>
      <c r="U354" t="e">
        <f t="shared" si="55"/>
        <v>#N/A</v>
      </c>
      <c r="V354" t="e">
        <f t="shared" si="56"/>
        <v>#N/A</v>
      </c>
      <c r="W354" t="e">
        <f t="shared" si="57"/>
        <v>#N/A</v>
      </c>
      <c r="X354" t="e">
        <f t="shared" si="58"/>
        <v>#N/A</v>
      </c>
      <c r="Y354" t="e">
        <f t="shared" si="59"/>
        <v>#N/A</v>
      </c>
    </row>
    <row r="355" spans="1:25" x14ac:dyDescent="0.2">
      <c r="A355">
        <v>1353</v>
      </c>
      <c r="B355" t="s">
        <v>25</v>
      </c>
      <c r="C355" t="s">
        <v>38</v>
      </c>
      <c r="D355">
        <v>2023</v>
      </c>
      <c r="E355" t="s">
        <v>26</v>
      </c>
      <c r="F355">
        <v>74</v>
      </c>
      <c r="G355">
        <v>0</v>
      </c>
      <c r="H355">
        <v>1</v>
      </c>
      <c r="I355">
        <v>251000</v>
      </c>
      <c r="J355">
        <v>3391.9</v>
      </c>
      <c r="K355">
        <v>1</v>
      </c>
      <c r="L355" t="s">
        <v>20</v>
      </c>
      <c r="M355">
        <v>13</v>
      </c>
      <c r="N355" t="s">
        <v>27</v>
      </c>
      <c r="P355" t="e">
        <f t="shared" si="50"/>
        <v>#N/A</v>
      </c>
      <c r="Q355" t="e">
        <f t="shared" si="51"/>
        <v>#N/A</v>
      </c>
      <c r="R355" t="e">
        <f t="shared" si="52"/>
        <v>#N/A</v>
      </c>
      <c r="S355" t="e">
        <f t="shared" si="53"/>
        <v>#N/A</v>
      </c>
      <c r="T355" t="e">
        <f t="shared" si="54"/>
        <v>#N/A</v>
      </c>
      <c r="U355" t="e">
        <f t="shared" si="55"/>
        <v>#N/A</v>
      </c>
      <c r="V355">
        <f t="shared" si="56"/>
        <v>251000</v>
      </c>
      <c r="W355">
        <f t="shared" si="57"/>
        <v>74</v>
      </c>
      <c r="X355" t="e">
        <f t="shared" si="58"/>
        <v>#N/A</v>
      </c>
      <c r="Y355" t="e">
        <f t="shared" si="59"/>
        <v>#N/A</v>
      </c>
    </row>
    <row r="356" spans="1:25" x14ac:dyDescent="0.2">
      <c r="A356">
        <v>1354</v>
      </c>
      <c r="B356" t="s">
        <v>37</v>
      </c>
      <c r="C356" t="s">
        <v>15</v>
      </c>
      <c r="D356">
        <v>2024</v>
      </c>
      <c r="E356" t="s">
        <v>30</v>
      </c>
      <c r="F356">
        <v>92</v>
      </c>
      <c r="G356">
        <v>3</v>
      </c>
      <c r="H356">
        <v>3</v>
      </c>
      <c r="I356">
        <v>420000</v>
      </c>
      <c r="J356">
        <v>4565.2</v>
      </c>
      <c r="K356">
        <v>2</v>
      </c>
      <c r="L356" t="s">
        <v>17</v>
      </c>
      <c r="M356">
        <v>40</v>
      </c>
      <c r="N356" t="s">
        <v>27</v>
      </c>
      <c r="P356" t="e">
        <f t="shared" si="50"/>
        <v>#N/A</v>
      </c>
      <c r="Q356" t="e">
        <f t="shared" si="51"/>
        <v>#N/A</v>
      </c>
      <c r="R356">
        <f t="shared" si="52"/>
        <v>420000</v>
      </c>
      <c r="S356">
        <f t="shared" si="53"/>
        <v>92</v>
      </c>
      <c r="T356" t="e">
        <f t="shared" si="54"/>
        <v>#N/A</v>
      </c>
      <c r="U356" t="e">
        <f t="shared" si="55"/>
        <v>#N/A</v>
      </c>
      <c r="V356" t="e">
        <f t="shared" si="56"/>
        <v>#N/A</v>
      </c>
      <c r="W356" t="e">
        <f t="shared" si="57"/>
        <v>#N/A</v>
      </c>
      <c r="X356" t="e">
        <f t="shared" si="58"/>
        <v>#N/A</v>
      </c>
      <c r="Y356" t="e">
        <f t="shared" si="59"/>
        <v>#N/A</v>
      </c>
    </row>
    <row r="357" spans="1:25" x14ac:dyDescent="0.2">
      <c r="A357">
        <v>1355</v>
      </c>
      <c r="B357" t="s">
        <v>25</v>
      </c>
      <c r="C357" t="s">
        <v>29</v>
      </c>
      <c r="D357">
        <v>2021</v>
      </c>
      <c r="E357" t="s">
        <v>30</v>
      </c>
      <c r="F357">
        <v>540</v>
      </c>
      <c r="G357">
        <v>5</v>
      </c>
      <c r="H357">
        <v>5</v>
      </c>
      <c r="I357">
        <v>1988000</v>
      </c>
      <c r="J357">
        <v>3681.5</v>
      </c>
      <c r="K357">
        <v>5</v>
      </c>
      <c r="L357" t="s">
        <v>17</v>
      </c>
      <c r="M357">
        <v>173</v>
      </c>
      <c r="N357" t="s">
        <v>27</v>
      </c>
      <c r="P357">
        <f t="shared" si="50"/>
        <v>1988000</v>
      </c>
      <c r="Q357">
        <f t="shared" si="51"/>
        <v>540</v>
      </c>
      <c r="R357" t="e">
        <f t="shared" si="52"/>
        <v>#N/A</v>
      </c>
      <c r="S357" t="e">
        <f t="shared" si="53"/>
        <v>#N/A</v>
      </c>
      <c r="T357" t="e">
        <f t="shared" si="54"/>
        <v>#N/A</v>
      </c>
      <c r="U357" t="e">
        <f t="shared" si="55"/>
        <v>#N/A</v>
      </c>
      <c r="V357" t="e">
        <f t="shared" si="56"/>
        <v>#N/A</v>
      </c>
      <c r="W357" t="e">
        <f t="shared" si="57"/>
        <v>#N/A</v>
      </c>
      <c r="X357" t="e">
        <f t="shared" si="58"/>
        <v>#N/A</v>
      </c>
      <c r="Y357" t="e">
        <f t="shared" si="59"/>
        <v>#N/A</v>
      </c>
    </row>
    <row r="358" spans="1:25" x14ac:dyDescent="0.2">
      <c r="A358">
        <v>1356</v>
      </c>
      <c r="B358" t="s">
        <v>32</v>
      </c>
      <c r="C358" t="s">
        <v>15</v>
      </c>
      <c r="D358">
        <v>2021</v>
      </c>
      <c r="E358" t="s">
        <v>26</v>
      </c>
      <c r="F358">
        <v>153</v>
      </c>
      <c r="G358">
        <v>3</v>
      </c>
      <c r="H358">
        <v>3</v>
      </c>
      <c r="I358">
        <v>386000</v>
      </c>
      <c r="J358">
        <v>2522.9</v>
      </c>
      <c r="K358">
        <v>15</v>
      </c>
      <c r="L358" t="s">
        <v>17</v>
      </c>
      <c r="M358">
        <v>145</v>
      </c>
      <c r="N358" t="s">
        <v>18</v>
      </c>
      <c r="P358" t="e">
        <f t="shared" si="50"/>
        <v>#N/A</v>
      </c>
      <c r="Q358" t="e">
        <f t="shared" si="51"/>
        <v>#N/A</v>
      </c>
      <c r="R358">
        <f t="shared" si="52"/>
        <v>386000</v>
      </c>
      <c r="S358">
        <f t="shared" si="53"/>
        <v>153</v>
      </c>
      <c r="T358" t="e">
        <f t="shared" si="54"/>
        <v>#N/A</v>
      </c>
      <c r="U358" t="e">
        <f t="shared" si="55"/>
        <v>#N/A</v>
      </c>
      <c r="V358" t="e">
        <f t="shared" si="56"/>
        <v>#N/A</v>
      </c>
      <c r="W358" t="e">
        <f t="shared" si="57"/>
        <v>#N/A</v>
      </c>
      <c r="X358" t="e">
        <f t="shared" si="58"/>
        <v>#N/A</v>
      </c>
      <c r="Y358" t="e">
        <f t="shared" si="59"/>
        <v>#N/A</v>
      </c>
    </row>
    <row r="359" spans="1:25" x14ac:dyDescent="0.2">
      <c r="A359">
        <v>1357</v>
      </c>
      <c r="B359" t="s">
        <v>48</v>
      </c>
      <c r="C359" t="s">
        <v>29</v>
      </c>
      <c r="D359">
        <v>2023</v>
      </c>
      <c r="E359" t="s">
        <v>16</v>
      </c>
      <c r="F359">
        <v>330</v>
      </c>
      <c r="G359">
        <v>4</v>
      </c>
      <c r="H359">
        <v>4</v>
      </c>
      <c r="I359">
        <v>1593000</v>
      </c>
      <c r="J359">
        <v>4827.3</v>
      </c>
      <c r="K359">
        <v>20</v>
      </c>
      <c r="L359" t="s">
        <v>34</v>
      </c>
      <c r="M359">
        <v>96</v>
      </c>
      <c r="N359" t="s">
        <v>27</v>
      </c>
      <c r="P359">
        <f t="shared" si="50"/>
        <v>1593000</v>
      </c>
      <c r="Q359">
        <f t="shared" si="51"/>
        <v>330</v>
      </c>
      <c r="R359" t="e">
        <f t="shared" si="52"/>
        <v>#N/A</v>
      </c>
      <c r="S359" t="e">
        <f t="shared" si="53"/>
        <v>#N/A</v>
      </c>
      <c r="T359" t="e">
        <f t="shared" si="54"/>
        <v>#N/A</v>
      </c>
      <c r="U359" t="e">
        <f t="shared" si="55"/>
        <v>#N/A</v>
      </c>
      <c r="V359" t="e">
        <f t="shared" si="56"/>
        <v>#N/A</v>
      </c>
      <c r="W359" t="e">
        <f t="shared" si="57"/>
        <v>#N/A</v>
      </c>
      <c r="X359" t="e">
        <f t="shared" si="58"/>
        <v>#N/A</v>
      </c>
      <c r="Y359" t="e">
        <f t="shared" si="59"/>
        <v>#N/A</v>
      </c>
    </row>
    <row r="360" spans="1:25" x14ac:dyDescent="0.2">
      <c r="A360">
        <v>1358</v>
      </c>
      <c r="B360" t="s">
        <v>39</v>
      </c>
      <c r="C360" t="s">
        <v>15</v>
      </c>
      <c r="D360">
        <v>2022</v>
      </c>
      <c r="E360" t="s">
        <v>26</v>
      </c>
      <c r="F360">
        <v>148</v>
      </c>
      <c r="G360">
        <v>2</v>
      </c>
      <c r="H360">
        <v>2</v>
      </c>
      <c r="I360">
        <v>564000</v>
      </c>
      <c r="J360">
        <v>3810.8</v>
      </c>
      <c r="K360">
        <v>10</v>
      </c>
      <c r="L360" t="s">
        <v>20</v>
      </c>
      <c r="M360">
        <v>124</v>
      </c>
      <c r="N360" t="s">
        <v>21</v>
      </c>
      <c r="P360" t="e">
        <f t="shared" si="50"/>
        <v>#N/A</v>
      </c>
      <c r="Q360" t="e">
        <f t="shared" si="51"/>
        <v>#N/A</v>
      </c>
      <c r="R360">
        <f t="shared" si="52"/>
        <v>564000</v>
      </c>
      <c r="S360">
        <f t="shared" si="53"/>
        <v>148</v>
      </c>
      <c r="T360" t="e">
        <f t="shared" si="54"/>
        <v>#N/A</v>
      </c>
      <c r="U360" t="e">
        <f t="shared" si="55"/>
        <v>#N/A</v>
      </c>
      <c r="V360" t="e">
        <f t="shared" si="56"/>
        <v>#N/A</v>
      </c>
      <c r="W360" t="e">
        <f t="shared" si="57"/>
        <v>#N/A</v>
      </c>
      <c r="X360" t="e">
        <f t="shared" si="58"/>
        <v>#N/A</v>
      </c>
      <c r="Y360" t="e">
        <f t="shared" si="59"/>
        <v>#N/A</v>
      </c>
    </row>
    <row r="361" spans="1:25" x14ac:dyDescent="0.2">
      <c r="A361">
        <v>1359</v>
      </c>
      <c r="B361" t="s">
        <v>41</v>
      </c>
      <c r="C361" t="s">
        <v>29</v>
      </c>
      <c r="D361">
        <v>2023</v>
      </c>
      <c r="E361" t="s">
        <v>30</v>
      </c>
      <c r="F361">
        <v>478</v>
      </c>
      <c r="G361">
        <v>4</v>
      </c>
      <c r="H361">
        <v>4</v>
      </c>
      <c r="I361">
        <v>3813000</v>
      </c>
      <c r="J361">
        <v>7977</v>
      </c>
      <c r="K361">
        <v>10</v>
      </c>
      <c r="L361" t="s">
        <v>17</v>
      </c>
      <c r="M361">
        <v>104</v>
      </c>
      <c r="N361" t="s">
        <v>21</v>
      </c>
      <c r="P361">
        <f t="shared" si="50"/>
        <v>3813000</v>
      </c>
      <c r="Q361">
        <f t="shared" si="51"/>
        <v>478</v>
      </c>
      <c r="R361" t="e">
        <f t="shared" si="52"/>
        <v>#N/A</v>
      </c>
      <c r="S361" t="e">
        <f t="shared" si="53"/>
        <v>#N/A</v>
      </c>
      <c r="T361" t="e">
        <f t="shared" si="54"/>
        <v>#N/A</v>
      </c>
      <c r="U361" t="e">
        <f t="shared" si="55"/>
        <v>#N/A</v>
      </c>
      <c r="V361" t="e">
        <f t="shared" si="56"/>
        <v>#N/A</v>
      </c>
      <c r="W361" t="e">
        <f t="shared" si="57"/>
        <v>#N/A</v>
      </c>
      <c r="X361" t="e">
        <f t="shared" si="58"/>
        <v>#N/A</v>
      </c>
      <c r="Y361" t="e">
        <f t="shared" si="59"/>
        <v>#N/A</v>
      </c>
    </row>
    <row r="362" spans="1:25" x14ac:dyDescent="0.2">
      <c r="A362">
        <v>1360</v>
      </c>
      <c r="B362" t="s">
        <v>46</v>
      </c>
      <c r="C362" t="s">
        <v>38</v>
      </c>
      <c r="D362">
        <v>2024</v>
      </c>
      <c r="E362" t="s">
        <v>26</v>
      </c>
      <c r="F362">
        <v>47</v>
      </c>
      <c r="G362">
        <v>0</v>
      </c>
      <c r="H362">
        <v>1</v>
      </c>
      <c r="I362">
        <v>230000</v>
      </c>
      <c r="J362">
        <v>4893.6000000000004</v>
      </c>
      <c r="K362">
        <v>0</v>
      </c>
      <c r="L362" t="s">
        <v>17</v>
      </c>
      <c r="M362">
        <v>97</v>
      </c>
      <c r="N362" t="s">
        <v>18</v>
      </c>
      <c r="P362" t="e">
        <f t="shared" si="50"/>
        <v>#N/A</v>
      </c>
      <c r="Q362" t="e">
        <f t="shared" si="51"/>
        <v>#N/A</v>
      </c>
      <c r="R362" t="e">
        <f t="shared" si="52"/>
        <v>#N/A</v>
      </c>
      <c r="S362" t="e">
        <f t="shared" si="53"/>
        <v>#N/A</v>
      </c>
      <c r="T362" t="e">
        <f t="shared" si="54"/>
        <v>#N/A</v>
      </c>
      <c r="U362" t="e">
        <f t="shared" si="55"/>
        <v>#N/A</v>
      </c>
      <c r="V362">
        <f t="shared" si="56"/>
        <v>230000</v>
      </c>
      <c r="W362">
        <f t="shared" si="57"/>
        <v>47</v>
      </c>
      <c r="X362" t="e">
        <f t="shared" si="58"/>
        <v>#N/A</v>
      </c>
      <c r="Y362" t="e">
        <f t="shared" si="59"/>
        <v>#N/A</v>
      </c>
    </row>
    <row r="363" spans="1:25" x14ac:dyDescent="0.2">
      <c r="A363">
        <v>1361</v>
      </c>
      <c r="B363" t="s">
        <v>25</v>
      </c>
      <c r="C363" t="s">
        <v>15</v>
      </c>
      <c r="D363">
        <v>2021</v>
      </c>
      <c r="E363" t="s">
        <v>30</v>
      </c>
      <c r="F363">
        <v>159</v>
      </c>
      <c r="G363">
        <v>3</v>
      </c>
      <c r="H363">
        <v>3</v>
      </c>
      <c r="I363">
        <v>365000</v>
      </c>
      <c r="J363">
        <v>2295.6</v>
      </c>
      <c r="K363">
        <v>2</v>
      </c>
      <c r="L363" t="s">
        <v>20</v>
      </c>
      <c r="M363">
        <v>138</v>
      </c>
      <c r="N363" t="s">
        <v>27</v>
      </c>
      <c r="P363" t="e">
        <f t="shared" si="50"/>
        <v>#N/A</v>
      </c>
      <c r="Q363" t="e">
        <f t="shared" si="51"/>
        <v>#N/A</v>
      </c>
      <c r="R363">
        <f t="shared" si="52"/>
        <v>365000</v>
      </c>
      <c r="S363">
        <f t="shared" si="53"/>
        <v>159</v>
      </c>
      <c r="T363" t="e">
        <f t="shared" si="54"/>
        <v>#N/A</v>
      </c>
      <c r="U363" t="e">
        <f t="shared" si="55"/>
        <v>#N/A</v>
      </c>
      <c r="V363" t="e">
        <f t="shared" si="56"/>
        <v>#N/A</v>
      </c>
      <c r="W363" t="e">
        <f t="shared" si="57"/>
        <v>#N/A</v>
      </c>
      <c r="X363" t="e">
        <f t="shared" si="58"/>
        <v>#N/A</v>
      </c>
      <c r="Y363" t="e">
        <f t="shared" si="59"/>
        <v>#N/A</v>
      </c>
    </row>
    <row r="364" spans="1:25" x14ac:dyDescent="0.2">
      <c r="A364">
        <v>1362</v>
      </c>
      <c r="B364" t="s">
        <v>48</v>
      </c>
      <c r="C364" t="s">
        <v>15</v>
      </c>
      <c r="D364">
        <v>2021</v>
      </c>
      <c r="E364" t="s">
        <v>26</v>
      </c>
      <c r="F364">
        <v>193</v>
      </c>
      <c r="G364">
        <v>3</v>
      </c>
      <c r="H364">
        <v>3</v>
      </c>
      <c r="I364">
        <v>550000</v>
      </c>
      <c r="J364">
        <v>2849.7</v>
      </c>
      <c r="K364">
        <v>3</v>
      </c>
      <c r="L364" t="s">
        <v>34</v>
      </c>
      <c r="M364">
        <v>99</v>
      </c>
      <c r="N364" t="s">
        <v>27</v>
      </c>
      <c r="P364" t="e">
        <f t="shared" si="50"/>
        <v>#N/A</v>
      </c>
      <c r="Q364" t="e">
        <f t="shared" si="51"/>
        <v>#N/A</v>
      </c>
      <c r="R364">
        <f t="shared" si="52"/>
        <v>550000</v>
      </c>
      <c r="S364">
        <f t="shared" si="53"/>
        <v>193</v>
      </c>
      <c r="T364" t="e">
        <f t="shared" si="54"/>
        <v>#N/A</v>
      </c>
      <c r="U364" t="e">
        <f t="shared" si="55"/>
        <v>#N/A</v>
      </c>
      <c r="V364" t="e">
        <f t="shared" si="56"/>
        <v>#N/A</v>
      </c>
      <c r="W364" t="e">
        <f t="shared" si="57"/>
        <v>#N/A</v>
      </c>
      <c r="X364" t="e">
        <f t="shared" si="58"/>
        <v>#N/A</v>
      </c>
      <c r="Y364" t="e">
        <f t="shared" si="59"/>
        <v>#N/A</v>
      </c>
    </row>
    <row r="365" spans="1:25" x14ac:dyDescent="0.2">
      <c r="A365">
        <v>1363</v>
      </c>
      <c r="B365" t="s">
        <v>45</v>
      </c>
      <c r="C365" t="s">
        <v>15</v>
      </c>
      <c r="D365">
        <v>2023</v>
      </c>
      <c r="E365" t="s">
        <v>30</v>
      </c>
      <c r="F365">
        <v>130</v>
      </c>
      <c r="G365">
        <v>3</v>
      </c>
      <c r="H365">
        <v>3</v>
      </c>
      <c r="I365">
        <v>574000</v>
      </c>
      <c r="J365">
        <v>4415.3999999999996</v>
      </c>
      <c r="K365">
        <v>5</v>
      </c>
      <c r="L365" t="s">
        <v>17</v>
      </c>
      <c r="M365">
        <v>99</v>
      </c>
      <c r="N365" t="s">
        <v>21</v>
      </c>
      <c r="P365" t="e">
        <f t="shared" si="50"/>
        <v>#N/A</v>
      </c>
      <c r="Q365" t="e">
        <f t="shared" si="51"/>
        <v>#N/A</v>
      </c>
      <c r="R365">
        <f t="shared" si="52"/>
        <v>574000</v>
      </c>
      <c r="S365">
        <f t="shared" si="53"/>
        <v>130</v>
      </c>
      <c r="T365" t="e">
        <f t="shared" si="54"/>
        <v>#N/A</v>
      </c>
      <c r="U365" t="e">
        <f t="shared" si="55"/>
        <v>#N/A</v>
      </c>
      <c r="V365" t="e">
        <f t="shared" si="56"/>
        <v>#N/A</v>
      </c>
      <c r="W365" t="e">
        <f t="shared" si="57"/>
        <v>#N/A</v>
      </c>
      <c r="X365" t="e">
        <f t="shared" si="58"/>
        <v>#N/A</v>
      </c>
      <c r="Y365" t="e">
        <f t="shared" si="59"/>
        <v>#N/A</v>
      </c>
    </row>
    <row r="366" spans="1:25" x14ac:dyDescent="0.2">
      <c r="A366">
        <v>1364</v>
      </c>
      <c r="B366" t="s">
        <v>39</v>
      </c>
      <c r="C366" t="s">
        <v>15</v>
      </c>
      <c r="D366">
        <v>2023</v>
      </c>
      <c r="E366" t="s">
        <v>16</v>
      </c>
      <c r="F366">
        <v>115</v>
      </c>
      <c r="G366">
        <v>4</v>
      </c>
      <c r="H366">
        <v>4</v>
      </c>
      <c r="I366">
        <v>496000</v>
      </c>
      <c r="J366">
        <v>4313</v>
      </c>
      <c r="K366">
        <v>1</v>
      </c>
      <c r="L366" t="s">
        <v>34</v>
      </c>
      <c r="M366">
        <v>35</v>
      </c>
      <c r="N366" t="s">
        <v>21</v>
      </c>
      <c r="P366" t="e">
        <f t="shared" si="50"/>
        <v>#N/A</v>
      </c>
      <c r="Q366" t="e">
        <f t="shared" si="51"/>
        <v>#N/A</v>
      </c>
      <c r="R366">
        <f t="shared" si="52"/>
        <v>496000</v>
      </c>
      <c r="S366">
        <f t="shared" si="53"/>
        <v>115</v>
      </c>
      <c r="T366" t="e">
        <f t="shared" si="54"/>
        <v>#N/A</v>
      </c>
      <c r="U366" t="e">
        <f t="shared" si="55"/>
        <v>#N/A</v>
      </c>
      <c r="V366" t="e">
        <f t="shared" si="56"/>
        <v>#N/A</v>
      </c>
      <c r="W366" t="e">
        <f t="shared" si="57"/>
        <v>#N/A</v>
      </c>
      <c r="X366" t="e">
        <f t="shared" si="58"/>
        <v>#N/A</v>
      </c>
      <c r="Y366" t="e">
        <f t="shared" si="59"/>
        <v>#N/A</v>
      </c>
    </row>
    <row r="367" spans="1:25" x14ac:dyDescent="0.2">
      <c r="A367">
        <v>1365</v>
      </c>
      <c r="B367" t="s">
        <v>22</v>
      </c>
      <c r="C367" t="s">
        <v>23</v>
      </c>
      <c r="D367">
        <v>2021</v>
      </c>
      <c r="E367" t="s">
        <v>26</v>
      </c>
      <c r="F367">
        <v>274</v>
      </c>
      <c r="G367">
        <v>4</v>
      </c>
      <c r="H367">
        <v>4</v>
      </c>
      <c r="I367">
        <v>1078000</v>
      </c>
      <c r="J367">
        <v>3934.3</v>
      </c>
      <c r="K367">
        <v>0</v>
      </c>
      <c r="L367" t="s">
        <v>17</v>
      </c>
      <c r="M367">
        <v>88</v>
      </c>
      <c r="N367" t="s">
        <v>18</v>
      </c>
      <c r="P367" t="e">
        <f t="shared" si="50"/>
        <v>#N/A</v>
      </c>
      <c r="Q367" t="e">
        <f t="shared" si="51"/>
        <v>#N/A</v>
      </c>
      <c r="R367" t="e">
        <f t="shared" si="52"/>
        <v>#N/A</v>
      </c>
      <c r="S367" t="e">
        <f t="shared" si="53"/>
        <v>#N/A</v>
      </c>
      <c r="T367">
        <f t="shared" si="54"/>
        <v>1078000</v>
      </c>
      <c r="U367">
        <f t="shared" si="55"/>
        <v>274</v>
      </c>
      <c r="V367" t="e">
        <f t="shared" si="56"/>
        <v>#N/A</v>
      </c>
      <c r="W367" t="e">
        <f t="shared" si="57"/>
        <v>#N/A</v>
      </c>
      <c r="X367" t="e">
        <f t="shared" si="58"/>
        <v>#N/A</v>
      </c>
      <c r="Y367" t="e">
        <f t="shared" si="59"/>
        <v>#N/A</v>
      </c>
    </row>
    <row r="368" spans="1:25" x14ac:dyDescent="0.2">
      <c r="A368">
        <v>1366</v>
      </c>
      <c r="B368" t="s">
        <v>32</v>
      </c>
      <c r="C368" t="s">
        <v>15</v>
      </c>
      <c r="D368">
        <v>2022</v>
      </c>
      <c r="E368" t="s">
        <v>30</v>
      </c>
      <c r="F368">
        <v>147</v>
      </c>
      <c r="G368">
        <v>3</v>
      </c>
      <c r="H368">
        <v>3</v>
      </c>
      <c r="I368">
        <v>406000</v>
      </c>
      <c r="J368">
        <v>2761.9</v>
      </c>
      <c r="K368">
        <v>4</v>
      </c>
      <c r="L368" t="s">
        <v>17</v>
      </c>
      <c r="M368">
        <v>119</v>
      </c>
      <c r="N368" t="s">
        <v>18</v>
      </c>
      <c r="P368" t="e">
        <f t="shared" si="50"/>
        <v>#N/A</v>
      </c>
      <c r="Q368" t="e">
        <f t="shared" si="51"/>
        <v>#N/A</v>
      </c>
      <c r="R368">
        <f t="shared" si="52"/>
        <v>406000</v>
      </c>
      <c r="S368">
        <f t="shared" si="53"/>
        <v>147</v>
      </c>
      <c r="T368" t="e">
        <f t="shared" si="54"/>
        <v>#N/A</v>
      </c>
      <c r="U368" t="e">
        <f t="shared" si="55"/>
        <v>#N/A</v>
      </c>
      <c r="V368" t="e">
        <f t="shared" si="56"/>
        <v>#N/A</v>
      </c>
      <c r="W368" t="e">
        <f t="shared" si="57"/>
        <v>#N/A</v>
      </c>
      <c r="X368" t="e">
        <f t="shared" si="58"/>
        <v>#N/A</v>
      </c>
      <c r="Y368" t="e">
        <f t="shared" si="59"/>
        <v>#N/A</v>
      </c>
    </row>
    <row r="369" spans="1:25" x14ac:dyDescent="0.2">
      <c r="A369">
        <v>1367</v>
      </c>
      <c r="B369" t="s">
        <v>33</v>
      </c>
      <c r="C369" t="s">
        <v>15</v>
      </c>
      <c r="D369">
        <v>2023</v>
      </c>
      <c r="E369" t="s">
        <v>24</v>
      </c>
      <c r="F369">
        <v>178</v>
      </c>
      <c r="G369">
        <v>4</v>
      </c>
      <c r="H369">
        <v>4</v>
      </c>
      <c r="I369">
        <v>475000</v>
      </c>
      <c r="J369">
        <v>2668.5</v>
      </c>
      <c r="K369">
        <v>1</v>
      </c>
      <c r="L369" t="s">
        <v>20</v>
      </c>
      <c r="M369">
        <v>134</v>
      </c>
      <c r="N369" t="s">
        <v>27</v>
      </c>
      <c r="P369" t="e">
        <f t="shared" si="50"/>
        <v>#N/A</v>
      </c>
      <c r="Q369" t="e">
        <f t="shared" si="51"/>
        <v>#N/A</v>
      </c>
      <c r="R369">
        <f t="shared" si="52"/>
        <v>475000</v>
      </c>
      <c r="S369">
        <f t="shared" si="53"/>
        <v>178</v>
      </c>
      <c r="T369" t="e">
        <f t="shared" si="54"/>
        <v>#N/A</v>
      </c>
      <c r="U369" t="e">
        <f t="shared" si="55"/>
        <v>#N/A</v>
      </c>
      <c r="V369" t="e">
        <f t="shared" si="56"/>
        <v>#N/A</v>
      </c>
      <c r="W369" t="e">
        <f t="shared" si="57"/>
        <v>#N/A</v>
      </c>
      <c r="X369" t="e">
        <f t="shared" si="58"/>
        <v>#N/A</v>
      </c>
      <c r="Y369" t="e">
        <f t="shared" si="59"/>
        <v>#N/A</v>
      </c>
    </row>
    <row r="370" spans="1:25" x14ac:dyDescent="0.2">
      <c r="A370">
        <v>1368</v>
      </c>
      <c r="B370" t="s">
        <v>42</v>
      </c>
      <c r="C370" t="s">
        <v>15</v>
      </c>
      <c r="D370">
        <v>2023</v>
      </c>
      <c r="E370" t="s">
        <v>16</v>
      </c>
      <c r="F370">
        <v>140</v>
      </c>
      <c r="G370">
        <v>3</v>
      </c>
      <c r="H370">
        <v>3</v>
      </c>
      <c r="I370">
        <v>686000</v>
      </c>
      <c r="J370">
        <v>4900</v>
      </c>
      <c r="K370">
        <v>2</v>
      </c>
      <c r="L370" t="s">
        <v>17</v>
      </c>
      <c r="M370">
        <v>100</v>
      </c>
      <c r="N370" t="s">
        <v>21</v>
      </c>
      <c r="P370" t="e">
        <f t="shared" si="50"/>
        <v>#N/A</v>
      </c>
      <c r="Q370" t="e">
        <f t="shared" si="51"/>
        <v>#N/A</v>
      </c>
      <c r="R370">
        <f t="shared" si="52"/>
        <v>686000</v>
      </c>
      <c r="S370">
        <f t="shared" si="53"/>
        <v>140</v>
      </c>
      <c r="T370" t="e">
        <f t="shared" si="54"/>
        <v>#N/A</v>
      </c>
      <c r="U370" t="e">
        <f t="shared" si="55"/>
        <v>#N/A</v>
      </c>
      <c r="V370" t="e">
        <f t="shared" si="56"/>
        <v>#N/A</v>
      </c>
      <c r="W370" t="e">
        <f t="shared" si="57"/>
        <v>#N/A</v>
      </c>
      <c r="X370" t="e">
        <f t="shared" si="58"/>
        <v>#N/A</v>
      </c>
      <c r="Y370" t="e">
        <f t="shared" si="59"/>
        <v>#N/A</v>
      </c>
    </row>
    <row r="371" spans="1:25" x14ac:dyDescent="0.2">
      <c r="A371">
        <v>1369</v>
      </c>
      <c r="B371" t="s">
        <v>22</v>
      </c>
      <c r="C371" t="s">
        <v>29</v>
      </c>
      <c r="D371">
        <v>2021</v>
      </c>
      <c r="E371" t="s">
        <v>24</v>
      </c>
      <c r="F371">
        <v>386</v>
      </c>
      <c r="G371">
        <v>5</v>
      </c>
      <c r="H371">
        <v>5</v>
      </c>
      <c r="I371">
        <v>1722000</v>
      </c>
      <c r="J371">
        <v>4461.1000000000004</v>
      </c>
      <c r="K371">
        <v>15</v>
      </c>
      <c r="L371" t="s">
        <v>20</v>
      </c>
      <c r="M371">
        <v>14</v>
      </c>
      <c r="N371" t="s">
        <v>18</v>
      </c>
      <c r="P371">
        <f t="shared" si="50"/>
        <v>1722000</v>
      </c>
      <c r="Q371">
        <f t="shared" si="51"/>
        <v>386</v>
      </c>
      <c r="R371" t="e">
        <f t="shared" si="52"/>
        <v>#N/A</v>
      </c>
      <c r="S371" t="e">
        <f t="shared" si="53"/>
        <v>#N/A</v>
      </c>
      <c r="T371" t="e">
        <f t="shared" si="54"/>
        <v>#N/A</v>
      </c>
      <c r="U371" t="e">
        <f t="shared" si="55"/>
        <v>#N/A</v>
      </c>
      <c r="V371" t="e">
        <f t="shared" si="56"/>
        <v>#N/A</v>
      </c>
      <c r="W371" t="e">
        <f t="shared" si="57"/>
        <v>#N/A</v>
      </c>
      <c r="X371" t="e">
        <f t="shared" si="58"/>
        <v>#N/A</v>
      </c>
      <c r="Y371" t="e">
        <f t="shared" si="59"/>
        <v>#N/A</v>
      </c>
    </row>
    <row r="372" spans="1:25" x14ac:dyDescent="0.2">
      <c r="A372">
        <v>1370</v>
      </c>
      <c r="B372" t="s">
        <v>41</v>
      </c>
      <c r="C372" t="s">
        <v>38</v>
      </c>
      <c r="D372">
        <v>2021</v>
      </c>
      <c r="E372" t="s">
        <v>26</v>
      </c>
      <c r="F372">
        <v>45</v>
      </c>
      <c r="G372">
        <v>0</v>
      </c>
      <c r="H372">
        <v>1</v>
      </c>
      <c r="I372">
        <v>251000</v>
      </c>
      <c r="J372">
        <v>5577.8</v>
      </c>
      <c r="K372">
        <v>15</v>
      </c>
      <c r="L372" t="s">
        <v>17</v>
      </c>
      <c r="M372">
        <v>118</v>
      </c>
      <c r="N372" t="s">
        <v>21</v>
      </c>
      <c r="P372" t="e">
        <f t="shared" si="50"/>
        <v>#N/A</v>
      </c>
      <c r="Q372" t="e">
        <f t="shared" si="51"/>
        <v>#N/A</v>
      </c>
      <c r="R372" t="e">
        <f t="shared" si="52"/>
        <v>#N/A</v>
      </c>
      <c r="S372" t="e">
        <f t="shared" si="53"/>
        <v>#N/A</v>
      </c>
      <c r="T372" t="e">
        <f t="shared" si="54"/>
        <v>#N/A</v>
      </c>
      <c r="U372" t="e">
        <f t="shared" si="55"/>
        <v>#N/A</v>
      </c>
      <c r="V372">
        <f t="shared" si="56"/>
        <v>251000</v>
      </c>
      <c r="W372">
        <f t="shared" si="57"/>
        <v>45</v>
      </c>
      <c r="X372" t="e">
        <f t="shared" si="58"/>
        <v>#N/A</v>
      </c>
      <c r="Y372" t="e">
        <f t="shared" si="59"/>
        <v>#N/A</v>
      </c>
    </row>
    <row r="373" spans="1:25" x14ac:dyDescent="0.2">
      <c r="A373">
        <v>1371</v>
      </c>
      <c r="B373" t="s">
        <v>45</v>
      </c>
      <c r="C373" t="s">
        <v>15</v>
      </c>
      <c r="D373">
        <v>2022</v>
      </c>
      <c r="E373" t="s">
        <v>24</v>
      </c>
      <c r="F373">
        <v>95</v>
      </c>
      <c r="G373">
        <v>3</v>
      </c>
      <c r="H373">
        <v>3</v>
      </c>
      <c r="I373">
        <v>387000</v>
      </c>
      <c r="J373">
        <v>4073.7</v>
      </c>
      <c r="K373">
        <v>2</v>
      </c>
      <c r="L373" t="s">
        <v>20</v>
      </c>
      <c r="M373">
        <v>43</v>
      </c>
      <c r="N373" t="s">
        <v>21</v>
      </c>
      <c r="P373" t="e">
        <f t="shared" si="50"/>
        <v>#N/A</v>
      </c>
      <c r="Q373" t="e">
        <f t="shared" si="51"/>
        <v>#N/A</v>
      </c>
      <c r="R373">
        <f t="shared" si="52"/>
        <v>387000</v>
      </c>
      <c r="S373">
        <f t="shared" si="53"/>
        <v>95</v>
      </c>
      <c r="T373" t="e">
        <f t="shared" si="54"/>
        <v>#N/A</v>
      </c>
      <c r="U373" t="e">
        <f t="shared" si="55"/>
        <v>#N/A</v>
      </c>
      <c r="V373" t="e">
        <f t="shared" si="56"/>
        <v>#N/A</v>
      </c>
      <c r="W373" t="e">
        <f t="shared" si="57"/>
        <v>#N/A</v>
      </c>
      <c r="X373" t="e">
        <f t="shared" si="58"/>
        <v>#N/A</v>
      </c>
      <c r="Y373" t="e">
        <f t="shared" si="59"/>
        <v>#N/A</v>
      </c>
    </row>
    <row r="374" spans="1:25" x14ac:dyDescent="0.2">
      <c r="A374">
        <v>1372</v>
      </c>
      <c r="B374" t="s">
        <v>25</v>
      </c>
      <c r="C374" t="s">
        <v>23</v>
      </c>
      <c r="D374">
        <v>2022</v>
      </c>
      <c r="E374" t="s">
        <v>26</v>
      </c>
      <c r="F374">
        <v>216</v>
      </c>
      <c r="G374">
        <v>4</v>
      </c>
      <c r="H374">
        <v>4</v>
      </c>
      <c r="I374">
        <v>641000</v>
      </c>
      <c r="J374">
        <v>2967.6</v>
      </c>
      <c r="K374">
        <v>10</v>
      </c>
      <c r="L374" t="s">
        <v>34</v>
      </c>
      <c r="M374">
        <v>8</v>
      </c>
      <c r="N374" t="s">
        <v>27</v>
      </c>
      <c r="P374" t="e">
        <f t="shared" si="50"/>
        <v>#N/A</v>
      </c>
      <c r="Q374" t="e">
        <f t="shared" si="51"/>
        <v>#N/A</v>
      </c>
      <c r="R374" t="e">
        <f t="shared" si="52"/>
        <v>#N/A</v>
      </c>
      <c r="S374" t="e">
        <f t="shared" si="53"/>
        <v>#N/A</v>
      </c>
      <c r="T374">
        <f t="shared" si="54"/>
        <v>641000</v>
      </c>
      <c r="U374">
        <f t="shared" si="55"/>
        <v>216</v>
      </c>
      <c r="V374" t="e">
        <f t="shared" si="56"/>
        <v>#N/A</v>
      </c>
      <c r="W374" t="e">
        <f t="shared" si="57"/>
        <v>#N/A</v>
      </c>
      <c r="X374" t="e">
        <f t="shared" si="58"/>
        <v>#N/A</v>
      </c>
      <c r="Y374" t="e">
        <f t="shared" si="59"/>
        <v>#N/A</v>
      </c>
    </row>
    <row r="375" spans="1:25" x14ac:dyDescent="0.2">
      <c r="A375">
        <v>1373</v>
      </c>
      <c r="B375" t="s">
        <v>43</v>
      </c>
      <c r="C375" t="s">
        <v>15</v>
      </c>
      <c r="D375">
        <v>2023</v>
      </c>
      <c r="E375" t="s">
        <v>24</v>
      </c>
      <c r="F375">
        <v>106</v>
      </c>
      <c r="G375">
        <v>3</v>
      </c>
      <c r="H375">
        <v>3</v>
      </c>
      <c r="I375">
        <v>463000</v>
      </c>
      <c r="J375">
        <v>4367.8999999999996</v>
      </c>
      <c r="K375">
        <v>15</v>
      </c>
      <c r="L375" t="s">
        <v>17</v>
      </c>
      <c r="M375">
        <v>85</v>
      </c>
      <c r="N375" t="s">
        <v>27</v>
      </c>
      <c r="P375" t="e">
        <f t="shared" si="50"/>
        <v>#N/A</v>
      </c>
      <c r="Q375" t="e">
        <f t="shared" si="51"/>
        <v>#N/A</v>
      </c>
      <c r="R375">
        <f t="shared" si="52"/>
        <v>463000</v>
      </c>
      <c r="S375">
        <f t="shared" si="53"/>
        <v>106</v>
      </c>
      <c r="T375" t="e">
        <f t="shared" si="54"/>
        <v>#N/A</v>
      </c>
      <c r="U375" t="e">
        <f t="shared" si="55"/>
        <v>#N/A</v>
      </c>
      <c r="V375" t="e">
        <f t="shared" si="56"/>
        <v>#N/A</v>
      </c>
      <c r="W375" t="e">
        <f t="shared" si="57"/>
        <v>#N/A</v>
      </c>
      <c r="X375" t="e">
        <f t="shared" si="58"/>
        <v>#N/A</v>
      </c>
      <c r="Y375" t="e">
        <f t="shared" si="59"/>
        <v>#N/A</v>
      </c>
    </row>
    <row r="376" spans="1:25" x14ac:dyDescent="0.2">
      <c r="A376">
        <v>1374</v>
      </c>
      <c r="B376" t="s">
        <v>48</v>
      </c>
      <c r="C376" t="s">
        <v>38</v>
      </c>
      <c r="D376">
        <v>2021</v>
      </c>
      <c r="E376" t="s">
        <v>24</v>
      </c>
      <c r="F376">
        <v>52</v>
      </c>
      <c r="G376">
        <v>0</v>
      </c>
      <c r="H376">
        <v>1</v>
      </c>
      <c r="I376">
        <v>172000</v>
      </c>
      <c r="J376">
        <v>3307.7</v>
      </c>
      <c r="K376">
        <v>5</v>
      </c>
      <c r="L376" t="s">
        <v>20</v>
      </c>
      <c r="M376">
        <v>118</v>
      </c>
      <c r="N376" t="s">
        <v>27</v>
      </c>
      <c r="P376" t="e">
        <f t="shared" si="50"/>
        <v>#N/A</v>
      </c>
      <c r="Q376" t="e">
        <f t="shared" si="51"/>
        <v>#N/A</v>
      </c>
      <c r="R376" t="e">
        <f t="shared" si="52"/>
        <v>#N/A</v>
      </c>
      <c r="S376" t="e">
        <f t="shared" si="53"/>
        <v>#N/A</v>
      </c>
      <c r="T376" t="e">
        <f t="shared" si="54"/>
        <v>#N/A</v>
      </c>
      <c r="U376" t="e">
        <f t="shared" si="55"/>
        <v>#N/A</v>
      </c>
      <c r="V376">
        <f t="shared" si="56"/>
        <v>172000</v>
      </c>
      <c r="W376">
        <f t="shared" si="57"/>
        <v>52</v>
      </c>
      <c r="X376" t="e">
        <f t="shared" si="58"/>
        <v>#N/A</v>
      </c>
      <c r="Y376" t="e">
        <f t="shared" si="59"/>
        <v>#N/A</v>
      </c>
    </row>
    <row r="377" spans="1:25" x14ac:dyDescent="0.2">
      <c r="A377">
        <v>1375</v>
      </c>
      <c r="B377" t="s">
        <v>28</v>
      </c>
      <c r="C377" t="s">
        <v>29</v>
      </c>
      <c r="D377">
        <v>2021</v>
      </c>
      <c r="E377" t="s">
        <v>24</v>
      </c>
      <c r="F377">
        <v>300</v>
      </c>
      <c r="G377">
        <v>6</v>
      </c>
      <c r="H377">
        <v>6</v>
      </c>
      <c r="I377">
        <v>1128000</v>
      </c>
      <c r="J377">
        <v>3760</v>
      </c>
      <c r="K377">
        <v>10</v>
      </c>
      <c r="L377" t="s">
        <v>17</v>
      </c>
      <c r="M377">
        <v>143</v>
      </c>
      <c r="N377" t="s">
        <v>27</v>
      </c>
      <c r="P377">
        <f t="shared" si="50"/>
        <v>1128000</v>
      </c>
      <c r="Q377">
        <f t="shared" si="51"/>
        <v>300</v>
      </c>
      <c r="R377" t="e">
        <f t="shared" si="52"/>
        <v>#N/A</v>
      </c>
      <c r="S377" t="e">
        <f t="shared" si="53"/>
        <v>#N/A</v>
      </c>
      <c r="T377" t="e">
        <f t="shared" si="54"/>
        <v>#N/A</v>
      </c>
      <c r="U377" t="e">
        <f t="shared" si="55"/>
        <v>#N/A</v>
      </c>
      <c r="V377" t="e">
        <f t="shared" si="56"/>
        <v>#N/A</v>
      </c>
      <c r="W377" t="e">
        <f t="shared" si="57"/>
        <v>#N/A</v>
      </c>
      <c r="X377" t="e">
        <f t="shared" si="58"/>
        <v>#N/A</v>
      </c>
      <c r="Y377" t="e">
        <f t="shared" si="59"/>
        <v>#N/A</v>
      </c>
    </row>
    <row r="378" spans="1:25" x14ac:dyDescent="0.2">
      <c r="A378">
        <v>1376</v>
      </c>
      <c r="B378" t="s">
        <v>25</v>
      </c>
      <c r="C378" t="s">
        <v>15</v>
      </c>
      <c r="D378">
        <v>2022</v>
      </c>
      <c r="E378" t="s">
        <v>26</v>
      </c>
      <c r="F378">
        <v>64</v>
      </c>
      <c r="G378">
        <v>3</v>
      </c>
      <c r="H378">
        <v>3</v>
      </c>
      <c r="I378">
        <v>167000</v>
      </c>
      <c r="J378">
        <v>2609.4</v>
      </c>
      <c r="K378">
        <v>7</v>
      </c>
      <c r="L378" t="s">
        <v>20</v>
      </c>
      <c r="M378">
        <v>34</v>
      </c>
      <c r="N378" t="s">
        <v>27</v>
      </c>
      <c r="P378" t="e">
        <f t="shared" si="50"/>
        <v>#N/A</v>
      </c>
      <c r="Q378" t="e">
        <f t="shared" si="51"/>
        <v>#N/A</v>
      </c>
      <c r="R378">
        <f t="shared" si="52"/>
        <v>167000</v>
      </c>
      <c r="S378">
        <f t="shared" si="53"/>
        <v>64</v>
      </c>
      <c r="T378" t="e">
        <f t="shared" si="54"/>
        <v>#N/A</v>
      </c>
      <c r="U378" t="e">
        <f t="shared" si="55"/>
        <v>#N/A</v>
      </c>
      <c r="V378" t="e">
        <f t="shared" si="56"/>
        <v>#N/A</v>
      </c>
      <c r="W378" t="e">
        <f t="shared" si="57"/>
        <v>#N/A</v>
      </c>
      <c r="X378" t="e">
        <f t="shared" si="58"/>
        <v>#N/A</v>
      </c>
      <c r="Y378" t="e">
        <f t="shared" si="59"/>
        <v>#N/A</v>
      </c>
    </row>
    <row r="379" spans="1:25" x14ac:dyDescent="0.2">
      <c r="A379">
        <v>1377</v>
      </c>
      <c r="B379" t="s">
        <v>28</v>
      </c>
      <c r="C379" t="s">
        <v>29</v>
      </c>
      <c r="D379">
        <v>2021</v>
      </c>
      <c r="E379" t="s">
        <v>16</v>
      </c>
      <c r="F379">
        <v>416</v>
      </c>
      <c r="G379">
        <v>4</v>
      </c>
      <c r="H379">
        <v>4</v>
      </c>
      <c r="I379">
        <v>1613000</v>
      </c>
      <c r="J379">
        <v>3877.4</v>
      </c>
      <c r="K379">
        <v>7</v>
      </c>
      <c r="L379" t="s">
        <v>17</v>
      </c>
      <c r="M379">
        <v>107</v>
      </c>
      <c r="N379" t="s">
        <v>27</v>
      </c>
      <c r="P379">
        <f t="shared" si="50"/>
        <v>1613000</v>
      </c>
      <c r="Q379">
        <f t="shared" si="51"/>
        <v>416</v>
      </c>
      <c r="R379" t="e">
        <f t="shared" si="52"/>
        <v>#N/A</v>
      </c>
      <c r="S379" t="e">
        <f t="shared" si="53"/>
        <v>#N/A</v>
      </c>
      <c r="T379" t="e">
        <f t="shared" si="54"/>
        <v>#N/A</v>
      </c>
      <c r="U379" t="e">
        <f t="shared" si="55"/>
        <v>#N/A</v>
      </c>
      <c r="V379" t="e">
        <f t="shared" si="56"/>
        <v>#N/A</v>
      </c>
      <c r="W379" t="e">
        <f t="shared" si="57"/>
        <v>#N/A</v>
      </c>
      <c r="X379" t="e">
        <f t="shared" si="58"/>
        <v>#N/A</v>
      </c>
      <c r="Y379" t="e">
        <f t="shared" si="59"/>
        <v>#N/A</v>
      </c>
    </row>
    <row r="380" spans="1:25" x14ac:dyDescent="0.2">
      <c r="A380">
        <v>1378</v>
      </c>
      <c r="B380" t="s">
        <v>42</v>
      </c>
      <c r="C380" t="s">
        <v>15</v>
      </c>
      <c r="D380">
        <v>2021</v>
      </c>
      <c r="E380" t="s">
        <v>16</v>
      </c>
      <c r="F380">
        <v>200</v>
      </c>
      <c r="G380">
        <v>3</v>
      </c>
      <c r="H380">
        <v>3</v>
      </c>
      <c r="I380">
        <v>737000</v>
      </c>
      <c r="J380">
        <v>3685</v>
      </c>
      <c r="K380">
        <v>0</v>
      </c>
      <c r="L380" t="s">
        <v>20</v>
      </c>
      <c r="M380">
        <v>167</v>
      </c>
      <c r="N380" t="s">
        <v>21</v>
      </c>
      <c r="P380" t="e">
        <f t="shared" si="50"/>
        <v>#N/A</v>
      </c>
      <c r="Q380" t="e">
        <f t="shared" si="51"/>
        <v>#N/A</v>
      </c>
      <c r="R380">
        <f t="shared" si="52"/>
        <v>737000</v>
      </c>
      <c r="S380">
        <f t="shared" si="53"/>
        <v>200</v>
      </c>
      <c r="T380" t="e">
        <f t="shared" si="54"/>
        <v>#N/A</v>
      </c>
      <c r="U380" t="e">
        <f t="shared" si="55"/>
        <v>#N/A</v>
      </c>
      <c r="V380" t="e">
        <f t="shared" si="56"/>
        <v>#N/A</v>
      </c>
      <c r="W380" t="e">
        <f t="shared" si="57"/>
        <v>#N/A</v>
      </c>
      <c r="X380" t="e">
        <f t="shared" si="58"/>
        <v>#N/A</v>
      </c>
      <c r="Y380" t="e">
        <f t="shared" si="59"/>
        <v>#N/A</v>
      </c>
    </row>
    <row r="381" spans="1:25" x14ac:dyDescent="0.2">
      <c r="A381">
        <v>1379</v>
      </c>
      <c r="B381" t="s">
        <v>37</v>
      </c>
      <c r="C381" t="s">
        <v>36</v>
      </c>
      <c r="D381">
        <v>2021</v>
      </c>
      <c r="E381" t="s">
        <v>24</v>
      </c>
      <c r="F381">
        <v>418</v>
      </c>
      <c r="G381">
        <v>5</v>
      </c>
      <c r="H381">
        <v>5</v>
      </c>
      <c r="I381">
        <v>1224000</v>
      </c>
      <c r="J381">
        <v>2928.2</v>
      </c>
      <c r="K381">
        <v>20</v>
      </c>
      <c r="L381" t="s">
        <v>34</v>
      </c>
      <c r="M381">
        <v>31</v>
      </c>
      <c r="N381" t="s">
        <v>27</v>
      </c>
      <c r="P381" t="e">
        <f t="shared" si="50"/>
        <v>#N/A</v>
      </c>
      <c r="Q381" t="e">
        <f t="shared" si="51"/>
        <v>#N/A</v>
      </c>
      <c r="R381" t="e">
        <f t="shared" si="52"/>
        <v>#N/A</v>
      </c>
      <c r="S381" t="e">
        <f t="shared" si="53"/>
        <v>#N/A</v>
      </c>
      <c r="T381" t="e">
        <f t="shared" si="54"/>
        <v>#N/A</v>
      </c>
      <c r="U381" t="e">
        <f t="shared" si="55"/>
        <v>#N/A</v>
      </c>
      <c r="V381" t="e">
        <f t="shared" si="56"/>
        <v>#N/A</v>
      </c>
      <c r="W381" t="e">
        <f t="shared" si="57"/>
        <v>#N/A</v>
      </c>
      <c r="X381">
        <f t="shared" si="58"/>
        <v>1224000</v>
      </c>
      <c r="Y381">
        <f t="shared" si="59"/>
        <v>418</v>
      </c>
    </row>
    <row r="382" spans="1:25" x14ac:dyDescent="0.2">
      <c r="A382">
        <v>1380</v>
      </c>
      <c r="B382" t="s">
        <v>42</v>
      </c>
      <c r="C382" t="s">
        <v>29</v>
      </c>
      <c r="D382">
        <v>2022</v>
      </c>
      <c r="E382" t="s">
        <v>24</v>
      </c>
      <c r="F382">
        <v>398</v>
      </c>
      <c r="G382">
        <v>6</v>
      </c>
      <c r="H382">
        <v>6</v>
      </c>
      <c r="I382">
        <v>2439000</v>
      </c>
      <c r="J382">
        <v>6128.1</v>
      </c>
      <c r="K382">
        <v>5</v>
      </c>
      <c r="L382" t="s">
        <v>20</v>
      </c>
      <c r="M382">
        <v>70</v>
      </c>
      <c r="N382" t="s">
        <v>21</v>
      </c>
      <c r="P382">
        <f t="shared" si="50"/>
        <v>2439000</v>
      </c>
      <c r="Q382">
        <f t="shared" si="51"/>
        <v>398</v>
      </c>
      <c r="R382" t="e">
        <f t="shared" si="52"/>
        <v>#N/A</v>
      </c>
      <c r="S382" t="e">
        <f t="shared" si="53"/>
        <v>#N/A</v>
      </c>
      <c r="T382" t="e">
        <f t="shared" si="54"/>
        <v>#N/A</v>
      </c>
      <c r="U382" t="e">
        <f t="shared" si="55"/>
        <v>#N/A</v>
      </c>
      <c r="V382" t="e">
        <f t="shared" si="56"/>
        <v>#N/A</v>
      </c>
      <c r="W382" t="e">
        <f t="shared" si="57"/>
        <v>#N/A</v>
      </c>
      <c r="X382" t="e">
        <f t="shared" si="58"/>
        <v>#N/A</v>
      </c>
      <c r="Y382" t="e">
        <f t="shared" si="59"/>
        <v>#N/A</v>
      </c>
    </row>
    <row r="383" spans="1:25" x14ac:dyDescent="0.2">
      <c r="A383">
        <v>1381</v>
      </c>
      <c r="B383" t="s">
        <v>14</v>
      </c>
      <c r="C383" t="s">
        <v>15</v>
      </c>
      <c r="D383">
        <v>2024</v>
      </c>
      <c r="E383" t="s">
        <v>16</v>
      </c>
      <c r="F383">
        <v>112</v>
      </c>
      <c r="G383">
        <v>2</v>
      </c>
      <c r="H383">
        <v>2</v>
      </c>
      <c r="I383">
        <v>499000</v>
      </c>
      <c r="J383">
        <v>4455.3999999999996</v>
      </c>
      <c r="K383">
        <v>5</v>
      </c>
      <c r="L383" t="s">
        <v>34</v>
      </c>
      <c r="M383">
        <v>96</v>
      </c>
      <c r="N383" t="s">
        <v>18</v>
      </c>
      <c r="P383" t="e">
        <f t="shared" si="50"/>
        <v>#N/A</v>
      </c>
      <c r="Q383" t="e">
        <f t="shared" si="51"/>
        <v>#N/A</v>
      </c>
      <c r="R383">
        <f t="shared" si="52"/>
        <v>499000</v>
      </c>
      <c r="S383">
        <f t="shared" si="53"/>
        <v>112</v>
      </c>
      <c r="T383" t="e">
        <f t="shared" si="54"/>
        <v>#N/A</v>
      </c>
      <c r="U383" t="e">
        <f t="shared" si="55"/>
        <v>#N/A</v>
      </c>
      <c r="V383" t="e">
        <f t="shared" si="56"/>
        <v>#N/A</v>
      </c>
      <c r="W383" t="e">
        <f t="shared" si="57"/>
        <v>#N/A</v>
      </c>
      <c r="X383" t="e">
        <f t="shared" si="58"/>
        <v>#N/A</v>
      </c>
      <c r="Y383" t="e">
        <f t="shared" si="59"/>
        <v>#N/A</v>
      </c>
    </row>
    <row r="384" spans="1:25" x14ac:dyDescent="0.2">
      <c r="A384">
        <v>1382</v>
      </c>
      <c r="B384" t="s">
        <v>14</v>
      </c>
      <c r="C384" t="s">
        <v>15</v>
      </c>
      <c r="D384">
        <v>2022</v>
      </c>
      <c r="E384" t="s">
        <v>30</v>
      </c>
      <c r="F384">
        <v>222</v>
      </c>
      <c r="G384">
        <v>4</v>
      </c>
      <c r="H384">
        <v>4</v>
      </c>
      <c r="I384">
        <v>743000</v>
      </c>
      <c r="J384">
        <v>3346.8</v>
      </c>
      <c r="K384">
        <v>7</v>
      </c>
      <c r="L384" t="s">
        <v>17</v>
      </c>
      <c r="M384">
        <v>169</v>
      </c>
      <c r="N384" t="s">
        <v>18</v>
      </c>
      <c r="P384" t="e">
        <f t="shared" si="50"/>
        <v>#N/A</v>
      </c>
      <c r="Q384" t="e">
        <f t="shared" si="51"/>
        <v>#N/A</v>
      </c>
      <c r="R384">
        <f t="shared" si="52"/>
        <v>743000</v>
      </c>
      <c r="S384">
        <f t="shared" si="53"/>
        <v>222</v>
      </c>
      <c r="T384" t="e">
        <f t="shared" si="54"/>
        <v>#N/A</v>
      </c>
      <c r="U384" t="e">
        <f t="shared" si="55"/>
        <v>#N/A</v>
      </c>
      <c r="V384" t="e">
        <f t="shared" si="56"/>
        <v>#N/A</v>
      </c>
      <c r="W384" t="e">
        <f t="shared" si="57"/>
        <v>#N/A</v>
      </c>
      <c r="X384" t="e">
        <f t="shared" si="58"/>
        <v>#N/A</v>
      </c>
      <c r="Y384" t="e">
        <f t="shared" si="59"/>
        <v>#N/A</v>
      </c>
    </row>
    <row r="385" spans="1:25" x14ac:dyDescent="0.2">
      <c r="A385">
        <v>1383</v>
      </c>
      <c r="B385" t="s">
        <v>43</v>
      </c>
      <c r="C385" t="s">
        <v>23</v>
      </c>
      <c r="D385">
        <v>2024</v>
      </c>
      <c r="E385" t="s">
        <v>24</v>
      </c>
      <c r="F385">
        <v>283</v>
      </c>
      <c r="G385">
        <v>5</v>
      </c>
      <c r="H385">
        <v>5</v>
      </c>
      <c r="I385">
        <v>1610000</v>
      </c>
      <c r="J385">
        <v>5689</v>
      </c>
      <c r="K385">
        <v>4</v>
      </c>
      <c r="L385" t="s">
        <v>20</v>
      </c>
      <c r="M385">
        <v>155</v>
      </c>
      <c r="N385" t="s">
        <v>27</v>
      </c>
      <c r="P385" t="e">
        <f t="shared" si="50"/>
        <v>#N/A</v>
      </c>
      <c r="Q385" t="e">
        <f t="shared" si="51"/>
        <v>#N/A</v>
      </c>
      <c r="R385" t="e">
        <f t="shared" si="52"/>
        <v>#N/A</v>
      </c>
      <c r="S385" t="e">
        <f t="shared" si="53"/>
        <v>#N/A</v>
      </c>
      <c r="T385">
        <f t="shared" si="54"/>
        <v>1610000</v>
      </c>
      <c r="U385">
        <f t="shared" si="55"/>
        <v>283</v>
      </c>
      <c r="V385" t="e">
        <f t="shared" si="56"/>
        <v>#N/A</v>
      </c>
      <c r="W385" t="e">
        <f t="shared" si="57"/>
        <v>#N/A</v>
      </c>
      <c r="X385" t="e">
        <f t="shared" si="58"/>
        <v>#N/A</v>
      </c>
      <c r="Y385" t="e">
        <f t="shared" si="59"/>
        <v>#N/A</v>
      </c>
    </row>
    <row r="386" spans="1:25" x14ac:dyDescent="0.2">
      <c r="A386">
        <v>1384</v>
      </c>
      <c r="B386" t="s">
        <v>44</v>
      </c>
      <c r="C386" t="s">
        <v>29</v>
      </c>
      <c r="D386">
        <v>2024</v>
      </c>
      <c r="E386" t="s">
        <v>24</v>
      </c>
      <c r="F386">
        <v>436</v>
      </c>
      <c r="G386">
        <v>4</v>
      </c>
      <c r="H386">
        <v>4</v>
      </c>
      <c r="I386">
        <v>2156000</v>
      </c>
      <c r="J386">
        <v>4945</v>
      </c>
      <c r="K386">
        <v>4</v>
      </c>
      <c r="L386" t="s">
        <v>17</v>
      </c>
      <c r="M386">
        <v>68</v>
      </c>
      <c r="N386" t="s">
        <v>18</v>
      </c>
      <c r="P386">
        <f t="shared" si="50"/>
        <v>2156000</v>
      </c>
      <c r="Q386">
        <f t="shared" si="51"/>
        <v>436</v>
      </c>
      <c r="R386" t="e">
        <f t="shared" si="52"/>
        <v>#N/A</v>
      </c>
      <c r="S386" t="e">
        <f t="shared" si="53"/>
        <v>#N/A</v>
      </c>
      <c r="T386" t="e">
        <f t="shared" si="54"/>
        <v>#N/A</v>
      </c>
      <c r="U386" t="e">
        <f t="shared" si="55"/>
        <v>#N/A</v>
      </c>
      <c r="V386" t="e">
        <f t="shared" si="56"/>
        <v>#N/A</v>
      </c>
      <c r="W386" t="e">
        <f t="shared" si="57"/>
        <v>#N/A</v>
      </c>
      <c r="X386" t="e">
        <f t="shared" si="58"/>
        <v>#N/A</v>
      </c>
      <c r="Y386" t="e">
        <f t="shared" si="59"/>
        <v>#N/A</v>
      </c>
    </row>
    <row r="387" spans="1:25" x14ac:dyDescent="0.2">
      <c r="A387">
        <v>1385</v>
      </c>
      <c r="B387" t="s">
        <v>40</v>
      </c>
      <c r="C387" t="s">
        <v>23</v>
      </c>
      <c r="D387">
        <v>2023</v>
      </c>
      <c r="E387" t="s">
        <v>26</v>
      </c>
      <c r="F387">
        <v>273</v>
      </c>
      <c r="G387">
        <v>3</v>
      </c>
      <c r="H387">
        <v>3</v>
      </c>
      <c r="I387">
        <v>1082000</v>
      </c>
      <c r="J387">
        <v>3963.4</v>
      </c>
      <c r="K387">
        <v>7</v>
      </c>
      <c r="L387" t="s">
        <v>20</v>
      </c>
      <c r="M387">
        <v>154</v>
      </c>
      <c r="N387" t="s">
        <v>18</v>
      </c>
      <c r="P387" t="e">
        <f t="shared" ref="P387:P450" si="60">IF(C387="Villa", I387, NA())</f>
        <v>#N/A</v>
      </c>
      <c r="Q387" t="e">
        <f t="shared" ref="Q387:Q450" si="61">IF(C387="Villa", F387, NA())</f>
        <v>#N/A</v>
      </c>
      <c r="R387" t="e">
        <f t="shared" ref="R387:R450" si="62">IF(C387="Apartment",I387,NA())</f>
        <v>#N/A</v>
      </c>
      <c r="S387" t="e">
        <f t="shared" ref="S387:S450" si="63">IF(C387="Apartment",F387,NA())</f>
        <v>#N/A</v>
      </c>
      <c r="T387">
        <f t="shared" ref="T387:T450" si="64">IF(C387="Duplex",I387,NA())</f>
        <v>1082000</v>
      </c>
      <c r="U387">
        <f t="shared" ref="U387:U450" si="65">IF(C387="Duplex",F387,NA())</f>
        <v>273</v>
      </c>
      <c r="V387" t="e">
        <f t="shared" ref="V387:V450" si="66">IF(C387="Studio",I387,NA())</f>
        <v>#N/A</v>
      </c>
      <c r="W387" t="e">
        <f t="shared" ref="W387:W450" si="67">IF(C387="Studio",F387,NA())</f>
        <v>#N/A</v>
      </c>
      <c r="X387" t="e">
        <f t="shared" ref="X387:X450" si="68">IF(C387="Floor",I387,NA())</f>
        <v>#N/A</v>
      </c>
      <c r="Y387" t="e">
        <f t="shared" ref="Y387:Y450" si="69">IF(C387="Floor",F387,NA())</f>
        <v>#N/A</v>
      </c>
    </row>
    <row r="388" spans="1:25" x14ac:dyDescent="0.2">
      <c r="A388">
        <v>1386</v>
      </c>
      <c r="B388" t="s">
        <v>42</v>
      </c>
      <c r="C388" t="s">
        <v>29</v>
      </c>
      <c r="D388">
        <v>2023</v>
      </c>
      <c r="E388" t="s">
        <v>26</v>
      </c>
      <c r="F388">
        <v>417</v>
      </c>
      <c r="G388">
        <v>6</v>
      </c>
      <c r="H388">
        <v>6</v>
      </c>
      <c r="I388">
        <v>2996000</v>
      </c>
      <c r="J388">
        <v>7184.7</v>
      </c>
      <c r="K388">
        <v>3</v>
      </c>
      <c r="L388" t="s">
        <v>17</v>
      </c>
      <c r="M388">
        <v>46</v>
      </c>
      <c r="N388" t="s">
        <v>21</v>
      </c>
      <c r="P388">
        <f t="shared" si="60"/>
        <v>2996000</v>
      </c>
      <c r="Q388">
        <f t="shared" si="61"/>
        <v>417</v>
      </c>
      <c r="R388" t="e">
        <f t="shared" si="62"/>
        <v>#N/A</v>
      </c>
      <c r="S388" t="e">
        <f t="shared" si="63"/>
        <v>#N/A</v>
      </c>
      <c r="T388" t="e">
        <f t="shared" si="64"/>
        <v>#N/A</v>
      </c>
      <c r="U388" t="e">
        <f t="shared" si="65"/>
        <v>#N/A</v>
      </c>
      <c r="V388" t="e">
        <f t="shared" si="66"/>
        <v>#N/A</v>
      </c>
      <c r="W388" t="e">
        <f t="shared" si="67"/>
        <v>#N/A</v>
      </c>
      <c r="X388" t="e">
        <f t="shared" si="68"/>
        <v>#N/A</v>
      </c>
      <c r="Y388" t="e">
        <f t="shared" si="69"/>
        <v>#N/A</v>
      </c>
    </row>
    <row r="389" spans="1:25" x14ac:dyDescent="0.2">
      <c r="A389">
        <v>1387</v>
      </c>
      <c r="B389" t="s">
        <v>44</v>
      </c>
      <c r="C389" t="s">
        <v>29</v>
      </c>
      <c r="D389">
        <v>2024</v>
      </c>
      <c r="E389" t="s">
        <v>16</v>
      </c>
      <c r="F389">
        <v>377</v>
      </c>
      <c r="G389">
        <v>6</v>
      </c>
      <c r="H389">
        <v>6</v>
      </c>
      <c r="I389">
        <v>1820000</v>
      </c>
      <c r="J389">
        <v>4827.6000000000004</v>
      </c>
      <c r="K389">
        <v>20</v>
      </c>
      <c r="L389" t="s">
        <v>20</v>
      </c>
      <c r="M389">
        <v>92</v>
      </c>
      <c r="N389" t="s">
        <v>18</v>
      </c>
      <c r="P389">
        <f t="shared" si="60"/>
        <v>1820000</v>
      </c>
      <c r="Q389">
        <f t="shared" si="61"/>
        <v>377</v>
      </c>
      <c r="R389" t="e">
        <f t="shared" si="62"/>
        <v>#N/A</v>
      </c>
      <c r="S389" t="e">
        <f t="shared" si="63"/>
        <v>#N/A</v>
      </c>
      <c r="T389" t="e">
        <f t="shared" si="64"/>
        <v>#N/A</v>
      </c>
      <c r="U389" t="e">
        <f t="shared" si="65"/>
        <v>#N/A</v>
      </c>
      <c r="V389" t="e">
        <f t="shared" si="66"/>
        <v>#N/A</v>
      </c>
      <c r="W389" t="e">
        <f t="shared" si="67"/>
        <v>#N/A</v>
      </c>
      <c r="X389" t="e">
        <f t="shared" si="68"/>
        <v>#N/A</v>
      </c>
      <c r="Y389" t="e">
        <f t="shared" si="69"/>
        <v>#N/A</v>
      </c>
    </row>
    <row r="390" spans="1:25" x14ac:dyDescent="0.2">
      <c r="A390">
        <v>1388</v>
      </c>
      <c r="B390" t="s">
        <v>32</v>
      </c>
      <c r="C390" t="s">
        <v>38</v>
      </c>
      <c r="D390">
        <v>2021</v>
      </c>
      <c r="E390" t="s">
        <v>16</v>
      </c>
      <c r="F390">
        <v>52</v>
      </c>
      <c r="G390">
        <v>0</v>
      </c>
      <c r="H390">
        <v>1</v>
      </c>
      <c r="I390">
        <v>173000</v>
      </c>
      <c r="J390">
        <v>3326.9</v>
      </c>
      <c r="K390">
        <v>4</v>
      </c>
      <c r="L390" t="s">
        <v>17</v>
      </c>
      <c r="M390">
        <v>16</v>
      </c>
      <c r="N390" t="s">
        <v>18</v>
      </c>
      <c r="P390" t="e">
        <f t="shared" si="60"/>
        <v>#N/A</v>
      </c>
      <c r="Q390" t="e">
        <f t="shared" si="61"/>
        <v>#N/A</v>
      </c>
      <c r="R390" t="e">
        <f t="shared" si="62"/>
        <v>#N/A</v>
      </c>
      <c r="S390" t="e">
        <f t="shared" si="63"/>
        <v>#N/A</v>
      </c>
      <c r="T390" t="e">
        <f t="shared" si="64"/>
        <v>#N/A</v>
      </c>
      <c r="U390" t="e">
        <f t="shared" si="65"/>
        <v>#N/A</v>
      </c>
      <c r="V390">
        <f t="shared" si="66"/>
        <v>173000</v>
      </c>
      <c r="W390">
        <f t="shared" si="67"/>
        <v>52</v>
      </c>
      <c r="X390" t="e">
        <f t="shared" si="68"/>
        <v>#N/A</v>
      </c>
      <c r="Y390" t="e">
        <f t="shared" si="69"/>
        <v>#N/A</v>
      </c>
    </row>
    <row r="391" spans="1:25" x14ac:dyDescent="0.2">
      <c r="A391">
        <v>1389</v>
      </c>
      <c r="B391" t="s">
        <v>35</v>
      </c>
      <c r="C391" t="s">
        <v>15</v>
      </c>
      <c r="D391">
        <v>2021</v>
      </c>
      <c r="E391" t="s">
        <v>30</v>
      </c>
      <c r="F391">
        <v>190</v>
      </c>
      <c r="G391">
        <v>4</v>
      </c>
      <c r="H391">
        <v>4</v>
      </c>
      <c r="I391">
        <v>589000</v>
      </c>
      <c r="J391">
        <v>3100</v>
      </c>
      <c r="K391">
        <v>20</v>
      </c>
      <c r="L391" t="s">
        <v>20</v>
      </c>
      <c r="M391">
        <v>140</v>
      </c>
      <c r="N391" t="s">
        <v>18</v>
      </c>
      <c r="P391" t="e">
        <f t="shared" si="60"/>
        <v>#N/A</v>
      </c>
      <c r="Q391" t="e">
        <f t="shared" si="61"/>
        <v>#N/A</v>
      </c>
      <c r="R391">
        <f t="shared" si="62"/>
        <v>589000</v>
      </c>
      <c r="S391">
        <f t="shared" si="63"/>
        <v>190</v>
      </c>
      <c r="T391" t="e">
        <f t="shared" si="64"/>
        <v>#N/A</v>
      </c>
      <c r="U391" t="e">
        <f t="shared" si="65"/>
        <v>#N/A</v>
      </c>
      <c r="V391" t="e">
        <f t="shared" si="66"/>
        <v>#N/A</v>
      </c>
      <c r="W391" t="e">
        <f t="shared" si="67"/>
        <v>#N/A</v>
      </c>
      <c r="X391" t="e">
        <f t="shared" si="68"/>
        <v>#N/A</v>
      </c>
      <c r="Y391" t="e">
        <f t="shared" si="69"/>
        <v>#N/A</v>
      </c>
    </row>
    <row r="392" spans="1:25" x14ac:dyDescent="0.2">
      <c r="A392">
        <v>1390</v>
      </c>
      <c r="B392" t="s">
        <v>22</v>
      </c>
      <c r="C392" t="s">
        <v>29</v>
      </c>
      <c r="D392">
        <v>2024</v>
      </c>
      <c r="E392" t="s">
        <v>30</v>
      </c>
      <c r="F392">
        <v>520</v>
      </c>
      <c r="G392">
        <v>5</v>
      </c>
      <c r="H392">
        <v>5</v>
      </c>
      <c r="I392">
        <v>2952000</v>
      </c>
      <c r="J392">
        <v>5676.9</v>
      </c>
      <c r="K392">
        <v>10</v>
      </c>
      <c r="L392" t="s">
        <v>17</v>
      </c>
      <c r="M392">
        <v>126</v>
      </c>
      <c r="N392" t="s">
        <v>18</v>
      </c>
      <c r="P392">
        <f t="shared" si="60"/>
        <v>2952000</v>
      </c>
      <c r="Q392">
        <f t="shared" si="61"/>
        <v>520</v>
      </c>
      <c r="R392" t="e">
        <f t="shared" si="62"/>
        <v>#N/A</v>
      </c>
      <c r="S392" t="e">
        <f t="shared" si="63"/>
        <v>#N/A</v>
      </c>
      <c r="T392" t="e">
        <f t="shared" si="64"/>
        <v>#N/A</v>
      </c>
      <c r="U392" t="e">
        <f t="shared" si="65"/>
        <v>#N/A</v>
      </c>
      <c r="V392" t="e">
        <f t="shared" si="66"/>
        <v>#N/A</v>
      </c>
      <c r="W392" t="e">
        <f t="shared" si="67"/>
        <v>#N/A</v>
      </c>
      <c r="X392" t="e">
        <f t="shared" si="68"/>
        <v>#N/A</v>
      </c>
      <c r="Y392" t="e">
        <f t="shared" si="69"/>
        <v>#N/A</v>
      </c>
    </row>
    <row r="393" spans="1:25" x14ac:dyDescent="0.2">
      <c r="A393">
        <v>1391</v>
      </c>
      <c r="B393" t="s">
        <v>25</v>
      </c>
      <c r="C393" t="s">
        <v>15</v>
      </c>
      <c r="D393">
        <v>2021</v>
      </c>
      <c r="E393" t="s">
        <v>24</v>
      </c>
      <c r="F393">
        <v>83</v>
      </c>
      <c r="G393">
        <v>3</v>
      </c>
      <c r="H393">
        <v>3</v>
      </c>
      <c r="I393">
        <v>178000</v>
      </c>
      <c r="J393">
        <v>2144.6</v>
      </c>
      <c r="K393">
        <v>20</v>
      </c>
      <c r="L393" t="s">
        <v>34</v>
      </c>
      <c r="M393">
        <v>64</v>
      </c>
      <c r="N393" t="s">
        <v>27</v>
      </c>
      <c r="P393" t="e">
        <f t="shared" si="60"/>
        <v>#N/A</v>
      </c>
      <c r="Q393" t="e">
        <f t="shared" si="61"/>
        <v>#N/A</v>
      </c>
      <c r="R393">
        <f t="shared" si="62"/>
        <v>178000</v>
      </c>
      <c r="S393">
        <f t="shared" si="63"/>
        <v>83</v>
      </c>
      <c r="T393" t="e">
        <f t="shared" si="64"/>
        <v>#N/A</v>
      </c>
      <c r="U393" t="e">
        <f t="shared" si="65"/>
        <v>#N/A</v>
      </c>
      <c r="V393" t="e">
        <f t="shared" si="66"/>
        <v>#N/A</v>
      </c>
      <c r="W393" t="e">
        <f t="shared" si="67"/>
        <v>#N/A</v>
      </c>
      <c r="X393" t="e">
        <f t="shared" si="68"/>
        <v>#N/A</v>
      </c>
      <c r="Y393" t="e">
        <f t="shared" si="69"/>
        <v>#N/A</v>
      </c>
    </row>
    <row r="394" spans="1:25" x14ac:dyDescent="0.2">
      <c r="A394">
        <v>1392</v>
      </c>
      <c r="B394" t="s">
        <v>47</v>
      </c>
      <c r="C394" t="s">
        <v>29</v>
      </c>
      <c r="D394">
        <v>2022</v>
      </c>
      <c r="E394" t="s">
        <v>30</v>
      </c>
      <c r="F394">
        <v>307</v>
      </c>
      <c r="G394">
        <v>5</v>
      </c>
      <c r="H394">
        <v>5</v>
      </c>
      <c r="I394">
        <v>1390000</v>
      </c>
      <c r="J394">
        <v>4527.7</v>
      </c>
      <c r="K394">
        <v>15</v>
      </c>
      <c r="L394" t="s">
        <v>34</v>
      </c>
      <c r="M394">
        <v>63</v>
      </c>
      <c r="N394" t="s">
        <v>21</v>
      </c>
      <c r="P394">
        <f t="shared" si="60"/>
        <v>1390000</v>
      </c>
      <c r="Q394">
        <f t="shared" si="61"/>
        <v>307</v>
      </c>
      <c r="R394" t="e">
        <f t="shared" si="62"/>
        <v>#N/A</v>
      </c>
      <c r="S394" t="e">
        <f t="shared" si="63"/>
        <v>#N/A</v>
      </c>
      <c r="T394" t="e">
        <f t="shared" si="64"/>
        <v>#N/A</v>
      </c>
      <c r="U394" t="e">
        <f t="shared" si="65"/>
        <v>#N/A</v>
      </c>
      <c r="V394" t="e">
        <f t="shared" si="66"/>
        <v>#N/A</v>
      </c>
      <c r="W394" t="e">
        <f t="shared" si="67"/>
        <v>#N/A</v>
      </c>
      <c r="X394" t="e">
        <f t="shared" si="68"/>
        <v>#N/A</v>
      </c>
      <c r="Y394" t="e">
        <f t="shared" si="69"/>
        <v>#N/A</v>
      </c>
    </row>
    <row r="395" spans="1:25" x14ac:dyDescent="0.2">
      <c r="A395">
        <v>1393</v>
      </c>
      <c r="B395" t="s">
        <v>35</v>
      </c>
      <c r="C395" t="s">
        <v>15</v>
      </c>
      <c r="D395">
        <v>2022</v>
      </c>
      <c r="E395" t="s">
        <v>26</v>
      </c>
      <c r="F395">
        <v>122</v>
      </c>
      <c r="G395">
        <v>4</v>
      </c>
      <c r="H395">
        <v>4</v>
      </c>
      <c r="I395">
        <v>406000</v>
      </c>
      <c r="J395">
        <v>3327.9</v>
      </c>
      <c r="K395">
        <v>3</v>
      </c>
      <c r="L395" t="s">
        <v>20</v>
      </c>
      <c r="M395">
        <v>14</v>
      </c>
      <c r="N395" t="s">
        <v>18</v>
      </c>
      <c r="P395" t="e">
        <f t="shared" si="60"/>
        <v>#N/A</v>
      </c>
      <c r="Q395" t="e">
        <f t="shared" si="61"/>
        <v>#N/A</v>
      </c>
      <c r="R395">
        <f t="shared" si="62"/>
        <v>406000</v>
      </c>
      <c r="S395">
        <f t="shared" si="63"/>
        <v>122</v>
      </c>
      <c r="T395" t="e">
        <f t="shared" si="64"/>
        <v>#N/A</v>
      </c>
      <c r="U395" t="e">
        <f t="shared" si="65"/>
        <v>#N/A</v>
      </c>
      <c r="V395" t="e">
        <f t="shared" si="66"/>
        <v>#N/A</v>
      </c>
      <c r="W395" t="e">
        <f t="shared" si="67"/>
        <v>#N/A</v>
      </c>
      <c r="X395" t="e">
        <f t="shared" si="68"/>
        <v>#N/A</v>
      </c>
      <c r="Y395" t="e">
        <f t="shared" si="69"/>
        <v>#N/A</v>
      </c>
    </row>
    <row r="396" spans="1:25" x14ac:dyDescent="0.2">
      <c r="A396">
        <v>1394</v>
      </c>
      <c r="B396" t="s">
        <v>44</v>
      </c>
      <c r="C396" t="s">
        <v>15</v>
      </c>
      <c r="D396">
        <v>2021</v>
      </c>
      <c r="E396" t="s">
        <v>24</v>
      </c>
      <c r="F396">
        <v>173</v>
      </c>
      <c r="G396">
        <v>3</v>
      </c>
      <c r="H396">
        <v>3</v>
      </c>
      <c r="I396">
        <v>440000</v>
      </c>
      <c r="J396">
        <v>2543.4</v>
      </c>
      <c r="K396">
        <v>4</v>
      </c>
      <c r="L396" t="s">
        <v>20</v>
      </c>
      <c r="M396">
        <v>62</v>
      </c>
      <c r="N396" t="s">
        <v>18</v>
      </c>
      <c r="P396" t="e">
        <f t="shared" si="60"/>
        <v>#N/A</v>
      </c>
      <c r="Q396" t="e">
        <f t="shared" si="61"/>
        <v>#N/A</v>
      </c>
      <c r="R396">
        <f t="shared" si="62"/>
        <v>440000</v>
      </c>
      <c r="S396">
        <f t="shared" si="63"/>
        <v>173</v>
      </c>
      <c r="T396" t="e">
        <f t="shared" si="64"/>
        <v>#N/A</v>
      </c>
      <c r="U396" t="e">
        <f t="shared" si="65"/>
        <v>#N/A</v>
      </c>
      <c r="V396" t="e">
        <f t="shared" si="66"/>
        <v>#N/A</v>
      </c>
      <c r="W396" t="e">
        <f t="shared" si="67"/>
        <v>#N/A</v>
      </c>
      <c r="X396" t="e">
        <f t="shared" si="68"/>
        <v>#N/A</v>
      </c>
      <c r="Y396" t="e">
        <f t="shared" si="69"/>
        <v>#N/A</v>
      </c>
    </row>
    <row r="397" spans="1:25" x14ac:dyDescent="0.2">
      <c r="A397">
        <v>1395</v>
      </c>
      <c r="B397" t="s">
        <v>48</v>
      </c>
      <c r="C397" t="s">
        <v>23</v>
      </c>
      <c r="D397">
        <v>2021</v>
      </c>
      <c r="E397" t="s">
        <v>26</v>
      </c>
      <c r="F397">
        <v>344</v>
      </c>
      <c r="G397">
        <v>4</v>
      </c>
      <c r="H397">
        <v>4</v>
      </c>
      <c r="I397">
        <v>1026000</v>
      </c>
      <c r="J397">
        <v>2982.6</v>
      </c>
      <c r="K397">
        <v>7</v>
      </c>
      <c r="L397" t="s">
        <v>34</v>
      </c>
      <c r="M397">
        <v>122</v>
      </c>
      <c r="N397" t="s">
        <v>27</v>
      </c>
      <c r="P397" t="e">
        <f t="shared" si="60"/>
        <v>#N/A</v>
      </c>
      <c r="Q397" t="e">
        <f t="shared" si="61"/>
        <v>#N/A</v>
      </c>
      <c r="R397" t="e">
        <f t="shared" si="62"/>
        <v>#N/A</v>
      </c>
      <c r="S397" t="e">
        <f t="shared" si="63"/>
        <v>#N/A</v>
      </c>
      <c r="T397">
        <f t="shared" si="64"/>
        <v>1026000</v>
      </c>
      <c r="U397">
        <f t="shared" si="65"/>
        <v>344</v>
      </c>
      <c r="V397" t="e">
        <f t="shared" si="66"/>
        <v>#N/A</v>
      </c>
      <c r="W397" t="e">
        <f t="shared" si="67"/>
        <v>#N/A</v>
      </c>
      <c r="X397" t="e">
        <f t="shared" si="68"/>
        <v>#N/A</v>
      </c>
      <c r="Y397" t="e">
        <f t="shared" si="69"/>
        <v>#N/A</v>
      </c>
    </row>
    <row r="398" spans="1:25" x14ac:dyDescent="0.2">
      <c r="A398">
        <v>1396</v>
      </c>
      <c r="B398" t="s">
        <v>46</v>
      </c>
      <c r="C398" t="s">
        <v>38</v>
      </c>
      <c r="D398">
        <v>2024</v>
      </c>
      <c r="E398" t="s">
        <v>24</v>
      </c>
      <c r="F398">
        <v>62</v>
      </c>
      <c r="G398">
        <v>0</v>
      </c>
      <c r="H398">
        <v>1</v>
      </c>
      <c r="I398">
        <v>276000</v>
      </c>
      <c r="J398">
        <v>4451.6000000000004</v>
      </c>
      <c r="K398">
        <v>0</v>
      </c>
      <c r="L398" t="s">
        <v>17</v>
      </c>
      <c r="M398">
        <v>148</v>
      </c>
      <c r="N398" t="s">
        <v>18</v>
      </c>
      <c r="P398" t="e">
        <f t="shared" si="60"/>
        <v>#N/A</v>
      </c>
      <c r="Q398" t="e">
        <f t="shared" si="61"/>
        <v>#N/A</v>
      </c>
      <c r="R398" t="e">
        <f t="shared" si="62"/>
        <v>#N/A</v>
      </c>
      <c r="S398" t="e">
        <f t="shared" si="63"/>
        <v>#N/A</v>
      </c>
      <c r="T398" t="e">
        <f t="shared" si="64"/>
        <v>#N/A</v>
      </c>
      <c r="U398" t="e">
        <f t="shared" si="65"/>
        <v>#N/A</v>
      </c>
      <c r="V398">
        <f t="shared" si="66"/>
        <v>276000</v>
      </c>
      <c r="W398">
        <f t="shared" si="67"/>
        <v>62</v>
      </c>
      <c r="X398" t="e">
        <f t="shared" si="68"/>
        <v>#N/A</v>
      </c>
      <c r="Y398" t="e">
        <f t="shared" si="69"/>
        <v>#N/A</v>
      </c>
    </row>
    <row r="399" spans="1:25" x14ac:dyDescent="0.2">
      <c r="A399">
        <v>1397</v>
      </c>
      <c r="B399" t="s">
        <v>39</v>
      </c>
      <c r="C399" t="s">
        <v>29</v>
      </c>
      <c r="D399">
        <v>2022</v>
      </c>
      <c r="E399" t="s">
        <v>26</v>
      </c>
      <c r="F399">
        <v>330</v>
      </c>
      <c r="G399">
        <v>5</v>
      </c>
      <c r="H399">
        <v>5</v>
      </c>
      <c r="I399">
        <v>1735000</v>
      </c>
      <c r="J399">
        <v>5257.6</v>
      </c>
      <c r="K399">
        <v>1</v>
      </c>
      <c r="L399" t="s">
        <v>34</v>
      </c>
      <c r="M399">
        <v>123</v>
      </c>
      <c r="N399" t="s">
        <v>21</v>
      </c>
      <c r="P399">
        <f t="shared" si="60"/>
        <v>1735000</v>
      </c>
      <c r="Q399">
        <f t="shared" si="61"/>
        <v>330</v>
      </c>
      <c r="R399" t="e">
        <f t="shared" si="62"/>
        <v>#N/A</v>
      </c>
      <c r="S399" t="e">
        <f t="shared" si="63"/>
        <v>#N/A</v>
      </c>
      <c r="T399" t="e">
        <f t="shared" si="64"/>
        <v>#N/A</v>
      </c>
      <c r="U399" t="e">
        <f t="shared" si="65"/>
        <v>#N/A</v>
      </c>
      <c r="V399" t="e">
        <f t="shared" si="66"/>
        <v>#N/A</v>
      </c>
      <c r="W399" t="e">
        <f t="shared" si="67"/>
        <v>#N/A</v>
      </c>
      <c r="X399" t="e">
        <f t="shared" si="68"/>
        <v>#N/A</v>
      </c>
      <c r="Y399" t="e">
        <f t="shared" si="69"/>
        <v>#N/A</v>
      </c>
    </row>
    <row r="400" spans="1:25" x14ac:dyDescent="0.2">
      <c r="A400">
        <v>1398</v>
      </c>
      <c r="B400" t="s">
        <v>40</v>
      </c>
      <c r="C400" t="s">
        <v>29</v>
      </c>
      <c r="D400">
        <v>2022</v>
      </c>
      <c r="E400" t="s">
        <v>16</v>
      </c>
      <c r="F400">
        <v>378</v>
      </c>
      <c r="G400">
        <v>5</v>
      </c>
      <c r="H400">
        <v>5</v>
      </c>
      <c r="I400">
        <v>1934000</v>
      </c>
      <c r="J400">
        <v>5116.3999999999996</v>
      </c>
      <c r="K400">
        <v>1</v>
      </c>
      <c r="L400" t="s">
        <v>20</v>
      </c>
      <c r="M400">
        <v>112</v>
      </c>
      <c r="N400" t="s">
        <v>18</v>
      </c>
      <c r="P400">
        <f t="shared" si="60"/>
        <v>1934000</v>
      </c>
      <c r="Q400">
        <f t="shared" si="61"/>
        <v>378</v>
      </c>
      <c r="R400" t="e">
        <f t="shared" si="62"/>
        <v>#N/A</v>
      </c>
      <c r="S400" t="e">
        <f t="shared" si="63"/>
        <v>#N/A</v>
      </c>
      <c r="T400" t="e">
        <f t="shared" si="64"/>
        <v>#N/A</v>
      </c>
      <c r="U400" t="e">
        <f t="shared" si="65"/>
        <v>#N/A</v>
      </c>
      <c r="V400" t="e">
        <f t="shared" si="66"/>
        <v>#N/A</v>
      </c>
      <c r="W400" t="e">
        <f t="shared" si="67"/>
        <v>#N/A</v>
      </c>
      <c r="X400" t="e">
        <f t="shared" si="68"/>
        <v>#N/A</v>
      </c>
      <c r="Y400" t="e">
        <f t="shared" si="69"/>
        <v>#N/A</v>
      </c>
    </row>
    <row r="401" spans="1:25" x14ac:dyDescent="0.2">
      <c r="A401">
        <v>1399</v>
      </c>
      <c r="B401" t="s">
        <v>45</v>
      </c>
      <c r="C401" t="s">
        <v>23</v>
      </c>
      <c r="D401">
        <v>2021</v>
      </c>
      <c r="E401" t="s">
        <v>30</v>
      </c>
      <c r="F401">
        <v>304</v>
      </c>
      <c r="G401">
        <v>3</v>
      </c>
      <c r="H401">
        <v>3</v>
      </c>
      <c r="I401">
        <v>1206000</v>
      </c>
      <c r="J401">
        <v>3967.1</v>
      </c>
      <c r="K401">
        <v>3</v>
      </c>
      <c r="L401" t="s">
        <v>17</v>
      </c>
      <c r="M401">
        <v>162</v>
      </c>
      <c r="N401" t="s">
        <v>21</v>
      </c>
      <c r="P401" t="e">
        <f t="shared" si="60"/>
        <v>#N/A</v>
      </c>
      <c r="Q401" t="e">
        <f t="shared" si="61"/>
        <v>#N/A</v>
      </c>
      <c r="R401" t="e">
        <f t="shared" si="62"/>
        <v>#N/A</v>
      </c>
      <c r="S401" t="e">
        <f t="shared" si="63"/>
        <v>#N/A</v>
      </c>
      <c r="T401">
        <f t="shared" si="64"/>
        <v>1206000</v>
      </c>
      <c r="U401">
        <f t="shared" si="65"/>
        <v>304</v>
      </c>
      <c r="V401" t="e">
        <f t="shared" si="66"/>
        <v>#N/A</v>
      </c>
      <c r="W401" t="e">
        <f t="shared" si="67"/>
        <v>#N/A</v>
      </c>
      <c r="X401" t="e">
        <f t="shared" si="68"/>
        <v>#N/A</v>
      </c>
      <c r="Y401" t="e">
        <f t="shared" si="69"/>
        <v>#N/A</v>
      </c>
    </row>
    <row r="402" spans="1:25" x14ac:dyDescent="0.2">
      <c r="A402">
        <v>1400</v>
      </c>
      <c r="B402" t="s">
        <v>33</v>
      </c>
      <c r="C402" t="s">
        <v>38</v>
      </c>
      <c r="D402">
        <v>2024</v>
      </c>
      <c r="E402" t="s">
        <v>16</v>
      </c>
      <c r="F402">
        <v>53</v>
      </c>
      <c r="G402">
        <v>0</v>
      </c>
      <c r="H402">
        <v>1</v>
      </c>
      <c r="I402">
        <v>208000</v>
      </c>
      <c r="J402">
        <v>3924.5</v>
      </c>
      <c r="K402">
        <v>0</v>
      </c>
      <c r="L402" t="s">
        <v>17</v>
      </c>
      <c r="M402">
        <v>77</v>
      </c>
      <c r="N402" t="s">
        <v>27</v>
      </c>
      <c r="P402" t="e">
        <f t="shared" si="60"/>
        <v>#N/A</v>
      </c>
      <c r="Q402" t="e">
        <f t="shared" si="61"/>
        <v>#N/A</v>
      </c>
      <c r="R402" t="e">
        <f t="shared" si="62"/>
        <v>#N/A</v>
      </c>
      <c r="S402" t="e">
        <f t="shared" si="63"/>
        <v>#N/A</v>
      </c>
      <c r="T402" t="e">
        <f t="shared" si="64"/>
        <v>#N/A</v>
      </c>
      <c r="U402" t="e">
        <f t="shared" si="65"/>
        <v>#N/A</v>
      </c>
      <c r="V402">
        <f t="shared" si="66"/>
        <v>208000</v>
      </c>
      <c r="W402">
        <f t="shared" si="67"/>
        <v>53</v>
      </c>
      <c r="X402" t="e">
        <f t="shared" si="68"/>
        <v>#N/A</v>
      </c>
      <c r="Y402" t="e">
        <f t="shared" si="69"/>
        <v>#N/A</v>
      </c>
    </row>
    <row r="403" spans="1:25" x14ac:dyDescent="0.2">
      <c r="A403">
        <v>1401</v>
      </c>
      <c r="B403" t="s">
        <v>31</v>
      </c>
      <c r="C403" t="s">
        <v>15</v>
      </c>
      <c r="D403">
        <v>2023</v>
      </c>
      <c r="E403" t="s">
        <v>26</v>
      </c>
      <c r="F403">
        <v>134</v>
      </c>
      <c r="G403">
        <v>3</v>
      </c>
      <c r="H403">
        <v>3</v>
      </c>
      <c r="I403">
        <v>408000</v>
      </c>
      <c r="J403">
        <v>3044.8</v>
      </c>
      <c r="K403">
        <v>4</v>
      </c>
      <c r="L403" t="s">
        <v>17</v>
      </c>
      <c r="M403">
        <v>2</v>
      </c>
      <c r="N403" t="s">
        <v>21</v>
      </c>
      <c r="P403" t="e">
        <f t="shared" si="60"/>
        <v>#N/A</v>
      </c>
      <c r="Q403" t="e">
        <f t="shared" si="61"/>
        <v>#N/A</v>
      </c>
      <c r="R403">
        <f t="shared" si="62"/>
        <v>408000</v>
      </c>
      <c r="S403">
        <f t="shared" si="63"/>
        <v>134</v>
      </c>
      <c r="T403" t="e">
        <f t="shared" si="64"/>
        <v>#N/A</v>
      </c>
      <c r="U403" t="e">
        <f t="shared" si="65"/>
        <v>#N/A</v>
      </c>
      <c r="V403" t="e">
        <f t="shared" si="66"/>
        <v>#N/A</v>
      </c>
      <c r="W403" t="e">
        <f t="shared" si="67"/>
        <v>#N/A</v>
      </c>
      <c r="X403" t="e">
        <f t="shared" si="68"/>
        <v>#N/A</v>
      </c>
      <c r="Y403" t="e">
        <f t="shared" si="69"/>
        <v>#N/A</v>
      </c>
    </row>
    <row r="404" spans="1:25" x14ac:dyDescent="0.2">
      <c r="A404">
        <v>1402</v>
      </c>
      <c r="B404" t="s">
        <v>40</v>
      </c>
      <c r="C404" t="s">
        <v>15</v>
      </c>
      <c r="D404">
        <v>2021</v>
      </c>
      <c r="E404" t="s">
        <v>24</v>
      </c>
      <c r="F404">
        <v>134</v>
      </c>
      <c r="G404">
        <v>3</v>
      </c>
      <c r="H404">
        <v>3</v>
      </c>
      <c r="I404">
        <v>419000</v>
      </c>
      <c r="J404">
        <v>3126.9</v>
      </c>
      <c r="K404">
        <v>1</v>
      </c>
      <c r="L404" t="s">
        <v>20</v>
      </c>
      <c r="M404">
        <v>173</v>
      </c>
      <c r="N404" t="s">
        <v>18</v>
      </c>
      <c r="P404" t="e">
        <f t="shared" si="60"/>
        <v>#N/A</v>
      </c>
      <c r="Q404" t="e">
        <f t="shared" si="61"/>
        <v>#N/A</v>
      </c>
      <c r="R404">
        <f t="shared" si="62"/>
        <v>419000</v>
      </c>
      <c r="S404">
        <f t="shared" si="63"/>
        <v>134</v>
      </c>
      <c r="T404" t="e">
        <f t="shared" si="64"/>
        <v>#N/A</v>
      </c>
      <c r="U404" t="e">
        <f t="shared" si="65"/>
        <v>#N/A</v>
      </c>
      <c r="V404" t="e">
        <f t="shared" si="66"/>
        <v>#N/A</v>
      </c>
      <c r="W404" t="e">
        <f t="shared" si="67"/>
        <v>#N/A</v>
      </c>
      <c r="X404" t="e">
        <f t="shared" si="68"/>
        <v>#N/A</v>
      </c>
      <c r="Y404" t="e">
        <f t="shared" si="69"/>
        <v>#N/A</v>
      </c>
    </row>
    <row r="405" spans="1:25" x14ac:dyDescent="0.2">
      <c r="A405">
        <v>1403</v>
      </c>
      <c r="B405" t="s">
        <v>32</v>
      </c>
      <c r="C405" t="s">
        <v>15</v>
      </c>
      <c r="D405">
        <v>2024</v>
      </c>
      <c r="E405" t="s">
        <v>26</v>
      </c>
      <c r="F405">
        <v>180</v>
      </c>
      <c r="G405">
        <v>3</v>
      </c>
      <c r="H405">
        <v>3</v>
      </c>
      <c r="I405">
        <v>536000</v>
      </c>
      <c r="J405">
        <v>2977.8</v>
      </c>
      <c r="K405">
        <v>15</v>
      </c>
      <c r="L405" t="s">
        <v>20</v>
      </c>
      <c r="M405">
        <v>33</v>
      </c>
      <c r="N405" t="s">
        <v>18</v>
      </c>
      <c r="P405" t="e">
        <f t="shared" si="60"/>
        <v>#N/A</v>
      </c>
      <c r="Q405" t="e">
        <f t="shared" si="61"/>
        <v>#N/A</v>
      </c>
      <c r="R405">
        <f t="shared" si="62"/>
        <v>536000</v>
      </c>
      <c r="S405">
        <f t="shared" si="63"/>
        <v>180</v>
      </c>
      <c r="T405" t="e">
        <f t="shared" si="64"/>
        <v>#N/A</v>
      </c>
      <c r="U405" t="e">
        <f t="shared" si="65"/>
        <v>#N/A</v>
      </c>
      <c r="V405" t="e">
        <f t="shared" si="66"/>
        <v>#N/A</v>
      </c>
      <c r="W405" t="e">
        <f t="shared" si="67"/>
        <v>#N/A</v>
      </c>
      <c r="X405" t="e">
        <f t="shared" si="68"/>
        <v>#N/A</v>
      </c>
      <c r="Y405" t="e">
        <f t="shared" si="69"/>
        <v>#N/A</v>
      </c>
    </row>
    <row r="406" spans="1:25" x14ac:dyDescent="0.2">
      <c r="A406">
        <v>1404</v>
      </c>
      <c r="B406" t="s">
        <v>45</v>
      </c>
      <c r="C406" t="s">
        <v>36</v>
      </c>
      <c r="D406">
        <v>2022</v>
      </c>
      <c r="E406" t="s">
        <v>30</v>
      </c>
      <c r="F406">
        <v>386</v>
      </c>
      <c r="G406">
        <v>4</v>
      </c>
      <c r="H406">
        <v>4</v>
      </c>
      <c r="I406">
        <v>1045000</v>
      </c>
      <c r="J406">
        <v>2707.3</v>
      </c>
      <c r="K406">
        <v>1</v>
      </c>
      <c r="L406" t="s">
        <v>34</v>
      </c>
      <c r="M406">
        <v>133</v>
      </c>
      <c r="N406" t="s">
        <v>21</v>
      </c>
      <c r="P406" t="e">
        <f t="shared" si="60"/>
        <v>#N/A</v>
      </c>
      <c r="Q406" t="e">
        <f t="shared" si="61"/>
        <v>#N/A</v>
      </c>
      <c r="R406" t="e">
        <f t="shared" si="62"/>
        <v>#N/A</v>
      </c>
      <c r="S406" t="e">
        <f t="shared" si="63"/>
        <v>#N/A</v>
      </c>
      <c r="T406" t="e">
        <f t="shared" si="64"/>
        <v>#N/A</v>
      </c>
      <c r="U406" t="e">
        <f t="shared" si="65"/>
        <v>#N/A</v>
      </c>
      <c r="V406" t="e">
        <f t="shared" si="66"/>
        <v>#N/A</v>
      </c>
      <c r="W406" t="e">
        <f t="shared" si="67"/>
        <v>#N/A</v>
      </c>
      <c r="X406">
        <f t="shared" si="68"/>
        <v>1045000</v>
      </c>
      <c r="Y406">
        <f t="shared" si="69"/>
        <v>386</v>
      </c>
    </row>
    <row r="407" spans="1:25" x14ac:dyDescent="0.2">
      <c r="A407">
        <v>1405</v>
      </c>
      <c r="B407" t="s">
        <v>43</v>
      </c>
      <c r="C407" t="s">
        <v>38</v>
      </c>
      <c r="D407">
        <v>2022</v>
      </c>
      <c r="E407" t="s">
        <v>26</v>
      </c>
      <c r="F407">
        <v>52</v>
      </c>
      <c r="G407">
        <v>0</v>
      </c>
      <c r="H407">
        <v>1</v>
      </c>
      <c r="I407">
        <v>260000</v>
      </c>
      <c r="J407">
        <v>5000</v>
      </c>
      <c r="K407">
        <v>2</v>
      </c>
      <c r="L407" t="s">
        <v>17</v>
      </c>
      <c r="M407">
        <v>103</v>
      </c>
      <c r="N407" t="s">
        <v>27</v>
      </c>
      <c r="P407" t="e">
        <f t="shared" si="60"/>
        <v>#N/A</v>
      </c>
      <c r="Q407" t="e">
        <f t="shared" si="61"/>
        <v>#N/A</v>
      </c>
      <c r="R407" t="e">
        <f t="shared" si="62"/>
        <v>#N/A</v>
      </c>
      <c r="S407" t="e">
        <f t="shared" si="63"/>
        <v>#N/A</v>
      </c>
      <c r="T407" t="e">
        <f t="shared" si="64"/>
        <v>#N/A</v>
      </c>
      <c r="U407" t="e">
        <f t="shared" si="65"/>
        <v>#N/A</v>
      </c>
      <c r="V407">
        <f t="shared" si="66"/>
        <v>260000</v>
      </c>
      <c r="W407">
        <f t="shared" si="67"/>
        <v>52</v>
      </c>
      <c r="X407" t="e">
        <f t="shared" si="68"/>
        <v>#N/A</v>
      </c>
      <c r="Y407" t="e">
        <f t="shared" si="69"/>
        <v>#N/A</v>
      </c>
    </row>
    <row r="408" spans="1:25" x14ac:dyDescent="0.2">
      <c r="A408">
        <v>1406</v>
      </c>
      <c r="B408" t="s">
        <v>47</v>
      </c>
      <c r="C408" t="s">
        <v>15</v>
      </c>
      <c r="D408">
        <v>2022</v>
      </c>
      <c r="E408" t="s">
        <v>30</v>
      </c>
      <c r="F408">
        <v>155</v>
      </c>
      <c r="G408">
        <v>3</v>
      </c>
      <c r="H408">
        <v>3</v>
      </c>
      <c r="I408">
        <v>445000</v>
      </c>
      <c r="J408">
        <v>2871</v>
      </c>
      <c r="K408">
        <v>0</v>
      </c>
      <c r="L408" t="s">
        <v>17</v>
      </c>
      <c r="M408">
        <v>47</v>
      </c>
      <c r="N408" t="s">
        <v>21</v>
      </c>
      <c r="P408" t="e">
        <f t="shared" si="60"/>
        <v>#N/A</v>
      </c>
      <c r="Q408" t="e">
        <f t="shared" si="61"/>
        <v>#N/A</v>
      </c>
      <c r="R408">
        <f t="shared" si="62"/>
        <v>445000</v>
      </c>
      <c r="S408">
        <f t="shared" si="63"/>
        <v>155</v>
      </c>
      <c r="T408" t="e">
        <f t="shared" si="64"/>
        <v>#N/A</v>
      </c>
      <c r="U408" t="e">
        <f t="shared" si="65"/>
        <v>#N/A</v>
      </c>
      <c r="V408" t="e">
        <f t="shared" si="66"/>
        <v>#N/A</v>
      </c>
      <c r="W408" t="e">
        <f t="shared" si="67"/>
        <v>#N/A</v>
      </c>
      <c r="X408" t="e">
        <f t="shared" si="68"/>
        <v>#N/A</v>
      </c>
      <c r="Y408" t="e">
        <f t="shared" si="69"/>
        <v>#N/A</v>
      </c>
    </row>
    <row r="409" spans="1:25" x14ac:dyDescent="0.2">
      <c r="A409">
        <v>1407</v>
      </c>
      <c r="B409" t="s">
        <v>28</v>
      </c>
      <c r="C409" t="s">
        <v>29</v>
      </c>
      <c r="D409">
        <v>2023</v>
      </c>
      <c r="E409" t="s">
        <v>24</v>
      </c>
      <c r="F409">
        <v>320</v>
      </c>
      <c r="G409">
        <v>4</v>
      </c>
      <c r="H409">
        <v>4</v>
      </c>
      <c r="I409">
        <v>1577000</v>
      </c>
      <c r="J409">
        <v>4928.1000000000004</v>
      </c>
      <c r="K409">
        <v>15</v>
      </c>
      <c r="L409" t="s">
        <v>34</v>
      </c>
      <c r="M409">
        <v>36</v>
      </c>
      <c r="N409" t="s">
        <v>27</v>
      </c>
      <c r="P409">
        <f t="shared" si="60"/>
        <v>1577000</v>
      </c>
      <c r="Q409">
        <f t="shared" si="61"/>
        <v>320</v>
      </c>
      <c r="R409" t="e">
        <f t="shared" si="62"/>
        <v>#N/A</v>
      </c>
      <c r="S409" t="e">
        <f t="shared" si="63"/>
        <v>#N/A</v>
      </c>
      <c r="T409" t="e">
        <f t="shared" si="64"/>
        <v>#N/A</v>
      </c>
      <c r="U409" t="e">
        <f t="shared" si="65"/>
        <v>#N/A</v>
      </c>
      <c r="V409" t="e">
        <f t="shared" si="66"/>
        <v>#N/A</v>
      </c>
      <c r="W409" t="e">
        <f t="shared" si="67"/>
        <v>#N/A</v>
      </c>
      <c r="X409" t="e">
        <f t="shared" si="68"/>
        <v>#N/A</v>
      </c>
      <c r="Y409" t="e">
        <f t="shared" si="69"/>
        <v>#N/A</v>
      </c>
    </row>
    <row r="410" spans="1:25" x14ac:dyDescent="0.2">
      <c r="A410">
        <v>1408</v>
      </c>
      <c r="B410" t="s">
        <v>33</v>
      </c>
      <c r="C410" t="s">
        <v>29</v>
      </c>
      <c r="D410">
        <v>2022</v>
      </c>
      <c r="E410" t="s">
        <v>24</v>
      </c>
      <c r="F410">
        <v>378</v>
      </c>
      <c r="G410">
        <v>6</v>
      </c>
      <c r="H410">
        <v>6</v>
      </c>
      <c r="I410">
        <v>1383000</v>
      </c>
      <c r="J410">
        <v>3658.7</v>
      </c>
      <c r="K410">
        <v>3</v>
      </c>
      <c r="L410" t="s">
        <v>20</v>
      </c>
      <c r="M410">
        <v>111</v>
      </c>
      <c r="N410" t="s">
        <v>27</v>
      </c>
      <c r="P410">
        <f t="shared" si="60"/>
        <v>1383000</v>
      </c>
      <c r="Q410">
        <f t="shared" si="61"/>
        <v>378</v>
      </c>
      <c r="R410" t="e">
        <f t="shared" si="62"/>
        <v>#N/A</v>
      </c>
      <c r="S410" t="e">
        <f t="shared" si="63"/>
        <v>#N/A</v>
      </c>
      <c r="T410" t="e">
        <f t="shared" si="64"/>
        <v>#N/A</v>
      </c>
      <c r="U410" t="e">
        <f t="shared" si="65"/>
        <v>#N/A</v>
      </c>
      <c r="V410" t="e">
        <f t="shared" si="66"/>
        <v>#N/A</v>
      </c>
      <c r="W410" t="e">
        <f t="shared" si="67"/>
        <v>#N/A</v>
      </c>
      <c r="X410" t="e">
        <f t="shared" si="68"/>
        <v>#N/A</v>
      </c>
      <c r="Y410" t="e">
        <f t="shared" si="69"/>
        <v>#N/A</v>
      </c>
    </row>
    <row r="411" spans="1:25" x14ac:dyDescent="0.2">
      <c r="A411">
        <v>1409</v>
      </c>
      <c r="B411" t="s">
        <v>48</v>
      </c>
      <c r="C411" t="s">
        <v>29</v>
      </c>
      <c r="D411">
        <v>2022</v>
      </c>
      <c r="E411" t="s">
        <v>16</v>
      </c>
      <c r="F411">
        <v>504</v>
      </c>
      <c r="G411">
        <v>6</v>
      </c>
      <c r="H411">
        <v>6</v>
      </c>
      <c r="I411">
        <v>2163000</v>
      </c>
      <c r="J411">
        <v>4291.7</v>
      </c>
      <c r="K411">
        <v>0</v>
      </c>
      <c r="L411" t="s">
        <v>17</v>
      </c>
      <c r="M411">
        <v>57</v>
      </c>
      <c r="N411" t="s">
        <v>27</v>
      </c>
      <c r="P411">
        <f t="shared" si="60"/>
        <v>2163000</v>
      </c>
      <c r="Q411">
        <f t="shared" si="61"/>
        <v>504</v>
      </c>
      <c r="R411" t="e">
        <f t="shared" si="62"/>
        <v>#N/A</v>
      </c>
      <c r="S411" t="e">
        <f t="shared" si="63"/>
        <v>#N/A</v>
      </c>
      <c r="T411" t="e">
        <f t="shared" si="64"/>
        <v>#N/A</v>
      </c>
      <c r="U411" t="e">
        <f t="shared" si="65"/>
        <v>#N/A</v>
      </c>
      <c r="V411" t="e">
        <f t="shared" si="66"/>
        <v>#N/A</v>
      </c>
      <c r="W411" t="e">
        <f t="shared" si="67"/>
        <v>#N/A</v>
      </c>
      <c r="X411" t="e">
        <f t="shared" si="68"/>
        <v>#N/A</v>
      </c>
      <c r="Y411" t="e">
        <f t="shared" si="69"/>
        <v>#N/A</v>
      </c>
    </row>
    <row r="412" spans="1:25" x14ac:dyDescent="0.2">
      <c r="A412">
        <v>1410</v>
      </c>
      <c r="B412" t="s">
        <v>44</v>
      </c>
      <c r="C412" t="s">
        <v>23</v>
      </c>
      <c r="D412">
        <v>2024</v>
      </c>
      <c r="E412" t="s">
        <v>24</v>
      </c>
      <c r="F412">
        <v>202</v>
      </c>
      <c r="G412">
        <v>4</v>
      </c>
      <c r="H412">
        <v>4</v>
      </c>
      <c r="I412">
        <v>823000</v>
      </c>
      <c r="J412">
        <v>4074.3</v>
      </c>
      <c r="K412">
        <v>1</v>
      </c>
      <c r="L412" t="s">
        <v>34</v>
      </c>
      <c r="M412">
        <v>23</v>
      </c>
      <c r="N412" t="s">
        <v>18</v>
      </c>
      <c r="P412" t="e">
        <f t="shared" si="60"/>
        <v>#N/A</v>
      </c>
      <c r="Q412" t="e">
        <f t="shared" si="61"/>
        <v>#N/A</v>
      </c>
      <c r="R412" t="e">
        <f t="shared" si="62"/>
        <v>#N/A</v>
      </c>
      <c r="S412" t="e">
        <f t="shared" si="63"/>
        <v>#N/A</v>
      </c>
      <c r="T412">
        <f t="shared" si="64"/>
        <v>823000</v>
      </c>
      <c r="U412">
        <f t="shared" si="65"/>
        <v>202</v>
      </c>
      <c r="V412" t="e">
        <f t="shared" si="66"/>
        <v>#N/A</v>
      </c>
      <c r="W412" t="e">
        <f t="shared" si="67"/>
        <v>#N/A</v>
      </c>
      <c r="X412" t="e">
        <f t="shared" si="68"/>
        <v>#N/A</v>
      </c>
      <c r="Y412" t="e">
        <f t="shared" si="69"/>
        <v>#N/A</v>
      </c>
    </row>
    <row r="413" spans="1:25" x14ac:dyDescent="0.2">
      <c r="A413">
        <v>1411</v>
      </c>
      <c r="B413" t="s">
        <v>46</v>
      </c>
      <c r="C413" t="s">
        <v>23</v>
      </c>
      <c r="D413">
        <v>2021</v>
      </c>
      <c r="E413" t="s">
        <v>16</v>
      </c>
      <c r="F413">
        <v>310</v>
      </c>
      <c r="G413">
        <v>5</v>
      </c>
      <c r="H413">
        <v>5</v>
      </c>
      <c r="I413">
        <v>1057000</v>
      </c>
      <c r="J413">
        <v>3409.7</v>
      </c>
      <c r="K413">
        <v>0</v>
      </c>
      <c r="L413" t="s">
        <v>34</v>
      </c>
      <c r="M413">
        <v>99</v>
      </c>
      <c r="N413" t="s">
        <v>18</v>
      </c>
      <c r="P413" t="e">
        <f t="shared" si="60"/>
        <v>#N/A</v>
      </c>
      <c r="Q413" t="e">
        <f t="shared" si="61"/>
        <v>#N/A</v>
      </c>
      <c r="R413" t="e">
        <f t="shared" si="62"/>
        <v>#N/A</v>
      </c>
      <c r="S413" t="e">
        <f t="shared" si="63"/>
        <v>#N/A</v>
      </c>
      <c r="T413">
        <f t="shared" si="64"/>
        <v>1057000</v>
      </c>
      <c r="U413">
        <f t="shared" si="65"/>
        <v>310</v>
      </c>
      <c r="V413" t="e">
        <f t="shared" si="66"/>
        <v>#N/A</v>
      </c>
      <c r="W413" t="e">
        <f t="shared" si="67"/>
        <v>#N/A</v>
      </c>
      <c r="X413" t="e">
        <f t="shared" si="68"/>
        <v>#N/A</v>
      </c>
      <c r="Y413" t="e">
        <f t="shared" si="69"/>
        <v>#N/A</v>
      </c>
    </row>
    <row r="414" spans="1:25" x14ac:dyDescent="0.2">
      <c r="A414">
        <v>1412</v>
      </c>
      <c r="B414" t="s">
        <v>41</v>
      </c>
      <c r="C414" t="s">
        <v>23</v>
      </c>
      <c r="D414">
        <v>2021</v>
      </c>
      <c r="E414" t="s">
        <v>30</v>
      </c>
      <c r="F414">
        <v>176</v>
      </c>
      <c r="G414">
        <v>4</v>
      </c>
      <c r="H414">
        <v>4</v>
      </c>
      <c r="I414">
        <v>837000</v>
      </c>
      <c r="J414">
        <v>4755.7</v>
      </c>
      <c r="K414">
        <v>20</v>
      </c>
      <c r="L414" t="s">
        <v>17</v>
      </c>
      <c r="M414">
        <v>42</v>
      </c>
      <c r="N414" t="s">
        <v>21</v>
      </c>
      <c r="P414" t="e">
        <f t="shared" si="60"/>
        <v>#N/A</v>
      </c>
      <c r="Q414" t="e">
        <f t="shared" si="61"/>
        <v>#N/A</v>
      </c>
      <c r="R414" t="e">
        <f t="shared" si="62"/>
        <v>#N/A</v>
      </c>
      <c r="S414" t="e">
        <f t="shared" si="63"/>
        <v>#N/A</v>
      </c>
      <c r="T414">
        <f t="shared" si="64"/>
        <v>837000</v>
      </c>
      <c r="U414">
        <f t="shared" si="65"/>
        <v>176</v>
      </c>
      <c r="V414" t="e">
        <f t="shared" si="66"/>
        <v>#N/A</v>
      </c>
      <c r="W414" t="e">
        <f t="shared" si="67"/>
        <v>#N/A</v>
      </c>
      <c r="X414" t="e">
        <f t="shared" si="68"/>
        <v>#N/A</v>
      </c>
      <c r="Y414" t="e">
        <f t="shared" si="69"/>
        <v>#N/A</v>
      </c>
    </row>
    <row r="415" spans="1:25" x14ac:dyDescent="0.2">
      <c r="A415">
        <v>1413</v>
      </c>
      <c r="B415" t="s">
        <v>44</v>
      </c>
      <c r="C415" t="s">
        <v>29</v>
      </c>
      <c r="D415">
        <v>2022</v>
      </c>
      <c r="E415" t="s">
        <v>16</v>
      </c>
      <c r="F415">
        <v>556</v>
      </c>
      <c r="G415">
        <v>4</v>
      </c>
      <c r="H415">
        <v>4</v>
      </c>
      <c r="I415">
        <v>2693000</v>
      </c>
      <c r="J415">
        <v>4843.5</v>
      </c>
      <c r="K415">
        <v>2</v>
      </c>
      <c r="L415" t="s">
        <v>34</v>
      </c>
      <c r="M415">
        <v>156</v>
      </c>
      <c r="N415" t="s">
        <v>18</v>
      </c>
      <c r="P415">
        <f t="shared" si="60"/>
        <v>2693000</v>
      </c>
      <c r="Q415">
        <f t="shared" si="61"/>
        <v>556</v>
      </c>
      <c r="R415" t="e">
        <f t="shared" si="62"/>
        <v>#N/A</v>
      </c>
      <c r="S415" t="e">
        <f t="shared" si="63"/>
        <v>#N/A</v>
      </c>
      <c r="T415" t="e">
        <f t="shared" si="64"/>
        <v>#N/A</v>
      </c>
      <c r="U415" t="e">
        <f t="shared" si="65"/>
        <v>#N/A</v>
      </c>
      <c r="V415" t="e">
        <f t="shared" si="66"/>
        <v>#N/A</v>
      </c>
      <c r="W415" t="e">
        <f t="shared" si="67"/>
        <v>#N/A</v>
      </c>
      <c r="X415" t="e">
        <f t="shared" si="68"/>
        <v>#N/A</v>
      </c>
      <c r="Y415" t="e">
        <f t="shared" si="69"/>
        <v>#N/A</v>
      </c>
    </row>
    <row r="416" spans="1:25" x14ac:dyDescent="0.2">
      <c r="A416">
        <v>1414</v>
      </c>
      <c r="B416" t="s">
        <v>48</v>
      </c>
      <c r="C416" t="s">
        <v>36</v>
      </c>
      <c r="D416">
        <v>2023</v>
      </c>
      <c r="E416" t="s">
        <v>26</v>
      </c>
      <c r="F416">
        <v>317</v>
      </c>
      <c r="G416">
        <v>5</v>
      </c>
      <c r="H416">
        <v>5</v>
      </c>
      <c r="I416">
        <v>805000</v>
      </c>
      <c r="J416">
        <v>2539.4</v>
      </c>
      <c r="K416">
        <v>10</v>
      </c>
      <c r="L416" t="s">
        <v>34</v>
      </c>
      <c r="M416">
        <v>79</v>
      </c>
      <c r="N416" t="s">
        <v>27</v>
      </c>
      <c r="P416" t="e">
        <f t="shared" si="60"/>
        <v>#N/A</v>
      </c>
      <c r="Q416" t="e">
        <f t="shared" si="61"/>
        <v>#N/A</v>
      </c>
      <c r="R416" t="e">
        <f t="shared" si="62"/>
        <v>#N/A</v>
      </c>
      <c r="S416" t="e">
        <f t="shared" si="63"/>
        <v>#N/A</v>
      </c>
      <c r="T416" t="e">
        <f t="shared" si="64"/>
        <v>#N/A</v>
      </c>
      <c r="U416" t="e">
        <f t="shared" si="65"/>
        <v>#N/A</v>
      </c>
      <c r="V416" t="e">
        <f t="shared" si="66"/>
        <v>#N/A</v>
      </c>
      <c r="W416" t="e">
        <f t="shared" si="67"/>
        <v>#N/A</v>
      </c>
      <c r="X416">
        <f t="shared" si="68"/>
        <v>805000</v>
      </c>
      <c r="Y416">
        <f t="shared" si="69"/>
        <v>317</v>
      </c>
    </row>
    <row r="417" spans="1:25" x14ac:dyDescent="0.2">
      <c r="A417">
        <v>1415</v>
      </c>
      <c r="B417" t="s">
        <v>31</v>
      </c>
      <c r="C417" t="s">
        <v>15</v>
      </c>
      <c r="D417">
        <v>2023</v>
      </c>
      <c r="E417" t="s">
        <v>26</v>
      </c>
      <c r="F417">
        <v>157</v>
      </c>
      <c r="G417">
        <v>3</v>
      </c>
      <c r="H417">
        <v>3</v>
      </c>
      <c r="I417">
        <v>451000</v>
      </c>
      <c r="J417">
        <v>2872.6</v>
      </c>
      <c r="K417">
        <v>2</v>
      </c>
      <c r="L417" t="s">
        <v>20</v>
      </c>
      <c r="M417">
        <v>55</v>
      </c>
      <c r="N417" t="s">
        <v>21</v>
      </c>
      <c r="P417" t="e">
        <f t="shared" si="60"/>
        <v>#N/A</v>
      </c>
      <c r="Q417" t="e">
        <f t="shared" si="61"/>
        <v>#N/A</v>
      </c>
      <c r="R417">
        <f t="shared" si="62"/>
        <v>451000</v>
      </c>
      <c r="S417">
        <f t="shared" si="63"/>
        <v>157</v>
      </c>
      <c r="T417" t="e">
        <f t="shared" si="64"/>
        <v>#N/A</v>
      </c>
      <c r="U417" t="e">
        <f t="shared" si="65"/>
        <v>#N/A</v>
      </c>
      <c r="V417" t="e">
        <f t="shared" si="66"/>
        <v>#N/A</v>
      </c>
      <c r="W417" t="e">
        <f t="shared" si="67"/>
        <v>#N/A</v>
      </c>
      <c r="X417" t="e">
        <f t="shared" si="68"/>
        <v>#N/A</v>
      </c>
      <c r="Y417" t="e">
        <f t="shared" si="69"/>
        <v>#N/A</v>
      </c>
    </row>
    <row r="418" spans="1:25" x14ac:dyDescent="0.2">
      <c r="A418">
        <v>1416</v>
      </c>
      <c r="B418" t="s">
        <v>41</v>
      </c>
      <c r="C418" t="s">
        <v>29</v>
      </c>
      <c r="D418">
        <v>2022</v>
      </c>
      <c r="E418" t="s">
        <v>24</v>
      </c>
      <c r="F418">
        <v>429</v>
      </c>
      <c r="G418">
        <v>4</v>
      </c>
      <c r="H418">
        <v>4</v>
      </c>
      <c r="I418">
        <v>2924000</v>
      </c>
      <c r="J418">
        <v>6815.9</v>
      </c>
      <c r="K418">
        <v>20</v>
      </c>
      <c r="L418" t="s">
        <v>34</v>
      </c>
      <c r="M418">
        <v>86</v>
      </c>
      <c r="N418" t="s">
        <v>21</v>
      </c>
      <c r="P418">
        <f t="shared" si="60"/>
        <v>2924000</v>
      </c>
      <c r="Q418">
        <f t="shared" si="61"/>
        <v>429</v>
      </c>
      <c r="R418" t="e">
        <f t="shared" si="62"/>
        <v>#N/A</v>
      </c>
      <c r="S418" t="e">
        <f t="shared" si="63"/>
        <v>#N/A</v>
      </c>
      <c r="T418" t="e">
        <f t="shared" si="64"/>
        <v>#N/A</v>
      </c>
      <c r="U418" t="e">
        <f t="shared" si="65"/>
        <v>#N/A</v>
      </c>
      <c r="V418" t="e">
        <f t="shared" si="66"/>
        <v>#N/A</v>
      </c>
      <c r="W418" t="e">
        <f t="shared" si="67"/>
        <v>#N/A</v>
      </c>
      <c r="X418" t="e">
        <f t="shared" si="68"/>
        <v>#N/A</v>
      </c>
      <c r="Y418" t="e">
        <f t="shared" si="69"/>
        <v>#N/A</v>
      </c>
    </row>
    <row r="419" spans="1:25" x14ac:dyDescent="0.2">
      <c r="A419">
        <v>1417</v>
      </c>
      <c r="B419" t="s">
        <v>41</v>
      </c>
      <c r="C419" t="s">
        <v>23</v>
      </c>
      <c r="D419">
        <v>2023</v>
      </c>
      <c r="E419" t="s">
        <v>16</v>
      </c>
      <c r="F419">
        <v>288</v>
      </c>
      <c r="G419">
        <v>4</v>
      </c>
      <c r="H419">
        <v>4</v>
      </c>
      <c r="I419">
        <v>1531000</v>
      </c>
      <c r="J419">
        <v>5316</v>
      </c>
      <c r="K419">
        <v>15</v>
      </c>
      <c r="L419" t="s">
        <v>17</v>
      </c>
      <c r="M419">
        <v>45</v>
      </c>
      <c r="N419" t="s">
        <v>21</v>
      </c>
      <c r="P419" t="e">
        <f t="shared" si="60"/>
        <v>#N/A</v>
      </c>
      <c r="Q419" t="e">
        <f t="shared" si="61"/>
        <v>#N/A</v>
      </c>
      <c r="R419" t="e">
        <f t="shared" si="62"/>
        <v>#N/A</v>
      </c>
      <c r="S419" t="e">
        <f t="shared" si="63"/>
        <v>#N/A</v>
      </c>
      <c r="T419">
        <f t="shared" si="64"/>
        <v>1531000</v>
      </c>
      <c r="U419">
        <f t="shared" si="65"/>
        <v>288</v>
      </c>
      <c r="V419" t="e">
        <f t="shared" si="66"/>
        <v>#N/A</v>
      </c>
      <c r="W419" t="e">
        <f t="shared" si="67"/>
        <v>#N/A</v>
      </c>
      <c r="X419" t="e">
        <f t="shared" si="68"/>
        <v>#N/A</v>
      </c>
      <c r="Y419" t="e">
        <f t="shared" si="69"/>
        <v>#N/A</v>
      </c>
    </row>
    <row r="420" spans="1:25" x14ac:dyDescent="0.2">
      <c r="A420">
        <v>1418</v>
      </c>
      <c r="B420" t="s">
        <v>47</v>
      </c>
      <c r="C420" t="s">
        <v>38</v>
      </c>
      <c r="D420">
        <v>2022</v>
      </c>
      <c r="E420" t="s">
        <v>24</v>
      </c>
      <c r="F420">
        <v>58</v>
      </c>
      <c r="G420">
        <v>0</v>
      </c>
      <c r="H420">
        <v>1</v>
      </c>
      <c r="I420">
        <v>227000</v>
      </c>
      <c r="J420">
        <v>3913.8</v>
      </c>
      <c r="K420">
        <v>10</v>
      </c>
      <c r="L420" t="s">
        <v>34</v>
      </c>
      <c r="M420">
        <v>146</v>
      </c>
      <c r="N420" t="s">
        <v>21</v>
      </c>
      <c r="P420" t="e">
        <f t="shared" si="60"/>
        <v>#N/A</v>
      </c>
      <c r="Q420" t="e">
        <f t="shared" si="61"/>
        <v>#N/A</v>
      </c>
      <c r="R420" t="e">
        <f t="shared" si="62"/>
        <v>#N/A</v>
      </c>
      <c r="S420" t="e">
        <f t="shared" si="63"/>
        <v>#N/A</v>
      </c>
      <c r="T420" t="e">
        <f t="shared" si="64"/>
        <v>#N/A</v>
      </c>
      <c r="U420" t="e">
        <f t="shared" si="65"/>
        <v>#N/A</v>
      </c>
      <c r="V420">
        <f t="shared" si="66"/>
        <v>227000</v>
      </c>
      <c r="W420">
        <f t="shared" si="67"/>
        <v>58</v>
      </c>
      <c r="X420" t="e">
        <f t="shared" si="68"/>
        <v>#N/A</v>
      </c>
      <c r="Y420" t="e">
        <f t="shared" si="69"/>
        <v>#N/A</v>
      </c>
    </row>
    <row r="421" spans="1:25" x14ac:dyDescent="0.2">
      <c r="A421">
        <v>1419</v>
      </c>
      <c r="B421" t="s">
        <v>35</v>
      </c>
      <c r="C421" t="s">
        <v>15</v>
      </c>
      <c r="D421">
        <v>2023</v>
      </c>
      <c r="E421" t="s">
        <v>26</v>
      </c>
      <c r="F421">
        <v>94</v>
      </c>
      <c r="G421">
        <v>3</v>
      </c>
      <c r="H421">
        <v>3</v>
      </c>
      <c r="I421">
        <v>331000</v>
      </c>
      <c r="J421">
        <v>3521.3</v>
      </c>
      <c r="K421">
        <v>2</v>
      </c>
      <c r="L421" t="s">
        <v>17</v>
      </c>
      <c r="M421">
        <v>112</v>
      </c>
      <c r="N421" t="s">
        <v>18</v>
      </c>
      <c r="P421" t="e">
        <f t="shared" si="60"/>
        <v>#N/A</v>
      </c>
      <c r="Q421" t="e">
        <f t="shared" si="61"/>
        <v>#N/A</v>
      </c>
      <c r="R421">
        <f t="shared" si="62"/>
        <v>331000</v>
      </c>
      <c r="S421">
        <f t="shared" si="63"/>
        <v>94</v>
      </c>
      <c r="T421" t="e">
        <f t="shared" si="64"/>
        <v>#N/A</v>
      </c>
      <c r="U421" t="e">
        <f t="shared" si="65"/>
        <v>#N/A</v>
      </c>
      <c r="V421" t="e">
        <f t="shared" si="66"/>
        <v>#N/A</v>
      </c>
      <c r="W421" t="e">
        <f t="shared" si="67"/>
        <v>#N/A</v>
      </c>
      <c r="X421" t="e">
        <f t="shared" si="68"/>
        <v>#N/A</v>
      </c>
      <c r="Y421" t="e">
        <f t="shared" si="69"/>
        <v>#N/A</v>
      </c>
    </row>
    <row r="422" spans="1:25" x14ac:dyDescent="0.2">
      <c r="A422">
        <v>1420</v>
      </c>
      <c r="B422" t="s">
        <v>35</v>
      </c>
      <c r="C422" t="s">
        <v>23</v>
      </c>
      <c r="D422">
        <v>2024</v>
      </c>
      <c r="E422" t="s">
        <v>16</v>
      </c>
      <c r="F422">
        <v>289</v>
      </c>
      <c r="G422">
        <v>3</v>
      </c>
      <c r="H422">
        <v>3</v>
      </c>
      <c r="I422">
        <v>1415000</v>
      </c>
      <c r="J422">
        <v>4896.2</v>
      </c>
      <c r="K422">
        <v>20</v>
      </c>
      <c r="L422" t="s">
        <v>20</v>
      </c>
      <c r="M422">
        <v>176</v>
      </c>
      <c r="N422" t="s">
        <v>18</v>
      </c>
      <c r="P422" t="e">
        <f t="shared" si="60"/>
        <v>#N/A</v>
      </c>
      <c r="Q422" t="e">
        <f t="shared" si="61"/>
        <v>#N/A</v>
      </c>
      <c r="R422" t="e">
        <f t="shared" si="62"/>
        <v>#N/A</v>
      </c>
      <c r="S422" t="e">
        <f t="shared" si="63"/>
        <v>#N/A</v>
      </c>
      <c r="T422">
        <f t="shared" si="64"/>
        <v>1415000</v>
      </c>
      <c r="U422">
        <f t="shared" si="65"/>
        <v>289</v>
      </c>
      <c r="V422" t="e">
        <f t="shared" si="66"/>
        <v>#N/A</v>
      </c>
      <c r="W422" t="e">
        <f t="shared" si="67"/>
        <v>#N/A</v>
      </c>
      <c r="X422" t="e">
        <f t="shared" si="68"/>
        <v>#N/A</v>
      </c>
      <c r="Y422" t="e">
        <f t="shared" si="69"/>
        <v>#N/A</v>
      </c>
    </row>
    <row r="423" spans="1:25" x14ac:dyDescent="0.2">
      <c r="A423">
        <v>1421</v>
      </c>
      <c r="B423" t="s">
        <v>44</v>
      </c>
      <c r="C423" t="s">
        <v>15</v>
      </c>
      <c r="D423">
        <v>2024</v>
      </c>
      <c r="E423" t="s">
        <v>30</v>
      </c>
      <c r="F423">
        <v>139</v>
      </c>
      <c r="G423">
        <v>3</v>
      </c>
      <c r="H423">
        <v>3</v>
      </c>
      <c r="I423">
        <v>476000</v>
      </c>
      <c r="J423">
        <v>3424.5</v>
      </c>
      <c r="K423">
        <v>4</v>
      </c>
      <c r="L423" t="s">
        <v>17</v>
      </c>
      <c r="M423">
        <v>57</v>
      </c>
      <c r="N423" t="s">
        <v>18</v>
      </c>
      <c r="P423" t="e">
        <f t="shared" si="60"/>
        <v>#N/A</v>
      </c>
      <c r="Q423" t="e">
        <f t="shared" si="61"/>
        <v>#N/A</v>
      </c>
      <c r="R423">
        <f t="shared" si="62"/>
        <v>476000</v>
      </c>
      <c r="S423">
        <f t="shared" si="63"/>
        <v>139</v>
      </c>
      <c r="T423" t="e">
        <f t="shared" si="64"/>
        <v>#N/A</v>
      </c>
      <c r="U423" t="e">
        <f t="shared" si="65"/>
        <v>#N/A</v>
      </c>
      <c r="V423" t="e">
        <f t="shared" si="66"/>
        <v>#N/A</v>
      </c>
      <c r="W423" t="e">
        <f t="shared" si="67"/>
        <v>#N/A</v>
      </c>
      <c r="X423" t="e">
        <f t="shared" si="68"/>
        <v>#N/A</v>
      </c>
      <c r="Y423" t="e">
        <f t="shared" si="69"/>
        <v>#N/A</v>
      </c>
    </row>
    <row r="424" spans="1:25" x14ac:dyDescent="0.2">
      <c r="A424">
        <v>1422</v>
      </c>
      <c r="B424" t="s">
        <v>43</v>
      </c>
      <c r="C424" t="s">
        <v>36</v>
      </c>
      <c r="D424">
        <v>2024</v>
      </c>
      <c r="E424" t="s">
        <v>30</v>
      </c>
      <c r="F424">
        <v>318</v>
      </c>
      <c r="G424">
        <v>3</v>
      </c>
      <c r="H424">
        <v>3</v>
      </c>
      <c r="I424">
        <v>1054000</v>
      </c>
      <c r="J424">
        <v>3314.5</v>
      </c>
      <c r="K424">
        <v>1</v>
      </c>
      <c r="L424" t="s">
        <v>17</v>
      </c>
      <c r="M424">
        <v>98</v>
      </c>
      <c r="N424" t="s">
        <v>27</v>
      </c>
      <c r="P424" t="e">
        <f t="shared" si="60"/>
        <v>#N/A</v>
      </c>
      <c r="Q424" t="e">
        <f t="shared" si="61"/>
        <v>#N/A</v>
      </c>
      <c r="R424" t="e">
        <f t="shared" si="62"/>
        <v>#N/A</v>
      </c>
      <c r="S424" t="e">
        <f t="shared" si="63"/>
        <v>#N/A</v>
      </c>
      <c r="T424" t="e">
        <f t="shared" si="64"/>
        <v>#N/A</v>
      </c>
      <c r="U424" t="e">
        <f t="shared" si="65"/>
        <v>#N/A</v>
      </c>
      <c r="V424" t="e">
        <f t="shared" si="66"/>
        <v>#N/A</v>
      </c>
      <c r="W424" t="e">
        <f t="shared" si="67"/>
        <v>#N/A</v>
      </c>
      <c r="X424">
        <f t="shared" si="68"/>
        <v>1054000</v>
      </c>
      <c r="Y424">
        <f t="shared" si="69"/>
        <v>318</v>
      </c>
    </row>
    <row r="425" spans="1:25" x14ac:dyDescent="0.2">
      <c r="A425">
        <v>1423</v>
      </c>
      <c r="B425" t="s">
        <v>22</v>
      </c>
      <c r="C425" t="s">
        <v>15</v>
      </c>
      <c r="D425">
        <v>2023</v>
      </c>
      <c r="E425" t="s">
        <v>26</v>
      </c>
      <c r="F425">
        <v>122</v>
      </c>
      <c r="G425">
        <v>2</v>
      </c>
      <c r="H425">
        <v>2</v>
      </c>
      <c r="I425">
        <v>485000</v>
      </c>
      <c r="J425">
        <v>3975.4</v>
      </c>
      <c r="K425">
        <v>10</v>
      </c>
      <c r="L425" t="s">
        <v>17</v>
      </c>
      <c r="M425">
        <v>133</v>
      </c>
      <c r="N425" t="s">
        <v>18</v>
      </c>
      <c r="P425" t="e">
        <f t="shared" si="60"/>
        <v>#N/A</v>
      </c>
      <c r="Q425" t="e">
        <f t="shared" si="61"/>
        <v>#N/A</v>
      </c>
      <c r="R425">
        <f t="shared" si="62"/>
        <v>485000</v>
      </c>
      <c r="S425">
        <f t="shared" si="63"/>
        <v>122</v>
      </c>
      <c r="T425" t="e">
        <f t="shared" si="64"/>
        <v>#N/A</v>
      </c>
      <c r="U425" t="e">
        <f t="shared" si="65"/>
        <v>#N/A</v>
      </c>
      <c r="V425" t="e">
        <f t="shared" si="66"/>
        <v>#N/A</v>
      </c>
      <c r="W425" t="e">
        <f t="shared" si="67"/>
        <v>#N/A</v>
      </c>
      <c r="X425" t="e">
        <f t="shared" si="68"/>
        <v>#N/A</v>
      </c>
      <c r="Y425" t="e">
        <f t="shared" si="69"/>
        <v>#N/A</v>
      </c>
    </row>
    <row r="426" spans="1:25" x14ac:dyDescent="0.2">
      <c r="A426">
        <v>1424</v>
      </c>
      <c r="B426" t="s">
        <v>19</v>
      </c>
      <c r="C426" t="s">
        <v>15</v>
      </c>
      <c r="D426">
        <v>2021</v>
      </c>
      <c r="E426" t="s">
        <v>16</v>
      </c>
      <c r="F426">
        <v>151</v>
      </c>
      <c r="G426">
        <v>4</v>
      </c>
      <c r="H426">
        <v>4</v>
      </c>
      <c r="I426">
        <v>413000</v>
      </c>
      <c r="J426">
        <v>2735.1</v>
      </c>
      <c r="K426">
        <v>1</v>
      </c>
      <c r="L426" t="s">
        <v>17</v>
      </c>
      <c r="M426">
        <v>135</v>
      </c>
      <c r="N426" t="s">
        <v>21</v>
      </c>
      <c r="P426" t="e">
        <f t="shared" si="60"/>
        <v>#N/A</v>
      </c>
      <c r="Q426" t="e">
        <f t="shared" si="61"/>
        <v>#N/A</v>
      </c>
      <c r="R426">
        <f t="shared" si="62"/>
        <v>413000</v>
      </c>
      <c r="S426">
        <f t="shared" si="63"/>
        <v>151</v>
      </c>
      <c r="T426" t="e">
        <f t="shared" si="64"/>
        <v>#N/A</v>
      </c>
      <c r="U426" t="e">
        <f t="shared" si="65"/>
        <v>#N/A</v>
      </c>
      <c r="V426" t="e">
        <f t="shared" si="66"/>
        <v>#N/A</v>
      </c>
      <c r="W426" t="e">
        <f t="shared" si="67"/>
        <v>#N/A</v>
      </c>
      <c r="X426" t="e">
        <f t="shared" si="68"/>
        <v>#N/A</v>
      </c>
      <c r="Y426" t="e">
        <f t="shared" si="69"/>
        <v>#N/A</v>
      </c>
    </row>
    <row r="427" spans="1:25" x14ac:dyDescent="0.2">
      <c r="A427">
        <v>1425</v>
      </c>
      <c r="B427" t="s">
        <v>31</v>
      </c>
      <c r="C427" t="s">
        <v>29</v>
      </c>
      <c r="D427">
        <v>2023</v>
      </c>
      <c r="E427" t="s">
        <v>26</v>
      </c>
      <c r="F427">
        <v>342</v>
      </c>
      <c r="G427">
        <v>5</v>
      </c>
      <c r="H427">
        <v>5</v>
      </c>
      <c r="I427">
        <v>1511000</v>
      </c>
      <c r="J427">
        <v>4418.1000000000004</v>
      </c>
      <c r="K427">
        <v>15</v>
      </c>
      <c r="L427" t="s">
        <v>20</v>
      </c>
      <c r="M427">
        <v>21</v>
      </c>
      <c r="N427" t="s">
        <v>21</v>
      </c>
      <c r="P427">
        <f t="shared" si="60"/>
        <v>1511000</v>
      </c>
      <c r="Q427">
        <f t="shared" si="61"/>
        <v>342</v>
      </c>
      <c r="R427" t="e">
        <f t="shared" si="62"/>
        <v>#N/A</v>
      </c>
      <c r="S427" t="e">
        <f t="shared" si="63"/>
        <v>#N/A</v>
      </c>
      <c r="T427" t="e">
        <f t="shared" si="64"/>
        <v>#N/A</v>
      </c>
      <c r="U427" t="e">
        <f t="shared" si="65"/>
        <v>#N/A</v>
      </c>
      <c r="V427" t="e">
        <f t="shared" si="66"/>
        <v>#N/A</v>
      </c>
      <c r="W427" t="e">
        <f t="shared" si="67"/>
        <v>#N/A</v>
      </c>
      <c r="X427" t="e">
        <f t="shared" si="68"/>
        <v>#N/A</v>
      </c>
      <c r="Y427" t="e">
        <f t="shared" si="69"/>
        <v>#N/A</v>
      </c>
    </row>
    <row r="428" spans="1:25" x14ac:dyDescent="0.2">
      <c r="A428">
        <v>1426</v>
      </c>
      <c r="B428" t="s">
        <v>42</v>
      </c>
      <c r="C428" t="s">
        <v>15</v>
      </c>
      <c r="D428">
        <v>2022</v>
      </c>
      <c r="E428" t="s">
        <v>24</v>
      </c>
      <c r="F428">
        <v>176</v>
      </c>
      <c r="G428">
        <v>2</v>
      </c>
      <c r="H428">
        <v>2</v>
      </c>
      <c r="I428">
        <v>724000</v>
      </c>
      <c r="J428">
        <v>4113.6000000000004</v>
      </c>
      <c r="K428">
        <v>20</v>
      </c>
      <c r="L428" t="s">
        <v>17</v>
      </c>
      <c r="M428">
        <v>125</v>
      </c>
      <c r="N428" t="s">
        <v>21</v>
      </c>
      <c r="P428" t="e">
        <f t="shared" si="60"/>
        <v>#N/A</v>
      </c>
      <c r="Q428" t="e">
        <f t="shared" si="61"/>
        <v>#N/A</v>
      </c>
      <c r="R428">
        <f t="shared" si="62"/>
        <v>724000</v>
      </c>
      <c r="S428">
        <f t="shared" si="63"/>
        <v>176</v>
      </c>
      <c r="T428" t="e">
        <f t="shared" si="64"/>
        <v>#N/A</v>
      </c>
      <c r="U428" t="e">
        <f t="shared" si="65"/>
        <v>#N/A</v>
      </c>
      <c r="V428" t="e">
        <f t="shared" si="66"/>
        <v>#N/A</v>
      </c>
      <c r="W428" t="e">
        <f t="shared" si="67"/>
        <v>#N/A</v>
      </c>
      <c r="X428" t="e">
        <f t="shared" si="68"/>
        <v>#N/A</v>
      </c>
      <c r="Y428" t="e">
        <f t="shared" si="69"/>
        <v>#N/A</v>
      </c>
    </row>
    <row r="429" spans="1:25" x14ac:dyDescent="0.2">
      <c r="A429">
        <v>1427</v>
      </c>
      <c r="B429" t="s">
        <v>25</v>
      </c>
      <c r="C429" t="s">
        <v>15</v>
      </c>
      <c r="D429">
        <v>2021</v>
      </c>
      <c r="E429" t="s">
        <v>16</v>
      </c>
      <c r="F429">
        <v>159</v>
      </c>
      <c r="G429">
        <v>3</v>
      </c>
      <c r="H429">
        <v>3</v>
      </c>
      <c r="I429">
        <v>331000</v>
      </c>
      <c r="J429">
        <v>2081.8000000000002</v>
      </c>
      <c r="K429">
        <v>5</v>
      </c>
      <c r="L429" t="s">
        <v>34</v>
      </c>
      <c r="M429">
        <v>180</v>
      </c>
      <c r="N429" t="s">
        <v>27</v>
      </c>
      <c r="P429" t="e">
        <f t="shared" si="60"/>
        <v>#N/A</v>
      </c>
      <c r="Q429" t="e">
        <f t="shared" si="61"/>
        <v>#N/A</v>
      </c>
      <c r="R429">
        <f t="shared" si="62"/>
        <v>331000</v>
      </c>
      <c r="S429">
        <f t="shared" si="63"/>
        <v>159</v>
      </c>
      <c r="T429" t="e">
        <f t="shared" si="64"/>
        <v>#N/A</v>
      </c>
      <c r="U429" t="e">
        <f t="shared" si="65"/>
        <v>#N/A</v>
      </c>
      <c r="V429" t="e">
        <f t="shared" si="66"/>
        <v>#N/A</v>
      </c>
      <c r="W429" t="e">
        <f t="shared" si="67"/>
        <v>#N/A</v>
      </c>
      <c r="X429" t="e">
        <f t="shared" si="68"/>
        <v>#N/A</v>
      </c>
      <c r="Y429" t="e">
        <f t="shared" si="69"/>
        <v>#N/A</v>
      </c>
    </row>
    <row r="430" spans="1:25" x14ac:dyDescent="0.2">
      <c r="A430">
        <v>1428</v>
      </c>
      <c r="B430" t="s">
        <v>19</v>
      </c>
      <c r="C430" t="s">
        <v>15</v>
      </c>
      <c r="D430">
        <v>2022</v>
      </c>
      <c r="E430" t="s">
        <v>30</v>
      </c>
      <c r="F430">
        <v>153</v>
      </c>
      <c r="G430">
        <v>3</v>
      </c>
      <c r="H430">
        <v>3</v>
      </c>
      <c r="I430">
        <v>477000</v>
      </c>
      <c r="J430">
        <v>3117.6</v>
      </c>
      <c r="K430">
        <v>20</v>
      </c>
      <c r="L430" t="s">
        <v>34</v>
      </c>
      <c r="M430">
        <v>137</v>
      </c>
      <c r="N430" t="s">
        <v>21</v>
      </c>
      <c r="P430" t="e">
        <f t="shared" si="60"/>
        <v>#N/A</v>
      </c>
      <c r="Q430" t="e">
        <f t="shared" si="61"/>
        <v>#N/A</v>
      </c>
      <c r="R430">
        <f t="shared" si="62"/>
        <v>477000</v>
      </c>
      <c r="S430">
        <f t="shared" si="63"/>
        <v>153</v>
      </c>
      <c r="T430" t="e">
        <f t="shared" si="64"/>
        <v>#N/A</v>
      </c>
      <c r="U430" t="e">
        <f t="shared" si="65"/>
        <v>#N/A</v>
      </c>
      <c r="V430" t="e">
        <f t="shared" si="66"/>
        <v>#N/A</v>
      </c>
      <c r="W430" t="e">
        <f t="shared" si="67"/>
        <v>#N/A</v>
      </c>
      <c r="X430" t="e">
        <f t="shared" si="68"/>
        <v>#N/A</v>
      </c>
      <c r="Y430" t="e">
        <f t="shared" si="69"/>
        <v>#N/A</v>
      </c>
    </row>
    <row r="431" spans="1:25" x14ac:dyDescent="0.2">
      <c r="A431">
        <v>1429</v>
      </c>
      <c r="B431" t="s">
        <v>48</v>
      </c>
      <c r="C431" t="s">
        <v>23</v>
      </c>
      <c r="D431">
        <v>2021</v>
      </c>
      <c r="E431" t="s">
        <v>26</v>
      </c>
      <c r="F431">
        <v>329</v>
      </c>
      <c r="G431">
        <v>4</v>
      </c>
      <c r="H431">
        <v>4</v>
      </c>
      <c r="I431">
        <v>1054000</v>
      </c>
      <c r="J431">
        <v>3203.6</v>
      </c>
      <c r="K431">
        <v>4</v>
      </c>
      <c r="L431" t="s">
        <v>17</v>
      </c>
      <c r="M431">
        <v>54</v>
      </c>
      <c r="N431" t="s">
        <v>27</v>
      </c>
      <c r="P431" t="e">
        <f t="shared" si="60"/>
        <v>#N/A</v>
      </c>
      <c r="Q431" t="e">
        <f t="shared" si="61"/>
        <v>#N/A</v>
      </c>
      <c r="R431" t="e">
        <f t="shared" si="62"/>
        <v>#N/A</v>
      </c>
      <c r="S431" t="e">
        <f t="shared" si="63"/>
        <v>#N/A</v>
      </c>
      <c r="T431">
        <f t="shared" si="64"/>
        <v>1054000</v>
      </c>
      <c r="U431">
        <f t="shared" si="65"/>
        <v>329</v>
      </c>
      <c r="V431" t="e">
        <f t="shared" si="66"/>
        <v>#N/A</v>
      </c>
      <c r="W431" t="e">
        <f t="shared" si="67"/>
        <v>#N/A</v>
      </c>
      <c r="X431" t="e">
        <f t="shared" si="68"/>
        <v>#N/A</v>
      </c>
      <c r="Y431" t="e">
        <f t="shared" si="69"/>
        <v>#N/A</v>
      </c>
    </row>
    <row r="432" spans="1:25" x14ac:dyDescent="0.2">
      <c r="A432">
        <v>1430</v>
      </c>
      <c r="B432" t="s">
        <v>43</v>
      </c>
      <c r="C432" t="s">
        <v>15</v>
      </c>
      <c r="D432">
        <v>2022</v>
      </c>
      <c r="E432" t="s">
        <v>24</v>
      </c>
      <c r="F432">
        <v>90</v>
      </c>
      <c r="G432">
        <v>3</v>
      </c>
      <c r="H432">
        <v>3</v>
      </c>
      <c r="I432">
        <v>367000</v>
      </c>
      <c r="J432">
        <v>4077.8</v>
      </c>
      <c r="K432">
        <v>15</v>
      </c>
      <c r="L432" t="s">
        <v>17</v>
      </c>
      <c r="M432">
        <v>13</v>
      </c>
      <c r="N432" t="s">
        <v>27</v>
      </c>
      <c r="P432" t="e">
        <f t="shared" si="60"/>
        <v>#N/A</v>
      </c>
      <c r="Q432" t="e">
        <f t="shared" si="61"/>
        <v>#N/A</v>
      </c>
      <c r="R432">
        <f t="shared" si="62"/>
        <v>367000</v>
      </c>
      <c r="S432">
        <f t="shared" si="63"/>
        <v>90</v>
      </c>
      <c r="T432" t="e">
        <f t="shared" si="64"/>
        <v>#N/A</v>
      </c>
      <c r="U432" t="e">
        <f t="shared" si="65"/>
        <v>#N/A</v>
      </c>
      <c r="V432" t="e">
        <f t="shared" si="66"/>
        <v>#N/A</v>
      </c>
      <c r="W432" t="e">
        <f t="shared" si="67"/>
        <v>#N/A</v>
      </c>
      <c r="X432" t="e">
        <f t="shared" si="68"/>
        <v>#N/A</v>
      </c>
      <c r="Y432" t="e">
        <f t="shared" si="69"/>
        <v>#N/A</v>
      </c>
    </row>
    <row r="433" spans="1:25" x14ac:dyDescent="0.2">
      <c r="A433">
        <v>1431</v>
      </c>
      <c r="B433" t="s">
        <v>45</v>
      </c>
      <c r="C433" t="s">
        <v>29</v>
      </c>
      <c r="D433">
        <v>2023</v>
      </c>
      <c r="E433" t="s">
        <v>24</v>
      </c>
      <c r="F433">
        <v>318</v>
      </c>
      <c r="G433">
        <v>6</v>
      </c>
      <c r="H433">
        <v>6</v>
      </c>
      <c r="I433">
        <v>1854000</v>
      </c>
      <c r="J433">
        <v>5830.2</v>
      </c>
      <c r="K433">
        <v>1</v>
      </c>
      <c r="L433" t="s">
        <v>20</v>
      </c>
      <c r="M433">
        <v>155</v>
      </c>
      <c r="N433" t="s">
        <v>21</v>
      </c>
      <c r="P433">
        <f t="shared" si="60"/>
        <v>1854000</v>
      </c>
      <c r="Q433">
        <f t="shared" si="61"/>
        <v>318</v>
      </c>
      <c r="R433" t="e">
        <f t="shared" si="62"/>
        <v>#N/A</v>
      </c>
      <c r="S433" t="e">
        <f t="shared" si="63"/>
        <v>#N/A</v>
      </c>
      <c r="T433" t="e">
        <f t="shared" si="64"/>
        <v>#N/A</v>
      </c>
      <c r="U433" t="e">
        <f t="shared" si="65"/>
        <v>#N/A</v>
      </c>
      <c r="V433" t="e">
        <f t="shared" si="66"/>
        <v>#N/A</v>
      </c>
      <c r="W433" t="e">
        <f t="shared" si="67"/>
        <v>#N/A</v>
      </c>
      <c r="X433" t="e">
        <f t="shared" si="68"/>
        <v>#N/A</v>
      </c>
      <c r="Y433" t="e">
        <f t="shared" si="69"/>
        <v>#N/A</v>
      </c>
    </row>
    <row r="434" spans="1:25" x14ac:dyDescent="0.2">
      <c r="A434">
        <v>1432</v>
      </c>
      <c r="B434" t="s">
        <v>25</v>
      </c>
      <c r="C434" t="s">
        <v>15</v>
      </c>
      <c r="D434">
        <v>2021</v>
      </c>
      <c r="E434" t="s">
        <v>26</v>
      </c>
      <c r="F434">
        <v>161</v>
      </c>
      <c r="G434">
        <v>3</v>
      </c>
      <c r="H434">
        <v>3</v>
      </c>
      <c r="I434">
        <v>339000</v>
      </c>
      <c r="J434">
        <v>2105.6</v>
      </c>
      <c r="K434">
        <v>2</v>
      </c>
      <c r="L434" t="s">
        <v>17</v>
      </c>
      <c r="M434">
        <v>58</v>
      </c>
      <c r="N434" t="s">
        <v>27</v>
      </c>
      <c r="P434" t="e">
        <f t="shared" si="60"/>
        <v>#N/A</v>
      </c>
      <c r="Q434" t="e">
        <f t="shared" si="61"/>
        <v>#N/A</v>
      </c>
      <c r="R434">
        <f t="shared" si="62"/>
        <v>339000</v>
      </c>
      <c r="S434">
        <f t="shared" si="63"/>
        <v>161</v>
      </c>
      <c r="T434" t="e">
        <f t="shared" si="64"/>
        <v>#N/A</v>
      </c>
      <c r="U434" t="e">
        <f t="shared" si="65"/>
        <v>#N/A</v>
      </c>
      <c r="V434" t="e">
        <f t="shared" si="66"/>
        <v>#N/A</v>
      </c>
      <c r="W434" t="e">
        <f t="shared" si="67"/>
        <v>#N/A</v>
      </c>
      <c r="X434" t="e">
        <f t="shared" si="68"/>
        <v>#N/A</v>
      </c>
      <c r="Y434" t="e">
        <f t="shared" si="69"/>
        <v>#N/A</v>
      </c>
    </row>
    <row r="435" spans="1:25" x14ac:dyDescent="0.2">
      <c r="A435">
        <v>1433</v>
      </c>
      <c r="B435" t="s">
        <v>14</v>
      </c>
      <c r="C435" t="s">
        <v>29</v>
      </c>
      <c r="D435">
        <v>2021</v>
      </c>
      <c r="E435" t="s">
        <v>30</v>
      </c>
      <c r="F435">
        <v>362</v>
      </c>
      <c r="G435">
        <v>4</v>
      </c>
      <c r="H435">
        <v>4</v>
      </c>
      <c r="I435">
        <v>1864000</v>
      </c>
      <c r="J435">
        <v>5149.2</v>
      </c>
      <c r="K435">
        <v>0</v>
      </c>
      <c r="L435" t="s">
        <v>20</v>
      </c>
      <c r="M435">
        <v>6</v>
      </c>
      <c r="N435" t="s">
        <v>18</v>
      </c>
      <c r="P435">
        <f t="shared" si="60"/>
        <v>1864000</v>
      </c>
      <c r="Q435">
        <f t="shared" si="61"/>
        <v>362</v>
      </c>
      <c r="R435" t="e">
        <f t="shared" si="62"/>
        <v>#N/A</v>
      </c>
      <c r="S435" t="e">
        <f t="shared" si="63"/>
        <v>#N/A</v>
      </c>
      <c r="T435" t="e">
        <f t="shared" si="64"/>
        <v>#N/A</v>
      </c>
      <c r="U435" t="e">
        <f t="shared" si="65"/>
        <v>#N/A</v>
      </c>
      <c r="V435" t="e">
        <f t="shared" si="66"/>
        <v>#N/A</v>
      </c>
      <c r="W435" t="e">
        <f t="shared" si="67"/>
        <v>#N/A</v>
      </c>
      <c r="X435" t="e">
        <f t="shared" si="68"/>
        <v>#N/A</v>
      </c>
      <c r="Y435" t="e">
        <f t="shared" si="69"/>
        <v>#N/A</v>
      </c>
    </row>
    <row r="436" spans="1:25" x14ac:dyDescent="0.2">
      <c r="A436">
        <v>1434</v>
      </c>
      <c r="B436" t="s">
        <v>47</v>
      </c>
      <c r="C436" t="s">
        <v>23</v>
      </c>
      <c r="D436">
        <v>2023</v>
      </c>
      <c r="E436" t="s">
        <v>30</v>
      </c>
      <c r="F436">
        <v>249</v>
      </c>
      <c r="G436">
        <v>4</v>
      </c>
      <c r="H436">
        <v>4</v>
      </c>
      <c r="I436">
        <v>888000</v>
      </c>
      <c r="J436">
        <v>3566.3</v>
      </c>
      <c r="K436">
        <v>20</v>
      </c>
      <c r="L436" t="s">
        <v>20</v>
      </c>
      <c r="M436">
        <v>89</v>
      </c>
      <c r="N436" t="s">
        <v>21</v>
      </c>
      <c r="P436" t="e">
        <f t="shared" si="60"/>
        <v>#N/A</v>
      </c>
      <c r="Q436" t="e">
        <f t="shared" si="61"/>
        <v>#N/A</v>
      </c>
      <c r="R436" t="e">
        <f t="shared" si="62"/>
        <v>#N/A</v>
      </c>
      <c r="S436" t="e">
        <f t="shared" si="63"/>
        <v>#N/A</v>
      </c>
      <c r="T436">
        <f t="shared" si="64"/>
        <v>888000</v>
      </c>
      <c r="U436">
        <f t="shared" si="65"/>
        <v>249</v>
      </c>
      <c r="V436" t="e">
        <f t="shared" si="66"/>
        <v>#N/A</v>
      </c>
      <c r="W436" t="e">
        <f t="shared" si="67"/>
        <v>#N/A</v>
      </c>
      <c r="X436" t="e">
        <f t="shared" si="68"/>
        <v>#N/A</v>
      </c>
      <c r="Y436" t="e">
        <f t="shared" si="69"/>
        <v>#N/A</v>
      </c>
    </row>
    <row r="437" spans="1:25" x14ac:dyDescent="0.2">
      <c r="A437">
        <v>1435</v>
      </c>
      <c r="B437" t="s">
        <v>39</v>
      </c>
      <c r="C437" t="s">
        <v>29</v>
      </c>
      <c r="D437">
        <v>2021</v>
      </c>
      <c r="E437" t="s">
        <v>24</v>
      </c>
      <c r="F437">
        <v>307</v>
      </c>
      <c r="G437">
        <v>4</v>
      </c>
      <c r="H437">
        <v>4</v>
      </c>
      <c r="I437">
        <v>1559000</v>
      </c>
      <c r="J437">
        <v>5078.2</v>
      </c>
      <c r="K437">
        <v>1</v>
      </c>
      <c r="L437" t="s">
        <v>20</v>
      </c>
      <c r="M437">
        <v>13</v>
      </c>
      <c r="N437" t="s">
        <v>21</v>
      </c>
      <c r="P437">
        <f t="shared" si="60"/>
        <v>1559000</v>
      </c>
      <c r="Q437">
        <f t="shared" si="61"/>
        <v>307</v>
      </c>
      <c r="R437" t="e">
        <f t="shared" si="62"/>
        <v>#N/A</v>
      </c>
      <c r="S437" t="e">
        <f t="shared" si="63"/>
        <v>#N/A</v>
      </c>
      <c r="T437" t="e">
        <f t="shared" si="64"/>
        <v>#N/A</v>
      </c>
      <c r="U437" t="e">
        <f t="shared" si="65"/>
        <v>#N/A</v>
      </c>
      <c r="V437" t="e">
        <f t="shared" si="66"/>
        <v>#N/A</v>
      </c>
      <c r="W437" t="e">
        <f t="shared" si="67"/>
        <v>#N/A</v>
      </c>
      <c r="X437" t="e">
        <f t="shared" si="68"/>
        <v>#N/A</v>
      </c>
      <c r="Y437" t="e">
        <f t="shared" si="69"/>
        <v>#N/A</v>
      </c>
    </row>
    <row r="438" spans="1:25" x14ac:dyDescent="0.2">
      <c r="A438">
        <v>1436</v>
      </c>
      <c r="B438" t="s">
        <v>44</v>
      </c>
      <c r="C438" t="s">
        <v>15</v>
      </c>
      <c r="D438">
        <v>2022</v>
      </c>
      <c r="E438" t="s">
        <v>30</v>
      </c>
      <c r="F438">
        <v>116</v>
      </c>
      <c r="G438">
        <v>2</v>
      </c>
      <c r="H438">
        <v>2</v>
      </c>
      <c r="I438">
        <v>348000</v>
      </c>
      <c r="J438">
        <v>3000</v>
      </c>
      <c r="K438">
        <v>1</v>
      </c>
      <c r="L438" t="s">
        <v>17</v>
      </c>
      <c r="M438">
        <v>103</v>
      </c>
      <c r="N438" t="s">
        <v>18</v>
      </c>
      <c r="P438" t="e">
        <f t="shared" si="60"/>
        <v>#N/A</v>
      </c>
      <c r="Q438" t="e">
        <f t="shared" si="61"/>
        <v>#N/A</v>
      </c>
      <c r="R438">
        <f t="shared" si="62"/>
        <v>348000</v>
      </c>
      <c r="S438">
        <f t="shared" si="63"/>
        <v>116</v>
      </c>
      <c r="T438" t="e">
        <f t="shared" si="64"/>
        <v>#N/A</v>
      </c>
      <c r="U438" t="e">
        <f t="shared" si="65"/>
        <v>#N/A</v>
      </c>
      <c r="V438" t="e">
        <f t="shared" si="66"/>
        <v>#N/A</v>
      </c>
      <c r="W438" t="e">
        <f t="shared" si="67"/>
        <v>#N/A</v>
      </c>
      <c r="X438" t="e">
        <f t="shared" si="68"/>
        <v>#N/A</v>
      </c>
      <c r="Y438" t="e">
        <f t="shared" si="69"/>
        <v>#N/A</v>
      </c>
    </row>
    <row r="439" spans="1:25" x14ac:dyDescent="0.2">
      <c r="A439">
        <v>1437</v>
      </c>
      <c r="B439" t="s">
        <v>22</v>
      </c>
      <c r="C439" t="s">
        <v>29</v>
      </c>
      <c r="D439">
        <v>2024</v>
      </c>
      <c r="E439" t="s">
        <v>30</v>
      </c>
      <c r="F439">
        <v>504</v>
      </c>
      <c r="G439">
        <v>6</v>
      </c>
      <c r="H439">
        <v>6</v>
      </c>
      <c r="I439">
        <v>3016000</v>
      </c>
      <c r="J439">
        <v>5984.1</v>
      </c>
      <c r="K439">
        <v>1</v>
      </c>
      <c r="L439" t="s">
        <v>20</v>
      </c>
      <c r="M439">
        <v>73</v>
      </c>
      <c r="N439" t="s">
        <v>18</v>
      </c>
      <c r="P439">
        <f t="shared" si="60"/>
        <v>3016000</v>
      </c>
      <c r="Q439">
        <f t="shared" si="61"/>
        <v>504</v>
      </c>
      <c r="R439" t="e">
        <f t="shared" si="62"/>
        <v>#N/A</v>
      </c>
      <c r="S439" t="e">
        <f t="shared" si="63"/>
        <v>#N/A</v>
      </c>
      <c r="T439" t="e">
        <f t="shared" si="64"/>
        <v>#N/A</v>
      </c>
      <c r="U439" t="e">
        <f t="shared" si="65"/>
        <v>#N/A</v>
      </c>
      <c r="V439" t="e">
        <f t="shared" si="66"/>
        <v>#N/A</v>
      </c>
      <c r="W439" t="e">
        <f t="shared" si="67"/>
        <v>#N/A</v>
      </c>
      <c r="X439" t="e">
        <f t="shared" si="68"/>
        <v>#N/A</v>
      </c>
      <c r="Y439" t="e">
        <f t="shared" si="69"/>
        <v>#N/A</v>
      </c>
    </row>
    <row r="440" spans="1:25" x14ac:dyDescent="0.2">
      <c r="A440">
        <v>1438</v>
      </c>
      <c r="B440" t="s">
        <v>32</v>
      </c>
      <c r="C440" t="s">
        <v>23</v>
      </c>
      <c r="D440">
        <v>2024</v>
      </c>
      <c r="E440" t="s">
        <v>24</v>
      </c>
      <c r="F440">
        <v>305</v>
      </c>
      <c r="G440">
        <v>4</v>
      </c>
      <c r="H440">
        <v>4</v>
      </c>
      <c r="I440">
        <v>1158000</v>
      </c>
      <c r="J440">
        <v>3796.7</v>
      </c>
      <c r="K440">
        <v>10</v>
      </c>
      <c r="L440" t="s">
        <v>17</v>
      </c>
      <c r="M440">
        <v>131</v>
      </c>
      <c r="N440" t="s">
        <v>18</v>
      </c>
      <c r="P440" t="e">
        <f t="shared" si="60"/>
        <v>#N/A</v>
      </c>
      <c r="Q440" t="e">
        <f t="shared" si="61"/>
        <v>#N/A</v>
      </c>
      <c r="R440" t="e">
        <f t="shared" si="62"/>
        <v>#N/A</v>
      </c>
      <c r="S440" t="e">
        <f t="shared" si="63"/>
        <v>#N/A</v>
      </c>
      <c r="T440">
        <f t="shared" si="64"/>
        <v>1158000</v>
      </c>
      <c r="U440">
        <f t="shared" si="65"/>
        <v>305</v>
      </c>
      <c r="V440" t="e">
        <f t="shared" si="66"/>
        <v>#N/A</v>
      </c>
      <c r="W440" t="e">
        <f t="shared" si="67"/>
        <v>#N/A</v>
      </c>
      <c r="X440" t="e">
        <f t="shared" si="68"/>
        <v>#N/A</v>
      </c>
      <c r="Y440" t="e">
        <f t="shared" si="69"/>
        <v>#N/A</v>
      </c>
    </row>
    <row r="441" spans="1:25" x14ac:dyDescent="0.2">
      <c r="A441">
        <v>1439</v>
      </c>
      <c r="B441" t="s">
        <v>25</v>
      </c>
      <c r="C441" t="s">
        <v>15</v>
      </c>
      <c r="D441">
        <v>2022</v>
      </c>
      <c r="E441" t="s">
        <v>26</v>
      </c>
      <c r="F441">
        <v>151</v>
      </c>
      <c r="G441">
        <v>3</v>
      </c>
      <c r="H441">
        <v>3</v>
      </c>
      <c r="I441">
        <v>352000</v>
      </c>
      <c r="J441">
        <v>2331.1</v>
      </c>
      <c r="K441">
        <v>20</v>
      </c>
      <c r="L441" t="s">
        <v>20</v>
      </c>
      <c r="M441">
        <v>7</v>
      </c>
      <c r="N441" t="s">
        <v>27</v>
      </c>
      <c r="P441" t="e">
        <f t="shared" si="60"/>
        <v>#N/A</v>
      </c>
      <c r="Q441" t="e">
        <f t="shared" si="61"/>
        <v>#N/A</v>
      </c>
      <c r="R441">
        <f t="shared" si="62"/>
        <v>352000</v>
      </c>
      <c r="S441">
        <f t="shared" si="63"/>
        <v>151</v>
      </c>
      <c r="T441" t="e">
        <f t="shared" si="64"/>
        <v>#N/A</v>
      </c>
      <c r="U441" t="e">
        <f t="shared" si="65"/>
        <v>#N/A</v>
      </c>
      <c r="V441" t="e">
        <f t="shared" si="66"/>
        <v>#N/A</v>
      </c>
      <c r="W441" t="e">
        <f t="shared" si="67"/>
        <v>#N/A</v>
      </c>
      <c r="X441" t="e">
        <f t="shared" si="68"/>
        <v>#N/A</v>
      </c>
      <c r="Y441" t="e">
        <f t="shared" si="69"/>
        <v>#N/A</v>
      </c>
    </row>
    <row r="442" spans="1:25" x14ac:dyDescent="0.2">
      <c r="A442">
        <v>1440</v>
      </c>
      <c r="B442" t="s">
        <v>44</v>
      </c>
      <c r="C442" t="s">
        <v>29</v>
      </c>
      <c r="D442">
        <v>2022</v>
      </c>
      <c r="E442" t="s">
        <v>24</v>
      </c>
      <c r="F442">
        <v>374</v>
      </c>
      <c r="G442">
        <v>5</v>
      </c>
      <c r="H442">
        <v>5</v>
      </c>
      <c r="I442">
        <v>1689000</v>
      </c>
      <c r="J442">
        <v>4516</v>
      </c>
      <c r="K442">
        <v>15</v>
      </c>
      <c r="L442" t="s">
        <v>20</v>
      </c>
      <c r="M442">
        <v>148</v>
      </c>
      <c r="N442" t="s">
        <v>18</v>
      </c>
      <c r="P442">
        <f t="shared" si="60"/>
        <v>1689000</v>
      </c>
      <c r="Q442">
        <f t="shared" si="61"/>
        <v>374</v>
      </c>
      <c r="R442" t="e">
        <f t="shared" si="62"/>
        <v>#N/A</v>
      </c>
      <c r="S442" t="e">
        <f t="shared" si="63"/>
        <v>#N/A</v>
      </c>
      <c r="T442" t="e">
        <f t="shared" si="64"/>
        <v>#N/A</v>
      </c>
      <c r="U442" t="e">
        <f t="shared" si="65"/>
        <v>#N/A</v>
      </c>
      <c r="V442" t="e">
        <f t="shared" si="66"/>
        <v>#N/A</v>
      </c>
      <c r="W442" t="e">
        <f t="shared" si="67"/>
        <v>#N/A</v>
      </c>
      <c r="X442" t="e">
        <f t="shared" si="68"/>
        <v>#N/A</v>
      </c>
      <c r="Y442" t="e">
        <f t="shared" si="69"/>
        <v>#N/A</v>
      </c>
    </row>
    <row r="443" spans="1:25" x14ac:dyDescent="0.2">
      <c r="A443">
        <v>1441</v>
      </c>
      <c r="B443" t="s">
        <v>35</v>
      </c>
      <c r="C443" t="s">
        <v>38</v>
      </c>
      <c r="D443">
        <v>2022</v>
      </c>
      <c r="E443" t="s">
        <v>30</v>
      </c>
      <c r="F443">
        <v>56</v>
      </c>
      <c r="G443">
        <v>0</v>
      </c>
      <c r="H443">
        <v>1</v>
      </c>
      <c r="I443">
        <v>253000</v>
      </c>
      <c r="J443">
        <v>4517.8999999999996</v>
      </c>
      <c r="K443">
        <v>0</v>
      </c>
      <c r="L443" t="s">
        <v>17</v>
      </c>
      <c r="M443">
        <v>105</v>
      </c>
      <c r="N443" t="s">
        <v>18</v>
      </c>
      <c r="P443" t="e">
        <f t="shared" si="60"/>
        <v>#N/A</v>
      </c>
      <c r="Q443" t="e">
        <f t="shared" si="61"/>
        <v>#N/A</v>
      </c>
      <c r="R443" t="e">
        <f t="shared" si="62"/>
        <v>#N/A</v>
      </c>
      <c r="S443" t="e">
        <f t="shared" si="63"/>
        <v>#N/A</v>
      </c>
      <c r="T443" t="e">
        <f t="shared" si="64"/>
        <v>#N/A</v>
      </c>
      <c r="U443" t="e">
        <f t="shared" si="65"/>
        <v>#N/A</v>
      </c>
      <c r="V443">
        <f t="shared" si="66"/>
        <v>253000</v>
      </c>
      <c r="W443">
        <f t="shared" si="67"/>
        <v>56</v>
      </c>
      <c r="X443" t="e">
        <f t="shared" si="68"/>
        <v>#N/A</v>
      </c>
      <c r="Y443" t="e">
        <f t="shared" si="69"/>
        <v>#N/A</v>
      </c>
    </row>
    <row r="444" spans="1:25" x14ac:dyDescent="0.2">
      <c r="A444">
        <v>1442</v>
      </c>
      <c r="B444" t="s">
        <v>46</v>
      </c>
      <c r="C444" t="s">
        <v>15</v>
      </c>
      <c r="D444">
        <v>2023</v>
      </c>
      <c r="E444" t="s">
        <v>30</v>
      </c>
      <c r="F444">
        <v>179</v>
      </c>
      <c r="G444">
        <v>4</v>
      </c>
      <c r="H444">
        <v>4</v>
      </c>
      <c r="I444">
        <v>580000</v>
      </c>
      <c r="J444">
        <v>3240.2</v>
      </c>
      <c r="K444">
        <v>2</v>
      </c>
      <c r="L444" t="s">
        <v>17</v>
      </c>
      <c r="M444">
        <v>88</v>
      </c>
      <c r="N444" t="s">
        <v>18</v>
      </c>
      <c r="P444" t="e">
        <f t="shared" si="60"/>
        <v>#N/A</v>
      </c>
      <c r="Q444" t="e">
        <f t="shared" si="61"/>
        <v>#N/A</v>
      </c>
      <c r="R444">
        <f t="shared" si="62"/>
        <v>580000</v>
      </c>
      <c r="S444">
        <f t="shared" si="63"/>
        <v>179</v>
      </c>
      <c r="T444" t="e">
        <f t="shared" si="64"/>
        <v>#N/A</v>
      </c>
      <c r="U444" t="e">
        <f t="shared" si="65"/>
        <v>#N/A</v>
      </c>
      <c r="V444" t="e">
        <f t="shared" si="66"/>
        <v>#N/A</v>
      </c>
      <c r="W444" t="e">
        <f t="shared" si="67"/>
        <v>#N/A</v>
      </c>
      <c r="X444" t="e">
        <f t="shared" si="68"/>
        <v>#N/A</v>
      </c>
      <c r="Y444" t="e">
        <f t="shared" si="69"/>
        <v>#N/A</v>
      </c>
    </row>
    <row r="445" spans="1:25" x14ac:dyDescent="0.2">
      <c r="A445">
        <v>1443</v>
      </c>
      <c r="B445" t="s">
        <v>33</v>
      </c>
      <c r="C445" t="s">
        <v>38</v>
      </c>
      <c r="D445">
        <v>2021</v>
      </c>
      <c r="E445" t="s">
        <v>24</v>
      </c>
      <c r="F445">
        <v>48</v>
      </c>
      <c r="G445">
        <v>0</v>
      </c>
      <c r="H445">
        <v>1</v>
      </c>
      <c r="I445">
        <v>137000</v>
      </c>
      <c r="J445">
        <v>2854.2</v>
      </c>
      <c r="K445">
        <v>20</v>
      </c>
      <c r="L445" t="s">
        <v>17</v>
      </c>
      <c r="M445">
        <v>159</v>
      </c>
      <c r="N445" t="s">
        <v>27</v>
      </c>
      <c r="P445" t="e">
        <f t="shared" si="60"/>
        <v>#N/A</v>
      </c>
      <c r="Q445" t="e">
        <f t="shared" si="61"/>
        <v>#N/A</v>
      </c>
      <c r="R445" t="e">
        <f t="shared" si="62"/>
        <v>#N/A</v>
      </c>
      <c r="S445" t="e">
        <f t="shared" si="63"/>
        <v>#N/A</v>
      </c>
      <c r="T445" t="e">
        <f t="shared" si="64"/>
        <v>#N/A</v>
      </c>
      <c r="U445" t="e">
        <f t="shared" si="65"/>
        <v>#N/A</v>
      </c>
      <c r="V445">
        <f t="shared" si="66"/>
        <v>137000</v>
      </c>
      <c r="W445">
        <f t="shared" si="67"/>
        <v>48</v>
      </c>
      <c r="X445" t="e">
        <f t="shared" si="68"/>
        <v>#N/A</v>
      </c>
      <c r="Y445" t="e">
        <f t="shared" si="69"/>
        <v>#N/A</v>
      </c>
    </row>
    <row r="446" spans="1:25" x14ac:dyDescent="0.2">
      <c r="A446">
        <v>1444</v>
      </c>
      <c r="B446" t="s">
        <v>42</v>
      </c>
      <c r="C446" t="s">
        <v>29</v>
      </c>
      <c r="D446">
        <v>2021</v>
      </c>
      <c r="E446" t="s">
        <v>16</v>
      </c>
      <c r="F446">
        <v>417</v>
      </c>
      <c r="G446">
        <v>4</v>
      </c>
      <c r="H446">
        <v>4</v>
      </c>
      <c r="I446">
        <v>2611000</v>
      </c>
      <c r="J446">
        <v>6261.4</v>
      </c>
      <c r="K446">
        <v>4</v>
      </c>
      <c r="L446" t="s">
        <v>17</v>
      </c>
      <c r="M446">
        <v>102</v>
      </c>
      <c r="N446" t="s">
        <v>21</v>
      </c>
      <c r="P446">
        <f t="shared" si="60"/>
        <v>2611000</v>
      </c>
      <c r="Q446">
        <f t="shared" si="61"/>
        <v>417</v>
      </c>
      <c r="R446" t="e">
        <f t="shared" si="62"/>
        <v>#N/A</v>
      </c>
      <c r="S446" t="e">
        <f t="shared" si="63"/>
        <v>#N/A</v>
      </c>
      <c r="T446" t="e">
        <f t="shared" si="64"/>
        <v>#N/A</v>
      </c>
      <c r="U446" t="e">
        <f t="shared" si="65"/>
        <v>#N/A</v>
      </c>
      <c r="V446" t="e">
        <f t="shared" si="66"/>
        <v>#N/A</v>
      </c>
      <c r="W446" t="e">
        <f t="shared" si="67"/>
        <v>#N/A</v>
      </c>
      <c r="X446" t="e">
        <f t="shared" si="68"/>
        <v>#N/A</v>
      </c>
      <c r="Y446" t="e">
        <f t="shared" si="69"/>
        <v>#N/A</v>
      </c>
    </row>
    <row r="447" spans="1:25" x14ac:dyDescent="0.2">
      <c r="A447">
        <v>1445</v>
      </c>
      <c r="B447" t="s">
        <v>32</v>
      </c>
      <c r="C447" t="s">
        <v>29</v>
      </c>
      <c r="D447">
        <v>2022</v>
      </c>
      <c r="E447" t="s">
        <v>16</v>
      </c>
      <c r="F447">
        <v>562</v>
      </c>
      <c r="G447">
        <v>6</v>
      </c>
      <c r="H447">
        <v>6</v>
      </c>
      <c r="I447">
        <v>2302000</v>
      </c>
      <c r="J447">
        <v>4096.1000000000004</v>
      </c>
      <c r="K447">
        <v>5</v>
      </c>
      <c r="L447" t="s">
        <v>20</v>
      </c>
      <c r="M447">
        <v>78</v>
      </c>
      <c r="N447" t="s">
        <v>18</v>
      </c>
      <c r="P447">
        <f t="shared" si="60"/>
        <v>2302000</v>
      </c>
      <c r="Q447">
        <f t="shared" si="61"/>
        <v>562</v>
      </c>
      <c r="R447" t="e">
        <f t="shared" si="62"/>
        <v>#N/A</v>
      </c>
      <c r="S447" t="e">
        <f t="shared" si="63"/>
        <v>#N/A</v>
      </c>
      <c r="T447" t="e">
        <f t="shared" si="64"/>
        <v>#N/A</v>
      </c>
      <c r="U447" t="e">
        <f t="shared" si="65"/>
        <v>#N/A</v>
      </c>
      <c r="V447" t="e">
        <f t="shared" si="66"/>
        <v>#N/A</v>
      </c>
      <c r="W447" t="e">
        <f t="shared" si="67"/>
        <v>#N/A</v>
      </c>
      <c r="X447" t="e">
        <f t="shared" si="68"/>
        <v>#N/A</v>
      </c>
      <c r="Y447" t="e">
        <f t="shared" si="69"/>
        <v>#N/A</v>
      </c>
    </row>
    <row r="448" spans="1:25" x14ac:dyDescent="0.2">
      <c r="A448">
        <v>1446</v>
      </c>
      <c r="B448" t="s">
        <v>47</v>
      </c>
      <c r="C448" t="s">
        <v>15</v>
      </c>
      <c r="D448">
        <v>2023</v>
      </c>
      <c r="E448" t="s">
        <v>30</v>
      </c>
      <c r="F448">
        <v>166</v>
      </c>
      <c r="G448">
        <v>4</v>
      </c>
      <c r="H448">
        <v>4</v>
      </c>
      <c r="I448">
        <v>548000</v>
      </c>
      <c r="J448">
        <v>3301.2</v>
      </c>
      <c r="K448">
        <v>0</v>
      </c>
      <c r="L448" t="s">
        <v>17</v>
      </c>
      <c r="M448">
        <v>140</v>
      </c>
      <c r="N448" t="s">
        <v>21</v>
      </c>
      <c r="P448" t="e">
        <f t="shared" si="60"/>
        <v>#N/A</v>
      </c>
      <c r="Q448" t="e">
        <f t="shared" si="61"/>
        <v>#N/A</v>
      </c>
      <c r="R448">
        <f t="shared" si="62"/>
        <v>548000</v>
      </c>
      <c r="S448">
        <f t="shared" si="63"/>
        <v>166</v>
      </c>
      <c r="T448" t="e">
        <f t="shared" si="64"/>
        <v>#N/A</v>
      </c>
      <c r="U448" t="e">
        <f t="shared" si="65"/>
        <v>#N/A</v>
      </c>
      <c r="V448" t="e">
        <f t="shared" si="66"/>
        <v>#N/A</v>
      </c>
      <c r="W448" t="e">
        <f t="shared" si="67"/>
        <v>#N/A</v>
      </c>
      <c r="X448" t="e">
        <f t="shared" si="68"/>
        <v>#N/A</v>
      </c>
      <c r="Y448" t="e">
        <f t="shared" si="69"/>
        <v>#N/A</v>
      </c>
    </row>
    <row r="449" spans="1:25" x14ac:dyDescent="0.2">
      <c r="A449">
        <v>1447</v>
      </c>
      <c r="B449" t="s">
        <v>45</v>
      </c>
      <c r="C449" t="s">
        <v>23</v>
      </c>
      <c r="D449">
        <v>2024</v>
      </c>
      <c r="E449" t="s">
        <v>16</v>
      </c>
      <c r="F449">
        <v>252</v>
      </c>
      <c r="G449">
        <v>5</v>
      </c>
      <c r="H449">
        <v>5</v>
      </c>
      <c r="I449">
        <v>1334000</v>
      </c>
      <c r="J449">
        <v>5293.7</v>
      </c>
      <c r="K449">
        <v>5</v>
      </c>
      <c r="L449" t="s">
        <v>17</v>
      </c>
      <c r="M449">
        <v>45</v>
      </c>
      <c r="N449" t="s">
        <v>21</v>
      </c>
      <c r="P449" t="e">
        <f t="shared" si="60"/>
        <v>#N/A</v>
      </c>
      <c r="Q449" t="e">
        <f t="shared" si="61"/>
        <v>#N/A</v>
      </c>
      <c r="R449" t="e">
        <f t="shared" si="62"/>
        <v>#N/A</v>
      </c>
      <c r="S449" t="e">
        <f t="shared" si="63"/>
        <v>#N/A</v>
      </c>
      <c r="T449">
        <f t="shared" si="64"/>
        <v>1334000</v>
      </c>
      <c r="U449">
        <f t="shared" si="65"/>
        <v>252</v>
      </c>
      <c r="V449" t="e">
        <f t="shared" si="66"/>
        <v>#N/A</v>
      </c>
      <c r="W449" t="e">
        <f t="shared" si="67"/>
        <v>#N/A</v>
      </c>
      <c r="X449" t="e">
        <f t="shared" si="68"/>
        <v>#N/A</v>
      </c>
      <c r="Y449" t="e">
        <f t="shared" si="69"/>
        <v>#N/A</v>
      </c>
    </row>
    <row r="450" spans="1:25" x14ac:dyDescent="0.2">
      <c r="A450">
        <v>1448</v>
      </c>
      <c r="B450" t="s">
        <v>39</v>
      </c>
      <c r="C450" t="s">
        <v>15</v>
      </c>
      <c r="D450">
        <v>2024</v>
      </c>
      <c r="E450" t="s">
        <v>24</v>
      </c>
      <c r="F450">
        <v>164</v>
      </c>
      <c r="G450">
        <v>2</v>
      </c>
      <c r="H450">
        <v>2</v>
      </c>
      <c r="I450">
        <v>680000</v>
      </c>
      <c r="J450">
        <v>4146.3</v>
      </c>
      <c r="K450">
        <v>2</v>
      </c>
      <c r="L450" t="s">
        <v>20</v>
      </c>
      <c r="M450">
        <v>63</v>
      </c>
      <c r="N450" t="s">
        <v>21</v>
      </c>
      <c r="P450" t="e">
        <f t="shared" si="60"/>
        <v>#N/A</v>
      </c>
      <c r="Q450" t="e">
        <f t="shared" si="61"/>
        <v>#N/A</v>
      </c>
      <c r="R450">
        <f t="shared" si="62"/>
        <v>680000</v>
      </c>
      <c r="S450">
        <f t="shared" si="63"/>
        <v>164</v>
      </c>
      <c r="T450" t="e">
        <f t="shared" si="64"/>
        <v>#N/A</v>
      </c>
      <c r="U450" t="e">
        <f t="shared" si="65"/>
        <v>#N/A</v>
      </c>
      <c r="V450" t="e">
        <f t="shared" si="66"/>
        <v>#N/A</v>
      </c>
      <c r="W450" t="e">
        <f t="shared" si="67"/>
        <v>#N/A</v>
      </c>
      <c r="X450" t="e">
        <f t="shared" si="68"/>
        <v>#N/A</v>
      </c>
      <c r="Y450" t="e">
        <f t="shared" si="69"/>
        <v>#N/A</v>
      </c>
    </row>
    <row r="451" spans="1:25" x14ac:dyDescent="0.2">
      <c r="A451">
        <v>1449</v>
      </c>
      <c r="B451" t="s">
        <v>41</v>
      </c>
      <c r="C451" t="s">
        <v>23</v>
      </c>
      <c r="D451">
        <v>2022</v>
      </c>
      <c r="E451" t="s">
        <v>24</v>
      </c>
      <c r="F451">
        <v>201</v>
      </c>
      <c r="G451">
        <v>4</v>
      </c>
      <c r="H451">
        <v>4</v>
      </c>
      <c r="I451">
        <v>998000</v>
      </c>
      <c r="J451">
        <v>4965.2</v>
      </c>
      <c r="K451">
        <v>20</v>
      </c>
      <c r="L451" t="s">
        <v>20</v>
      </c>
      <c r="M451">
        <v>124</v>
      </c>
      <c r="N451" t="s">
        <v>21</v>
      </c>
      <c r="P451" t="e">
        <f t="shared" ref="P451:P514" si="70">IF(C451="Villa", I451, NA())</f>
        <v>#N/A</v>
      </c>
      <c r="Q451" t="e">
        <f t="shared" ref="Q451:Q514" si="71">IF(C451="Villa", F451, NA())</f>
        <v>#N/A</v>
      </c>
      <c r="R451" t="e">
        <f t="shared" ref="R451:R514" si="72">IF(C451="Apartment",I451,NA())</f>
        <v>#N/A</v>
      </c>
      <c r="S451" t="e">
        <f t="shared" ref="S451:S514" si="73">IF(C451="Apartment",F451,NA())</f>
        <v>#N/A</v>
      </c>
      <c r="T451">
        <f t="shared" ref="T451:T514" si="74">IF(C451="Duplex",I451,NA())</f>
        <v>998000</v>
      </c>
      <c r="U451">
        <f t="shared" ref="U451:U514" si="75">IF(C451="Duplex",F451,NA())</f>
        <v>201</v>
      </c>
      <c r="V451" t="e">
        <f t="shared" ref="V451:V514" si="76">IF(C451="Studio",I451,NA())</f>
        <v>#N/A</v>
      </c>
      <c r="W451" t="e">
        <f t="shared" ref="W451:W514" si="77">IF(C451="Studio",F451,NA())</f>
        <v>#N/A</v>
      </c>
      <c r="X451" t="e">
        <f t="shared" ref="X451:X514" si="78">IF(C451="Floor",I451,NA())</f>
        <v>#N/A</v>
      </c>
      <c r="Y451" t="e">
        <f t="shared" ref="Y451:Y514" si="79">IF(C451="Floor",F451,NA())</f>
        <v>#N/A</v>
      </c>
    </row>
    <row r="452" spans="1:25" x14ac:dyDescent="0.2">
      <c r="A452">
        <v>1450</v>
      </c>
      <c r="B452" t="s">
        <v>45</v>
      </c>
      <c r="C452" t="s">
        <v>23</v>
      </c>
      <c r="D452">
        <v>2021</v>
      </c>
      <c r="E452" t="s">
        <v>30</v>
      </c>
      <c r="F452">
        <v>276</v>
      </c>
      <c r="G452">
        <v>4</v>
      </c>
      <c r="H452">
        <v>4</v>
      </c>
      <c r="I452">
        <v>1085000</v>
      </c>
      <c r="J452">
        <v>3931.2</v>
      </c>
      <c r="K452">
        <v>0</v>
      </c>
      <c r="L452" t="s">
        <v>17</v>
      </c>
      <c r="M452">
        <v>21</v>
      </c>
      <c r="N452" t="s">
        <v>21</v>
      </c>
      <c r="P452" t="e">
        <f t="shared" si="70"/>
        <v>#N/A</v>
      </c>
      <c r="Q452" t="e">
        <f t="shared" si="71"/>
        <v>#N/A</v>
      </c>
      <c r="R452" t="e">
        <f t="shared" si="72"/>
        <v>#N/A</v>
      </c>
      <c r="S452" t="e">
        <f t="shared" si="73"/>
        <v>#N/A</v>
      </c>
      <c r="T452">
        <f t="shared" si="74"/>
        <v>1085000</v>
      </c>
      <c r="U452">
        <f t="shared" si="75"/>
        <v>276</v>
      </c>
      <c r="V452" t="e">
        <f t="shared" si="76"/>
        <v>#N/A</v>
      </c>
      <c r="W452" t="e">
        <f t="shared" si="77"/>
        <v>#N/A</v>
      </c>
      <c r="X452" t="e">
        <f t="shared" si="78"/>
        <v>#N/A</v>
      </c>
      <c r="Y452" t="e">
        <f t="shared" si="79"/>
        <v>#N/A</v>
      </c>
    </row>
    <row r="453" spans="1:25" x14ac:dyDescent="0.2">
      <c r="A453">
        <v>1451</v>
      </c>
      <c r="B453" t="s">
        <v>48</v>
      </c>
      <c r="C453" t="s">
        <v>29</v>
      </c>
      <c r="D453">
        <v>2023</v>
      </c>
      <c r="E453" t="s">
        <v>16</v>
      </c>
      <c r="F453">
        <v>470</v>
      </c>
      <c r="G453">
        <v>5</v>
      </c>
      <c r="H453">
        <v>5</v>
      </c>
      <c r="I453">
        <v>2243000</v>
      </c>
      <c r="J453">
        <v>4772.3</v>
      </c>
      <c r="K453">
        <v>4</v>
      </c>
      <c r="L453" t="s">
        <v>17</v>
      </c>
      <c r="M453">
        <v>26</v>
      </c>
      <c r="N453" t="s">
        <v>27</v>
      </c>
      <c r="P453">
        <f t="shared" si="70"/>
        <v>2243000</v>
      </c>
      <c r="Q453">
        <f t="shared" si="71"/>
        <v>470</v>
      </c>
      <c r="R453" t="e">
        <f t="shared" si="72"/>
        <v>#N/A</v>
      </c>
      <c r="S453" t="e">
        <f t="shared" si="73"/>
        <v>#N/A</v>
      </c>
      <c r="T453" t="e">
        <f t="shared" si="74"/>
        <v>#N/A</v>
      </c>
      <c r="U453" t="e">
        <f t="shared" si="75"/>
        <v>#N/A</v>
      </c>
      <c r="V453" t="e">
        <f t="shared" si="76"/>
        <v>#N/A</v>
      </c>
      <c r="W453" t="e">
        <f t="shared" si="77"/>
        <v>#N/A</v>
      </c>
      <c r="X453" t="e">
        <f t="shared" si="78"/>
        <v>#N/A</v>
      </c>
      <c r="Y453" t="e">
        <f t="shared" si="79"/>
        <v>#N/A</v>
      </c>
    </row>
    <row r="454" spans="1:25" x14ac:dyDescent="0.2">
      <c r="A454">
        <v>1452</v>
      </c>
      <c r="B454" t="s">
        <v>41</v>
      </c>
      <c r="C454" t="s">
        <v>15</v>
      </c>
      <c r="D454">
        <v>2021</v>
      </c>
      <c r="E454" t="s">
        <v>24</v>
      </c>
      <c r="F454">
        <v>156</v>
      </c>
      <c r="G454">
        <v>3</v>
      </c>
      <c r="H454">
        <v>3</v>
      </c>
      <c r="I454">
        <v>687000</v>
      </c>
      <c r="J454">
        <v>4403.8</v>
      </c>
      <c r="K454">
        <v>10</v>
      </c>
      <c r="L454" t="s">
        <v>17</v>
      </c>
      <c r="M454">
        <v>10</v>
      </c>
      <c r="N454" t="s">
        <v>21</v>
      </c>
      <c r="P454" t="e">
        <f t="shared" si="70"/>
        <v>#N/A</v>
      </c>
      <c r="Q454" t="e">
        <f t="shared" si="71"/>
        <v>#N/A</v>
      </c>
      <c r="R454">
        <f t="shared" si="72"/>
        <v>687000</v>
      </c>
      <c r="S454">
        <f t="shared" si="73"/>
        <v>156</v>
      </c>
      <c r="T454" t="e">
        <f t="shared" si="74"/>
        <v>#N/A</v>
      </c>
      <c r="U454" t="e">
        <f t="shared" si="75"/>
        <v>#N/A</v>
      </c>
      <c r="V454" t="e">
        <f t="shared" si="76"/>
        <v>#N/A</v>
      </c>
      <c r="W454" t="e">
        <f t="shared" si="77"/>
        <v>#N/A</v>
      </c>
      <c r="X454" t="e">
        <f t="shared" si="78"/>
        <v>#N/A</v>
      </c>
      <c r="Y454" t="e">
        <f t="shared" si="79"/>
        <v>#N/A</v>
      </c>
    </row>
    <row r="455" spans="1:25" x14ac:dyDescent="0.2">
      <c r="A455">
        <v>1453</v>
      </c>
      <c r="B455" t="s">
        <v>41</v>
      </c>
      <c r="C455" t="s">
        <v>15</v>
      </c>
      <c r="D455">
        <v>2023</v>
      </c>
      <c r="E455" t="s">
        <v>24</v>
      </c>
      <c r="F455">
        <v>163</v>
      </c>
      <c r="G455">
        <v>2</v>
      </c>
      <c r="H455">
        <v>2</v>
      </c>
      <c r="I455">
        <v>821000</v>
      </c>
      <c r="J455">
        <v>5036.8</v>
      </c>
      <c r="K455">
        <v>3</v>
      </c>
      <c r="L455" t="s">
        <v>34</v>
      </c>
      <c r="M455">
        <v>92</v>
      </c>
      <c r="N455" t="s">
        <v>21</v>
      </c>
      <c r="P455" t="e">
        <f t="shared" si="70"/>
        <v>#N/A</v>
      </c>
      <c r="Q455" t="e">
        <f t="shared" si="71"/>
        <v>#N/A</v>
      </c>
      <c r="R455">
        <f t="shared" si="72"/>
        <v>821000</v>
      </c>
      <c r="S455">
        <f t="shared" si="73"/>
        <v>163</v>
      </c>
      <c r="T455" t="e">
        <f t="shared" si="74"/>
        <v>#N/A</v>
      </c>
      <c r="U455" t="e">
        <f t="shared" si="75"/>
        <v>#N/A</v>
      </c>
      <c r="V455" t="e">
        <f t="shared" si="76"/>
        <v>#N/A</v>
      </c>
      <c r="W455" t="e">
        <f t="shared" si="77"/>
        <v>#N/A</v>
      </c>
      <c r="X455" t="e">
        <f t="shared" si="78"/>
        <v>#N/A</v>
      </c>
      <c r="Y455" t="e">
        <f t="shared" si="79"/>
        <v>#N/A</v>
      </c>
    </row>
    <row r="456" spans="1:25" x14ac:dyDescent="0.2">
      <c r="A456">
        <v>1454</v>
      </c>
      <c r="B456" t="s">
        <v>14</v>
      </c>
      <c r="C456" t="s">
        <v>38</v>
      </c>
      <c r="D456">
        <v>2024</v>
      </c>
      <c r="E456" t="s">
        <v>30</v>
      </c>
      <c r="F456">
        <v>63</v>
      </c>
      <c r="G456">
        <v>0</v>
      </c>
      <c r="H456">
        <v>1</v>
      </c>
      <c r="I456">
        <v>329000</v>
      </c>
      <c r="J456">
        <v>5222.2</v>
      </c>
      <c r="K456">
        <v>20</v>
      </c>
      <c r="L456" t="s">
        <v>20</v>
      </c>
      <c r="M456">
        <v>45</v>
      </c>
      <c r="N456" t="s">
        <v>18</v>
      </c>
      <c r="P456" t="e">
        <f t="shared" si="70"/>
        <v>#N/A</v>
      </c>
      <c r="Q456" t="e">
        <f t="shared" si="71"/>
        <v>#N/A</v>
      </c>
      <c r="R456" t="e">
        <f t="shared" si="72"/>
        <v>#N/A</v>
      </c>
      <c r="S456" t="e">
        <f t="shared" si="73"/>
        <v>#N/A</v>
      </c>
      <c r="T456" t="e">
        <f t="shared" si="74"/>
        <v>#N/A</v>
      </c>
      <c r="U456" t="e">
        <f t="shared" si="75"/>
        <v>#N/A</v>
      </c>
      <c r="V456">
        <f t="shared" si="76"/>
        <v>329000</v>
      </c>
      <c r="W456">
        <f t="shared" si="77"/>
        <v>63</v>
      </c>
      <c r="X456" t="e">
        <f t="shared" si="78"/>
        <v>#N/A</v>
      </c>
      <c r="Y456" t="e">
        <f t="shared" si="79"/>
        <v>#N/A</v>
      </c>
    </row>
    <row r="457" spans="1:25" x14ac:dyDescent="0.2">
      <c r="A457">
        <v>1455</v>
      </c>
      <c r="B457" t="s">
        <v>37</v>
      </c>
      <c r="C457" t="s">
        <v>15</v>
      </c>
      <c r="D457">
        <v>2024</v>
      </c>
      <c r="E457" t="s">
        <v>26</v>
      </c>
      <c r="F457">
        <v>159</v>
      </c>
      <c r="G457">
        <v>3</v>
      </c>
      <c r="H457">
        <v>3</v>
      </c>
      <c r="I457">
        <v>730000</v>
      </c>
      <c r="J457">
        <v>4591.2</v>
      </c>
      <c r="K457">
        <v>2</v>
      </c>
      <c r="L457" t="s">
        <v>17</v>
      </c>
      <c r="M457">
        <v>43</v>
      </c>
      <c r="N457" t="s">
        <v>27</v>
      </c>
      <c r="P457" t="e">
        <f t="shared" si="70"/>
        <v>#N/A</v>
      </c>
      <c r="Q457" t="e">
        <f t="shared" si="71"/>
        <v>#N/A</v>
      </c>
      <c r="R457">
        <f t="shared" si="72"/>
        <v>730000</v>
      </c>
      <c r="S457">
        <f t="shared" si="73"/>
        <v>159</v>
      </c>
      <c r="T457" t="e">
        <f t="shared" si="74"/>
        <v>#N/A</v>
      </c>
      <c r="U457" t="e">
        <f t="shared" si="75"/>
        <v>#N/A</v>
      </c>
      <c r="V457" t="e">
        <f t="shared" si="76"/>
        <v>#N/A</v>
      </c>
      <c r="W457" t="e">
        <f t="shared" si="77"/>
        <v>#N/A</v>
      </c>
      <c r="X457" t="e">
        <f t="shared" si="78"/>
        <v>#N/A</v>
      </c>
      <c r="Y457" t="e">
        <f t="shared" si="79"/>
        <v>#N/A</v>
      </c>
    </row>
    <row r="458" spans="1:25" x14ac:dyDescent="0.2">
      <c r="A458">
        <v>1456</v>
      </c>
      <c r="B458" t="s">
        <v>37</v>
      </c>
      <c r="C458" t="s">
        <v>15</v>
      </c>
      <c r="D458">
        <v>2021</v>
      </c>
      <c r="E458" t="s">
        <v>24</v>
      </c>
      <c r="F458">
        <v>158</v>
      </c>
      <c r="G458">
        <v>4</v>
      </c>
      <c r="H458">
        <v>4</v>
      </c>
      <c r="I458">
        <v>556000</v>
      </c>
      <c r="J458">
        <v>3519</v>
      </c>
      <c r="K458">
        <v>1</v>
      </c>
      <c r="L458" t="s">
        <v>34</v>
      </c>
      <c r="M458">
        <v>119</v>
      </c>
      <c r="N458" t="s">
        <v>27</v>
      </c>
      <c r="P458" t="e">
        <f t="shared" si="70"/>
        <v>#N/A</v>
      </c>
      <c r="Q458" t="e">
        <f t="shared" si="71"/>
        <v>#N/A</v>
      </c>
      <c r="R458">
        <f t="shared" si="72"/>
        <v>556000</v>
      </c>
      <c r="S458">
        <f t="shared" si="73"/>
        <v>158</v>
      </c>
      <c r="T458" t="e">
        <f t="shared" si="74"/>
        <v>#N/A</v>
      </c>
      <c r="U458" t="e">
        <f t="shared" si="75"/>
        <v>#N/A</v>
      </c>
      <c r="V458" t="e">
        <f t="shared" si="76"/>
        <v>#N/A</v>
      </c>
      <c r="W458" t="e">
        <f t="shared" si="77"/>
        <v>#N/A</v>
      </c>
      <c r="X458" t="e">
        <f t="shared" si="78"/>
        <v>#N/A</v>
      </c>
      <c r="Y458" t="e">
        <f t="shared" si="79"/>
        <v>#N/A</v>
      </c>
    </row>
    <row r="459" spans="1:25" x14ac:dyDescent="0.2">
      <c r="A459">
        <v>1457</v>
      </c>
      <c r="B459" t="s">
        <v>39</v>
      </c>
      <c r="C459" t="s">
        <v>23</v>
      </c>
      <c r="D459">
        <v>2022</v>
      </c>
      <c r="E459" t="s">
        <v>26</v>
      </c>
      <c r="F459">
        <v>290</v>
      </c>
      <c r="G459">
        <v>4</v>
      </c>
      <c r="H459">
        <v>4</v>
      </c>
      <c r="I459">
        <v>1268000</v>
      </c>
      <c r="J459">
        <v>4372.3999999999996</v>
      </c>
      <c r="K459">
        <v>15</v>
      </c>
      <c r="L459" t="s">
        <v>17</v>
      </c>
      <c r="M459">
        <v>98</v>
      </c>
      <c r="N459" t="s">
        <v>21</v>
      </c>
      <c r="P459" t="e">
        <f t="shared" si="70"/>
        <v>#N/A</v>
      </c>
      <c r="Q459" t="e">
        <f t="shared" si="71"/>
        <v>#N/A</v>
      </c>
      <c r="R459" t="e">
        <f t="shared" si="72"/>
        <v>#N/A</v>
      </c>
      <c r="S459" t="e">
        <f t="shared" si="73"/>
        <v>#N/A</v>
      </c>
      <c r="T459">
        <f t="shared" si="74"/>
        <v>1268000</v>
      </c>
      <c r="U459">
        <f t="shared" si="75"/>
        <v>290</v>
      </c>
      <c r="V459" t="e">
        <f t="shared" si="76"/>
        <v>#N/A</v>
      </c>
      <c r="W459" t="e">
        <f t="shared" si="77"/>
        <v>#N/A</v>
      </c>
      <c r="X459" t="e">
        <f t="shared" si="78"/>
        <v>#N/A</v>
      </c>
      <c r="Y459" t="e">
        <f t="shared" si="79"/>
        <v>#N/A</v>
      </c>
    </row>
    <row r="460" spans="1:25" x14ac:dyDescent="0.2">
      <c r="A460">
        <v>1458</v>
      </c>
      <c r="B460" t="s">
        <v>40</v>
      </c>
      <c r="C460" t="s">
        <v>23</v>
      </c>
      <c r="D460">
        <v>2022</v>
      </c>
      <c r="E460" t="s">
        <v>16</v>
      </c>
      <c r="F460">
        <v>226</v>
      </c>
      <c r="G460">
        <v>4</v>
      </c>
      <c r="H460">
        <v>4</v>
      </c>
      <c r="I460">
        <v>929000</v>
      </c>
      <c r="J460">
        <v>4110.6000000000004</v>
      </c>
      <c r="K460">
        <v>7</v>
      </c>
      <c r="L460" t="s">
        <v>17</v>
      </c>
      <c r="M460">
        <v>29</v>
      </c>
      <c r="N460" t="s">
        <v>18</v>
      </c>
      <c r="P460" t="e">
        <f t="shared" si="70"/>
        <v>#N/A</v>
      </c>
      <c r="Q460" t="e">
        <f t="shared" si="71"/>
        <v>#N/A</v>
      </c>
      <c r="R460" t="e">
        <f t="shared" si="72"/>
        <v>#N/A</v>
      </c>
      <c r="S460" t="e">
        <f t="shared" si="73"/>
        <v>#N/A</v>
      </c>
      <c r="T460">
        <f t="shared" si="74"/>
        <v>929000</v>
      </c>
      <c r="U460">
        <f t="shared" si="75"/>
        <v>226</v>
      </c>
      <c r="V460" t="e">
        <f t="shared" si="76"/>
        <v>#N/A</v>
      </c>
      <c r="W460" t="e">
        <f t="shared" si="77"/>
        <v>#N/A</v>
      </c>
      <c r="X460" t="e">
        <f t="shared" si="78"/>
        <v>#N/A</v>
      </c>
      <c r="Y460" t="e">
        <f t="shared" si="79"/>
        <v>#N/A</v>
      </c>
    </row>
    <row r="461" spans="1:25" x14ac:dyDescent="0.2">
      <c r="A461">
        <v>1459</v>
      </c>
      <c r="B461" t="s">
        <v>39</v>
      </c>
      <c r="C461" t="s">
        <v>29</v>
      </c>
      <c r="D461">
        <v>2021</v>
      </c>
      <c r="E461" t="s">
        <v>16</v>
      </c>
      <c r="F461">
        <v>504</v>
      </c>
      <c r="G461">
        <v>4</v>
      </c>
      <c r="H461">
        <v>4</v>
      </c>
      <c r="I461">
        <v>2817000</v>
      </c>
      <c r="J461">
        <v>5589.3</v>
      </c>
      <c r="K461">
        <v>15</v>
      </c>
      <c r="L461" t="s">
        <v>17</v>
      </c>
      <c r="M461">
        <v>75</v>
      </c>
      <c r="N461" t="s">
        <v>21</v>
      </c>
      <c r="P461">
        <f t="shared" si="70"/>
        <v>2817000</v>
      </c>
      <c r="Q461">
        <f t="shared" si="71"/>
        <v>504</v>
      </c>
      <c r="R461" t="e">
        <f t="shared" si="72"/>
        <v>#N/A</v>
      </c>
      <c r="S461" t="e">
        <f t="shared" si="73"/>
        <v>#N/A</v>
      </c>
      <c r="T461" t="e">
        <f t="shared" si="74"/>
        <v>#N/A</v>
      </c>
      <c r="U461" t="e">
        <f t="shared" si="75"/>
        <v>#N/A</v>
      </c>
      <c r="V461" t="e">
        <f t="shared" si="76"/>
        <v>#N/A</v>
      </c>
      <c r="W461" t="e">
        <f t="shared" si="77"/>
        <v>#N/A</v>
      </c>
      <c r="X461" t="e">
        <f t="shared" si="78"/>
        <v>#N/A</v>
      </c>
      <c r="Y461" t="e">
        <f t="shared" si="79"/>
        <v>#N/A</v>
      </c>
    </row>
    <row r="462" spans="1:25" x14ac:dyDescent="0.2">
      <c r="A462">
        <v>1460</v>
      </c>
      <c r="B462" t="s">
        <v>48</v>
      </c>
      <c r="C462" t="s">
        <v>23</v>
      </c>
      <c r="D462">
        <v>2023</v>
      </c>
      <c r="E462" t="s">
        <v>16</v>
      </c>
      <c r="F462">
        <v>278</v>
      </c>
      <c r="G462">
        <v>3</v>
      </c>
      <c r="H462">
        <v>3</v>
      </c>
      <c r="I462">
        <v>1074000</v>
      </c>
      <c r="J462">
        <v>3863.3</v>
      </c>
      <c r="K462">
        <v>0</v>
      </c>
      <c r="L462" t="s">
        <v>34</v>
      </c>
      <c r="M462">
        <v>112</v>
      </c>
      <c r="N462" t="s">
        <v>27</v>
      </c>
      <c r="P462" t="e">
        <f t="shared" si="70"/>
        <v>#N/A</v>
      </c>
      <c r="Q462" t="e">
        <f t="shared" si="71"/>
        <v>#N/A</v>
      </c>
      <c r="R462" t="e">
        <f t="shared" si="72"/>
        <v>#N/A</v>
      </c>
      <c r="S462" t="e">
        <f t="shared" si="73"/>
        <v>#N/A</v>
      </c>
      <c r="T462">
        <f t="shared" si="74"/>
        <v>1074000</v>
      </c>
      <c r="U462">
        <f t="shared" si="75"/>
        <v>278</v>
      </c>
      <c r="V462" t="e">
        <f t="shared" si="76"/>
        <v>#N/A</v>
      </c>
      <c r="W462" t="e">
        <f t="shared" si="77"/>
        <v>#N/A</v>
      </c>
      <c r="X462" t="e">
        <f t="shared" si="78"/>
        <v>#N/A</v>
      </c>
      <c r="Y462" t="e">
        <f t="shared" si="79"/>
        <v>#N/A</v>
      </c>
    </row>
    <row r="463" spans="1:25" x14ac:dyDescent="0.2">
      <c r="A463">
        <v>1461</v>
      </c>
      <c r="B463" t="s">
        <v>25</v>
      </c>
      <c r="C463" t="s">
        <v>29</v>
      </c>
      <c r="D463">
        <v>2022</v>
      </c>
      <c r="E463" t="s">
        <v>16</v>
      </c>
      <c r="F463">
        <v>475</v>
      </c>
      <c r="G463">
        <v>5</v>
      </c>
      <c r="H463">
        <v>5</v>
      </c>
      <c r="I463">
        <v>1860000</v>
      </c>
      <c r="J463">
        <v>3915.8</v>
      </c>
      <c r="K463">
        <v>7</v>
      </c>
      <c r="L463" t="s">
        <v>17</v>
      </c>
      <c r="M463">
        <v>91</v>
      </c>
      <c r="N463" t="s">
        <v>27</v>
      </c>
      <c r="P463">
        <f t="shared" si="70"/>
        <v>1860000</v>
      </c>
      <c r="Q463">
        <f t="shared" si="71"/>
        <v>475</v>
      </c>
      <c r="R463" t="e">
        <f t="shared" si="72"/>
        <v>#N/A</v>
      </c>
      <c r="S463" t="e">
        <f t="shared" si="73"/>
        <v>#N/A</v>
      </c>
      <c r="T463" t="e">
        <f t="shared" si="74"/>
        <v>#N/A</v>
      </c>
      <c r="U463" t="e">
        <f t="shared" si="75"/>
        <v>#N/A</v>
      </c>
      <c r="V463" t="e">
        <f t="shared" si="76"/>
        <v>#N/A</v>
      </c>
      <c r="W463" t="e">
        <f t="shared" si="77"/>
        <v>#N/A</v>
      </c>
      <c r="X463" t="e">
        <f t="shared" si="78"/>
        <v>#N/A</v>
      </c>
      <c r="Y463" t="e">
        <f t="shared" si="79"/>
        <v>#N/A</v>
      </c>
    </row>
    <row r="464" spans="1:25" x14ac:dyDescent="0.2">
      <c r="A464">
        <v>1462</v>
      </c>
      <c r="B464" t="s">
        <v>25</v>
      </c>
      <c r="C464" t="s">
        <v>29</v>
      </c>
      <c r="D464">
        <v>2023</v>
      </c>
      <c r="E464" t="s">
        <v>16</v>
      </c>
      <c r="F464">
        <v>495</v>
      </c>
      <c r="G464">
        <v>6</v>
      </c>
      <c r="H464">
        <v>6</v>
      </c>
      <c r="I464">
        <v>1842000</v>
      </c>
      <c r="J464">
        <v>3721.2</v>
      </c>
      <c r="K464">
        <v>1</v>
      </c>
      <c r="L464" t="s">
        <v>20</v>
      </c>
      <c r="M464">
        <v>74</v>
      </c>
      <c r="N464" t="s">
        <v>27</v>
      </c>
      <c r="P464">
        <f t="shared" si="70"/>
        <v>1842000</v>
      </c>
      <c r="Q464">
        <f t="shared" si="71"/>
        <v>495</v>
      </c>
      <c r="R464" t="e">
        <f t="shared" si="72"/>
        <v>#N/A</v>
      </c>
      <c r="S464" t="e">
        <f t="shared" si="73"/>
        <v>#N/A</v>
      </c>
      <c r="T464" t="e">
        <f t="shared" si="74"/>
        <v>#N/A</v>
      </c>
      <c r="U464" t="e">
        <f t="shared" si="75"/>
        <v>#N/A</v>
      </c>
      <c r="V464" t="e">
        <f t="shared" si="76"/>
        <v>#N/A</v>
      </c>
      <c r="W464" t="e">
        <f t="shared" si="77"/>
        <v>#N/A</v>
      </c>
      <c r="X464" t="e">
        <f t="shared" si="78"/>
        <v>#N/A</v>
      </c>
      <c r="Y464" t="e">
        <f t="shared" si="79"/>
        <v>#N/A</v>
      </c>
    </row>
    <row r="465" spans="1:25" x14ac:dyDescent="0.2">
      <c r="A465">
        <v>1463</v>
      </c>
      <c r="B465" t="s">
        <v>41</v>
      </c>
      <c r="C465" t="s">
        <v>36</v>
      </c>
      <c r="D465">
        <v>2024</v>
      </c>
      <c r="E465" t="s">
        <v>16</v>
      </c>
      <c r="F465">
        <v>319</v>
      </c>
      <c r="G465">
        <v>3</v>
      </c>
      <c r="H465">
        <v>3</v>
      </c>
      <c r="I465">
        <v>1298000</v>
      </c>
      <c r="J465">
        <v>4069</v>
      </c>
      <c r="K465">
        <v>20</v>
      </c>
      <c r="L465" t="s">
        <v>34</v>
      </c>
      <c r="M465">
        <v>157</v>
      </c>
      <c r="N465" t="s">
        <v>21</v>
      </c>
      <c r="P465" t="e">
        <f t="shared" si="70"/>
        <v>#N/A</v>
      </c>
      <c r="Q465" t="e">
        <f t="shared" si="71"/>
        <v>#N/A</v>
      </c>
      <c r="R465" t="e">
        <f t="shared" si="72"/>
        <v>#N/A</v>
      </c>
      <c r="S465" t="e">
        <f t="shared" si="73"/>
        <v>#N/A</v>
      </c>
      <c r="T465" t="e">
        <f t="shared" si="74"/>
        <v>#N/A</v>
      </c>
      <c r="U465" t="e">
        <f t="shared" si="75"/>
        <v>#N/A</v>
      </c>
      <c r="V465" t="e">
        <f t="shared" si="76"/>
        <v>#N/A</v>
      </c>
      <c r="W465" t="e">
        <f t="shared" si="77"/>
        <v>#N/A</v>
      </c>
      <c r="X465">
        <f t="shared" si="78"/>
        <v>1298000</v>
      </c>
      <c r="Y465">
        <f t="shared" si="79"/>
        <v>319</v>
      </c>
    </row>
    <row r="466" spans="1:25" x14ac:dyDescent="0.2">
      <c r="A466">
        <v>1464</v>
      </c>
      <c r="B466" t="s">
        <v>43</v>
      </c>
      <c r="C466" t="s">
        <v>23</v>
      </c>
      <c r="D466">
        <v>2024</v>
      </c>
      <c r="E466" t="s">
        <v>16</v>
      </c>
      <c r="F466">
        <v>258</v>
      </c>
      <c r="G466">
        <v>5</v>
      </c>
      <c r="H466">
        <v>5</v>
      </c>
      <c r="I466">
        <v>1316000</v>
      </c>
      <c r="J466">
        <v>5100.8</v>
      </c>
      <c r="K466">
        <v>10</v>
      </c>
      <c r="L466" t="s">
        <v>17</v>
      </c>
      <c r="M466">
        <v>57</v>
      </c>
      <c r="N466" t="s">
        <v>27</v>
      </c>
      <c r="P466" t="e">
        <f t="shared" si="70"/>
        <v>#N/A</v>
      </c>
      <c r="Q466" t="e">
        <f t="shared" si="71"/>
        <v>#N/A</v>
      </c>
      <c r="R466" t="e">
        <f t="shared" si="72"/>
        <v>#N/A</v>
      </c>
      <c r="S466" t="e">
        <f t="shared" si="73"/>
        <v>#N/A</v>
      </c>
      <c r="T466">
        <f t="shared" si="74"/>
        <v>1316000</v>
      </c>
      <c r="U466">
        <f t="shared" si="75"/>
        <v>258</v>
      </c>
      <c r="V466" t="e">
        <f t="shared" si="76"/>
        <v>#N/A</v>
      </c>
      <c r="W466" t="e">
        <f t="shared" si="77"/>
        <v>#N/A</v>
      </c>
      <c r="X466" t="e">
        <f t="shared" si="78"/>
        <v>#N/A</v>
      </c>
      <c r="Y466" t="e">
        <f t="shared" si="79"/>
        <v>#N/A</v>
      </c>
    </row>
    <row r="467" spans="1:25" x14ac:dyDescent="0.2">
      <c r="A467">
        <v>1465</v>
      </c>
      <c r="B467" t="s">
        <v>25</v>
      </c>
      <c r="C467" t="s">
        <v>36</v>
      </c>
      <c r="D467">
        <v>2021</v>
      </c>
      <c r="E467" t="s">
        <v>30</v>
      </c>
      <c r="F467">
        <v>331</v>
      </c>
      <c r="G467">
        <v>3</v>
      </c>
      <c r="H467">
        <v>3</v>
      </c>
      <c r="I467">
        <v>593000</v>
      </c>
      <c r="J467">
        <v>1791.5</v>
      </c>
      <c r="K467">
        <v>4</v>
      </c>
      <c r="L467" t="s">
        <v>17</v>
      </c>
      <c r="M467">
        <v>133</v>
      </c>
      <c r="N467" t="s">
        <v>27</v>
      </c>
      <c r="P467" t="e">
        <f t="shared" si="70"/>
        <v>#N/A</v>
      </c>
      <c r="Q467" t="e">
        <f t="shared" si="71"/>
        <v>#N/A</v>
      </c>
      <c r="R467" t="e">
        <f t="shared" si="72"/>
        <v>#N/A</v>
      </c>
      <c r="S467" t="e">
        <f t="shared" si="73"/>
        <v>#N/A</v>
      </c>
      <c r="T467" t="e">
        <f t="shared" si="74"/>
        <v>#N/A</v>
      </c>
      <c r="U467" t="e">
        <f t="shared" si="75"/>
        <v>#N/A</v>
      </c>
      <c r="V467" t="e">
        <f t="shared" si="76"/>
        <v>#N/A</v>
      </c>
      <c r="W467" t="e">
        <f t="shared" si="77"/>
        <v>#N/A</v>
      </c>
      <c r="X467">
        <f t="shared" si="78"/>
        <v>593000</v>
      </c>
      <c r="Y467">
        <f t="shared" si="79"/>
        <v>331</v>
      </c>
    </row>
    <row r="468" spans="1:25" x14ac:dyDescent="0.2">
      <c r="A468">
        <v>1466</v>
      </c>
      <c r="B468" t="s">
        <v>31</v>
      </c>
      <c r="C468" t="s">
        <v>15</v>
      </c>
      <c r="D468">
        <v>2021</v>
      </c>
      <c r="E468" t="s">
        <v>16</v>
      </c>
      <c r="F468">
        <v>183</v>
      </c>
      <c r="G468">
        <v>3</v>
      </c>
      <c r="H468">
        <v>3</v>
      </c>
      <c r="I468">
        <v>419000</v>
      </c>
      <c r="J468">
        <v>2289.6</v>
      </c>
      <c r="K468">
        <v>10</v>
      </c>
      <c r="L468" t="s">
        <v>20</v>
      </c>
      <c r="M468">
        <v>30</v>
      </c>
      <c r="N468" t="s">
        <v>21</v>
      </c>
      <c r="P468" t="e">
        <f t="shared" si="70"/>
        <v>#N/A</v>
      </c>
      <c r="Q468" t="e">
        <f t="shared" si="71"/>
        <v>#N/A</v>
      </c>
      <c r="R468">
        <f t="shared" si="72"/>
        <v>419000</v>
      </c>
      <c r="S468">
        <f t="shared" si="73"/>
        <v>183</v>
      </c>
      <c r="T468" t="e">
        <f t="shared" si="74"/>
        <v>#N/A</v>
      </c>
      <c r="U468" t="e">
        <f t="shared" si="75"/>
        <v>#N/A</v>
      </c>
      <c r="V468" t="e">
        <f t="shared" si="76"/>
        <v>#N/A</v>
      </c>
      <c r="W468" t="e">
        <f t="shared" si="77"/>
        <v>#N/A</v>
      </c>
      <c r="X468" t="e">
        <f t="shared" si="78"/>
        <v>#N/A</v>
      </c>
      <c r="Y468" t="e">
        <f t="shared" si="79"/>
        <v>#N/A</v>
      </c>
    </row>
    <row r="469" spans="1:25" x14ac:dyDescent="0.2">
      <c r="A469">
        <v>1467</v>
      </c>
      <c r="B469" t="s">
        <v>44</v>
      </c>
      <c r="C469" t="s">
        <v>29</v>
      </c>
      <c r="D469">
        <v>2021</v>
      </c>
      <c r="E469" t="s">
        <v>16</v>
      </c>
      <c r="F469">
        <v>348</v>
      </c>
      <c r="G469">
        <v>4</v>
      </c>
      <c r="H469">
        <v>4</v>
      </c>
      <c r="I469">
        <v>1413000</v>
      </c>
      <c r="J469">
        <v>4060.3</v>
      </c>
      <c r="K469">
        <v>4</v>
      </c>
      <c r="L469" t="s">
        <v>20</v>
      </c>
      <c r="M469">
        <v>106</v>
      </c>
      <c r="N469" t="s">
        <v>18</v>
      </c>
      <c r="P469">
        <f t="shared" si="70"/>
        <v>1413000</v>
      </c>
      <c r="Q469">
        <f t="shared" si="71"/>
        <v>348</v>
      </c>
      <c r="R469" t="e">
        <f t="shared" si="72"/>
        <v>#N/A</v>
      </c>
      <c r="S469" t="e">
        <f t="shared" si="73"/>
        <v>#N/A</v>
      </c>
      <c r="T469" t="e">
        <f t="shared" si="74"/>
        <v>#N/A</v>
      </c>
      <c r="U469" t="e">
        <f t="shared" si="75"/>
        <v>#N/A</v>
      </c>
      <c r="V469" t="e">
        <f t="shared" si="76"/>
        <v>#N/A</v>
      </c>
      <c r="W469" t="e">
        <f t="shared" si="77"/>
        <v>#N/A</v>
      </c>
      <c r="X469" t="e">
        <f t="shared" si="78"/>
        <v>#N/A</v>
      </c>
      <c r="Y469" t="e">
        <f t="shared" si="79"/>
        <v>#N/A</v>
      </c>
    </row>
    <row r="470" spans="1:25" x14ac:dyDescent="0.2">
      <c r="A470">
        <v>1468</v>
      </c>
      <c r="B470" t="s">
        <v>31</v>
      </c>
      <c r="C470" t="s">
        <v>15</v>
      </c>
      <c r="D470">
        <v>2024</v>
      </c>
      <c r="E470" t="s">
        <v>24</v>
      </c>
      <c r="F470">
        <v>188</v>
      </c>
      <c r="G470">
        <v>4</v>
      </c>
      <c r="H470">
        <v>4</v>
      </c>
      <c r="I470">
        <v>557000</v>
      </c>
      <c r="J470">
        <v>2962.8</v>
      </c>
      <c r="K470">
        <v>5</v>
      </c>
      <c r="L470" t="s">
        <v>17</v>
      </c>
      <c r="M470">
        <v>37</v>
      </c>
      <c r="N470" t="s">
        <v>21</v>
      </c>
      <c r="P470" t="e">
        <f t="shared" si="70"/>
        <v>#N/A</v>
      </c>
      <c r="Q470" t="e">
        <f t="shared" si="71"/>
        <v>#N/A</v>
      </c>
      <c r="R470">
        <f t="shared" si="72"/>
        <v>557000</v>
      </c>
      <c r="S470">
        <f t="shared" si="73"/>
        <v>188</v>
      </c>
      <c r="T470" t="e">
        <f t="shared" si="74"/>
        <v>#N/A</v>
      </c>
      <c r="U470" t="e">
        <f t="shared" si="75"/>
        <v>#N/A</v>
      </c>
      <c r="V470" t="e">
        <f t="shared" si="76"/>
        <v>#N/A</v>
      </c>
      <c r="W470" t="e">
        <f t="shared" si="77"/>
        <v>#N/A</v>
      </c>
      <c r="X470" t="e">
        <f t="shared" si="78"/>
        <v>#N/A</v>
      </c>
      <c r="Y470" t="e">
        <f t="shared" si="79"/>
        <v>#N/A</v>
      </c>
    </row>
    <row r="471" spans="1:25" x14ac:dyDescent="0.2">
      <c r="A471">
        <v>1469</v>
      </c>
      <c r="B471" t="s">
        <v>48</v>
      </c>
      <c r="C471" t="s">
        <v>15</v>
      </c>
      <c r="D471">
        <v>2023</v>
      </c>
      <c r="E471" t="s">
        <v>16</v>
      </c>
      <c r="F471">
        <v>151</v>
      </c>
      <c r="G471">
        <v>2</v>
      </c>
      <c r="H471">
        <v>2</v>
      </c>
      <c r="I471">
        <v>480000</v>
      </c>
      <c r="J471">
        <v>3178.8</v>
      </c>
      <c r="K471">
        <v>3</v>
      </c>
      <c r="L471" t="s">
        <v>17</v>
      </c>
      <c r="M471">
        <v>95</v>
      </c>
      <c r="N471" t="s">
        <v>27</v>
      </c>
      <c r="P471" t="e">
        <f t="shared" si="70"/>
        <v>#N/A</v>
      </c>
      <c r="Q471" t="e">
        <f t="shared" si="71"/>
        <v>#N/A</v>
      </c>
      <c r="R471">
        <f t="shared" si="72"/>
        <v>480000</v>
      </c>
      <c r="S471">
        <f t="shared" si="73"/>
        <v>151</v>
      </c>
      <c r="T471" t="e">
        <f t="shared" si="74"/>
        <v>#N/A</v>
      </c>
      <c r="U471" t="e">
        <f t="shared" si="75"/>
        <v>#N/A</v>
      </c>
      <c r="V471" t="e">
        <f t="shared" si="76"/>
        <v>#N/A</v>
      </c>
      <c r="W471" t="e">
        <f t="shared" si="77"/>
        <v>#N/A</v>
      </c>
      <c r="X471" t="e">
        <f t="shared" si="78"/>
        <v>#N/A</v>
      </c>
      <c r="Y471" t="e">
        <f t="shared" si="79"/>
        <v>#N/A</v>
      </c>
    </row>
    <row r="472" spans="1:25" x14ac:dyDescent="0.2">
      <c r="A472">
        <v>1470</v>
      </c>
      <c r="B472" t="s">
        <v>47</v>
      </c>
      <c r="C472" t="s">
        <v>23</v>
      </c>
      <c r="D472">
        <v>2022</v>
      </c>
      <c r="E472" t="s">
        <v>26</v>
      </c>
      <c r="F472">
        <v>293</v>
      </c>
      <c r="G472">
        <v>3</v>
      </c>
      <c r="H472">
        <v>3</v>
      </c>
      <c r="I472">
        <v>956000</v>
      </c>
      <c r="J472">
        <v>3262.8</v>
      </c>
      <c r="K472">
        <v>5</v>
      </c>
      <c r="L472" t="s">
        <v>17</v>
      </c>
      <c r="M472">
        <v>28</v>
      </c>
      <c r="N472" t="s">
        <v>21</v>
      </c>
      <c r="P472" t="e">
        <f t="shared" si="70"/>
        <v>#N/A</v>
      </c>
      <c r="Q472" t="e">
        <f t="shared" si="71"/>
        <v>#N/A</v>
      </c>
      <c r="R472" t="e">
        <f t="shared" si="72"/>
        <v>#N/A</v>
      </c>
      <c r="S472" t="e">
        <f t="shared" si="73"/>
        <v>#N/A</v>
      </c>
      <c r="T472">
        <f t="shared" si="74"/>
        <v>956000</v>
      </c>
      <c r="U472">
        <f t="shared" si="75"/>
        <v>293</v>
      </c>
      <c r="V472" t="e">
        <f t="shared" si="76"/>
        <v>#N/A</v>
      </c>
      <c r="W472" t="e">
        <f t="shared" si="77"/>
        <v>#N/A</v>
      </c>
      <c r="X472" t="e">
        <f t="shared" si="78"/>
        <v>#N/A</v>
      </c>
      <c r="Y472" t="e">
        <f t="shared" si="79"/>
        <v>#N/A</v>
      </c>
    </row>
    <row r="473" spans="1:25" x14ac:dyDescent="0.2">
      <c r="A473">
        <v>1471</v>
      </c>
      <c r="B473" t="s">
        <v>45</v>
      </c>
      <c r="C473" t="s">
        <v>15</v>
      </c>
      <c r="D473">
        <v>2021</v>
      </c>
      <c r="E473" t="s">
        <v>26</v>
      </c>
      <c r="F473">
        <v>172</v>
      </c>
      <c r="G473">
        <v>3</v>
      </c>
      <c r="H473">
        <v>3</v>
      </c>
      <c r="I473">
        <v>562000</v>
      </c>
      <c r="J473">
        <v>3267.4</v>
      </c>
      <c r="K473">
        <v>7</v>
      </c>
      <c r="L473" t="s">
        <v>20</v>
      </c>
      <c r="M473">
        <v>24</v>
      </c>
      <c r="N473" t="s">
        <v>21</v>
      </c>
      <c r="P473" t="e">
        <f t="shared" si="70"/>
        <v>#N/A</v>
      </c>
      <c r="Q473" t="e">
        <f t="shared" si="71"/>
        <v>#N/A</v>
      </c>
      <c r="R473">
        <f t="shared" si="72"/>
        <v>562000</v>
      </c>
      <c r="S473">
        <f t="shared" si="73"/>
        <v>172</v>
      </c>
      <c r="T473" t="e">
        <f t="shared" si="74"/>
        <v>#N/A</v>
      </c>
      <c r="U473" t="e">
        <f t="shared" si="75"/>
        <v>#N/A</v>
      </c>
      <c r="V473" t="e">
        <f t="shared" si="76"/>
        <v>#N/A</v>
      </c>
      <c r="W473" t="e">
        <f t="shared" si="77"/>
        <v>#N/A</v>
      </c>
      <c r="X473" t="e">
        <f t="shared" si="78"/>
        <v>#N/A</v>
      </c>
      <c r="Y473" t="e">
        <f t="shared" si="79"/>
        <v>#N/A</v>
      </c>
    </row>
    <row r="474" spans="1:25" x14ac:dyDescent="0.2">
      <c r="A474">
        <v>1472</v>
      </c>
      <c r="B474" t="s">
        <v>40</v>
      </c>
      <c r="C474" t="s">
        <v>15</v>
      </c>
      <c r="D474">
        <v>2023</v>
      </c>
      <c r="E474" t="s">
        <v>30</v>
      </c>
      <c r="F474">
        <v>147</v>
      </c>
      <c r="G474">
        <v>4</v>
      </c>
      <c r="H474">
        <v>4</v>
      </c>
      <c r="I474">
        <v>560000</v>
      </c>
      <c r="J474">
        <v>3809.5</v>
      </c>
      <c r="K474">
        <v>10</v>
      </c>
      <c r="L474" t="s">
        <v>17</v>
      </c>
      <c r="M474">
        <v>89</v>
      </c>
      <c r="N474" t="s">
        <v>18</v>
      </c>
      <c r="P474" t="e">
        <f t="shared" si="70"/>
        <v>#N/A</v>
      </c>
      <c r="Q474" t="e">
        <f t="shared" si="71"/>
        <v>#N/A</v>
      </c>
      <c r="R474">
        <f t="shared" si="72"/>
        <v>560000</v>
      </c>
      <c r="S474">
        <f t="shared" si="73"/>
        <v>147</v>
      </c>
      <c r="T474" t="e">
        <f t="shared" si="74"/>
        <v>#N/A</v>
      </c>
      <c r="U474" t="e">
        <f t="shared" si="75"/>
        <v>#N/A</v>
      </c>
      <c r="V474" t="e">
        <f t="shared" si="76"/>
        <v>#N/A</v>
      </c>
      <c r="W474" t="e">
        <f t="shared" si="77"/>
        <v>#N/A</v>
      </c>
      <c r="X474" t="e">
        <f t="shared" si="78"/>
        <v>#N/A</v>
      </c>
      <c r="Y474" t="e">
        <f t="shared" si="79"/>
        <v>#N/A</v>
      </c>
    </row>
    <row r="475" spans="1:25" x14ac:dyDescent="0.2">
      <c r="A475">
        <v>1473</v>
      </c>
      <c r="B475" t="s">
        <v>40</v>
      </c>
      <c r="C475" t="s">
        <v>29</v>
      </c>
      <c r="D475">
        <v>2024</v>
      </c>
      <c r="E475" t="s">
        <v>26</v>
      </c>
      <c r="F475">
        <v>505</v>
      </c>
      <c r="G475">
        <v>4</v>
      </c>
      <c r="H475">
        <v>4</v>
      </c>
      <c r="I475">
        <v>3035000</v>
      </c>
      <c r="J475">
        <v>6009.9</v>
      </c>
      <c r="K475">
        <v>5</v>
      </c>
      <c r="L475" t="s">
        <v>20</v>
      </c>
      <c r="M475">
        <v>99</v>
      </c>
      <c r="N475" t="s">
        <v>18</v>
      </c>
      <c r="P475">
        <f t="shared" si="70"/>
        <v>3035000</v>
      </c>
      <c r="Q475">
        <f t="shared" si="71"/>
        <v>505</v>
      </c>
      <c r="R475" t="e">
        <f t="shared" si="72"/>
        <v>#N/A</v>
      </c>
      <c r="S475" t="e">
        <f t="shared" si="73"/>
        <v>#N/A</v>
      </c>
      <c r="T475" t="e">
        <f t="shared" si="74"/>
        <v>#N/A</v>
      </c>
      <c r="U475" t="e">
        <f t="shared" si="75"/>
        <v>#N/A</v>
      </c>
      <c r="V475" t="e">
        <f t="shared" si="76"/>
        <v>#N/A</v>
      </c>
      <c r="W475" t="e">
        <f t="shared" si="77"/>
        <v>#N/A</v>
      </c>
      <c r="X475" t="e">
        <f t="shared" si="78"/>
        <v>#N/A</v>
      </c>
      <c r="Y475" t="e">
        <f t="shared" si="79"/>
        <v>#N/A</v>
      </c>
    </row>
    <row r="476" spans="1:25" x14ac:dyDescent="0.2">
      <c r="A476">
        <v>1474</v>
      </c>
      <c r="B476" t="s">
        <v>25</v>
      </c>
      <c r="C476" t="s">
        <v>29</v>
      </c>
      <c r="D476">
        <v>2022</v>
      </c>
      <c r="E476" t="s">
        <v>30</v>
      </c>
      <c r="F476">
        <v>379</v>
      </c>
      <c r="G476">
        <v>4</v>
      </c>
      <c r="H476">
        <v>4</v>
      </c>
      <c r="I476">
        <v>1402000</v>
      </c>
      <c r="J476">
        <v>3699.2</v>
      </c>
      <c r="K476">
        <v>2</v>
      </c>
      <c r="L476" t="s">
        <v>20</v>
      </c>
      <c r="M476">
        <v>6</v>
      </c>
      <c r="N476" t="s">
        <v>27</v>
      </c>
      <c r="P476">
        <f t="shared" si="70"/>
        <v>1402000</v>
      </c>
      <c r="Q476">
        <f t="shared" si="71"/>
        <v>379</v>
      </c>
      <c r="R476" t="e">
        <f t="shared" si="72"/>
        <v>#N/A</v>
      </c>
      <c r="S476" t="e">
        <f t="shared" si="73"/>
        <v>#N/A</v>
      </c>
      <c r="T476" t="e">
        <f t="shared" si="74"/>
        <v>#N/A</v>
      </c>
      <c r="U476" t="e">
        <f t="shared" si="75"/>
        <v>#N/A</v>
      </c>
      <c r="V476" t="e">
        <f t="shared" si="76"/>
        <v>#N/A</v>
      </c>
      <c r="W476" t="e">
        <f t="shared" si="77"/>
        <v>#N/A</v>
      </c>
      <c r="X476" t="e">
        <f t="shared" si="78"/>
        <v>#N/A</v>
      </c>
      <c r="Y476" t="e">
        <f t="shared" si="79"/>
        <v>#N/A</v>
      </c>
    </row>
    <row r="477" spans="1:25" x14ac:dyDescent="0.2">
      <c r="A477">
        <v>1475</v>
      </c>
      <c r="B477" t="s">
        <v>33</v>
      </c>
      <c r="C477" t="s">
        <v>38</v>
      </c>
      <c r="D477">
        <v>2023</v>
      </c>
      <c r="E477" t="s">
        <v>24</v>
      </c>
      <c r="F477">
        <v>69</v>
      </c>
      <c r="G477">
        <v>0</v>
      </c>
      <c r="H477">
        <v>1</v>
      </c>
      <c r="I477">
        <v>252000</v>
      </c>
      <c r="J477">
        <v>3652.2</v>
      </c>
      <c r="K477">
        <v>20</v>
      </c>
      <c r="L477" t="s">
        <v>20</v>
      </c>
      <c r="M477">
        <v>52</v>
      </c>
      <c r="N477" t="s">
        <v>27</v>
      </c>
      <c r="P477" t="e">
        <f t="shared" si="70"/>
        <v>#N/A</v>
      </c>
      <c r="Q477" t="e">
        <f t="shared" si="71"/>
        <v>#N/A</v>
      </c>
      <c r="R477" t="e">
        <f t="shared" si="72"/>
        <v>#N/A</v>
      </c>
      <c r="S477" t="e">
        <f t="shared" si="73"/>
        <v>#N/A</v>
      </c>
      <c r="T477" t="e">
        <f t="shared" si="74"/>
        <v>#N/A</v>
      </c>
      <c r="U477" t="e">
        <f t="shared" si="75"/>
        <v>#N/A</v>
      </c>
      <c r="V477">
        <f t="shared" si="76"/>
        <v>252000</v>
      </c>
      <c r="W477">
        <f t="shared" si="77"/>
        <v>69</v>
      </c>
      <c r="X477" t="e">
        <f t="shared" si="78"/>
        <v>#N/A</v>
      </c>
      <c r="Y477" t="e">
        <f t="shared" si="79"/>
        <v>#N/A</v>
      </c>
    </row>
    <row r="478" spans="1:25" x14ac:dyDescent="0.2">
      <c r="A478">
        <v>1476</v>
      </c>
      <c r="B478" t="s">
        <v>25</v>
      </c>
      <c r="C478" t="s">
        <v>29</v>
      </c>
      <c r="D478">
        <v>2022</v>
      </c>
      <c r="E478" t="s">
        <v>26</v>
      </c>
      <c r="F478">
        <v>384</v>
      </c>
      <c r="G478">
        <v>4</v>
      </c>
      <c r="H478">
        <v>4</v>
      </c>
      <c r="I478">
        <v>1407000</v>
      </c>
      <c r="J478">
        <v>3664.1</v>
      </c>
      <c r="K478">
        <v>2</v>
      </c>
      <c r="L478" t="s">
        <v>34</v>
      </c>
      <c r="M478">
        <v>148</v>
      </c>
      <c r="N478" t="s">
        <v>27</v>
      </c>
      <c r="P478">
        <f t="shared" si="70"/>
        <v>1407000</v>
      </c>
      <c r="Q478">
        <f t="shared" si="71"/>
        <v>384</v>
      </c>
      <c r="R478" t="e">
        <f t="shared" si="72"/>
        <v>#N/A</v>
      </c>
      <c r="S478" t="e">
        <f t="shared" si="73"/>
        <v>#N/A</v>
      </c>
      <c r="T478" t="e">
        <f t="shared" si="74"/>
        <v>#N/A</v>
      </c>
      <c r="U478" t="e">
        <f t="shared" si="75"/>
        <v>#N/A</v>
      </c>
      <c r="V478" t="e">
        <f t="shared" si="76"/>
        <v>#N/A</v>
      </c>
      <c r="W478" t="e">
        <f t="shared" si="77"/>
        <v>#N/A</v>
      </c>
      <c r="X478" t="e">
        <f t="shared" si="78"/>
        <v>#N/A</v>
      </c>
      <c r="Y478" t="e">
        <f t="shared" si="79"/>
        <v>#N/A</v>
      </c>
    </row>
    <row r="479" spans="1:25" x14ac:dyDescent="0.2">
      <c r="A479">
        <v>1477</v>
      </c>
      <c r="B479" t="s">
        <v>42</v>
      </c>
      <c r="C479" t="s">
        <v>38</v>
      </c>
      <c r="D479">
        <v>2021</v>
      </c>
      <c r="E479" t="s">
        <v>24</v>
      </c>
      <c r="F479">
        <v>70</v>
      </c>
      <c r="G479">
        <v>0</v>
      </c>
      <c r="H479">
        <v>1</v>
      </c>
      <c r="I479">
        <v>383000</v>
      </c>
      <c r="J479">
        <v>5471.4</v>
      </c>
      <c r="K479">
        <v>15</v>
      </c>
      <c r="L479" t="s">
        <v>17</v>
      </c>
      <c r="M479">
        <v>75</v>
      </c>
      <c r="N479" t="s">
        <v>21</v>
      </c>
      <c r="P479" t="e">
        <f t="shared" si="70"/>
        <v>#N/A</v>
      </c>
      <c r="Q479" t="e">
        <f t="shared" si="71"/>
        <v>#N/A</v>
      </c>
      <c r="R479" t="e">
        <f t="shared" si="72"/>
        <v>#N/A</v>
      </c>
      <c r="S479" t="e">
        <f t="shared" si="73"/>
        <v>#N/A</v>
      </c>
      <c r="T479" t="e">
        <f t="shared" si="74"/>
        <v>#N/A</v>
      </c>
      <c r="U479" t="e">
        <f t="shared" si="75"/>
        <v>#N/A</v>
      </c>
      <c r="V479">
        <f t="shared" si="76"/>
        <v>383000</v>
      </c>
      <c r="W479">
        <f t="shared" si="77"/>
        <v>70</v>
      </c>
      <c r="X479" t="e">
        <f t="shared" si="78"/>
        <v>#N/A</v>
      </c>
      <c r="Y479" t="e">
        <f t="shared" si="79"/>
        <v>#N/A</v>
      </c>
    </row>
    <row r="480" spans="1:25" x14ac:dyDescent="0.2">
      <c r="A480">
        <v>1478</v>
      </c>
      <c r="B480" t="s">
        <v>40</v>
      </c>
      <c r="C480" t="s">
        <v>23</v>
      </c>
      <c r="D480">
        <v>2021</v>
      </c>
      <c r="E480" t="s">
        <v>30</v>
      </c>
      <c r="F480">
        <v>259</v>
      </c>
      <c r="G480">
        <v>5</v>
      </c>
      <c r="H480">
        <v>5</v>
      </c>
      <c r="I480">
        <v>901000</v>
      </c>
      <c r="J480">
        <v>3478.8</v>
      </c>
      <c r="K480">
        <v>5</v>
      </c>
      <c r="L480" t="s">
        <v>17</v>
      </c>
      <c r="M480">
        <v>95</v>
      </c>
      <c r="N480" t="s">
        <v>18</v>
      </c>
      <c r="P480" t="e">
        <f t="shared" si="70"/>
        <v>#N/A</v>
      </c>
      <c r="Q480" t="e">
        <f t="shared" si="71"/>
        <v>#N/A</v>
      </c>
      <c r="R480" t="e">
        <f t="shared" si="72"/>
        <v>#N/A</v>
      </c>
      <c r="S480" t="e">
        <f t="shared" si="73"/>
        <v>#N/A</v>
      </c>
      <c r="T480">
        <f t="shared" si="74"/>
        <v>901000</v>
      </c>
      <c r="U480">
        <f t="shared" si="75"/>
        <v>259</v>
      </c>
      <c r="V480" t="e">
        <f t="shared" si="76"/>
        <v>#N/A</v>
      </c>
      <c r="W480" t="e">
        <f t="shared" si="77"/>
        <v>#N/A</v>
      </c>
      <c r="X480" t="e">
        <f t="shared" si="78"/>
        <v>#N/A</v>
      </c>
      <c r="Y480" t="e">
        <f t="shared" si="79"/>
        <v>#N/A</v>
      </c>
    </row>
    <row r="481" spans="1:25" x14ac:dyDescent="0.2">
      <c r="A481">
        <v>1479</v>
      </c>
      <c r="B481" t="s">
        <v>25</v>
      </c>
      <c r="C481" t="s">
        <v>15</v>
      </c>
      <c r="D481">
        <v>2022</v>
      </c>
      <c r="E481" t="s">
        <v>26</v>
      </c>
      <c r="F481">
        <v>137</v>
      </c>
      <c r="G481">
        <v>4</v>
      </c>
      <c r="H481">
        <v>4</v>
      </c>
      <c r="I481">
        <v>323000</v>
      </c>
      <c r="J481">
        <v>2357.6999999999998</v>
      </c>
      <c r="K481">
        <v>1</v>
      </c>
      <c r="L481" t="s">
        <v>20</v>
      </c>
      <c r="M481">
        <v>35</v>
      </c>
      <c r="N481" t="s">
        <v>27</v>
      </c>
      <c r="P481" t="e">
        <f t="shared" si="70"/>
        <v>#N/A</v>
      </c>
      <c r="Q481" t="e">
        <f t="shared" si="71"/>
        <v>#N/A</v>
      </c>
      <c r="R481">
        <f t="shared" si="72"/>
        <v>323000</v>
      </c>
      <c r="S481">
        <f t="shared" si="73"/>
        <v>137</v>
      </c>
      <c r="T481" t="e">
        <f t="shared" si="74"/>
        <v>#N/A</v>
      </c>
      <c r="U481" t="e">
        <f t="shared" si="75"/>
        <v>#N/A</v>
      </c>
      <c r="V481" t="e">
        <f t="shared" si="76"/>
        <v>#N/A</v>
      </c>
      <c r="W481" t="e">
        <f t="shared" si="77"/>
        <v>#N/A</v>
      </c>
      <c r="X481" t="e">
        <f t="shared" si="78"/>
        <v>#N/A</v>
      </c>
      <c r="Y481" t="e">
        <f t="shared" si="79"/>
        <v>#N/A</v>
      </c>
    </row>
    <row r="482" spans="1:25" x14ac:dyDescent="0.2">
      <c r="A482">
        <v>1480</v>
      </c>
      <c r="B482" t="s">
        <v>14</v>
      </c>
      <c r="C482" t="s">
        <v>15</v>
      </c>
      <c r="D482">
        <v>2021</v>
      </c>
      <c r="E482" t="s">
        <v>16</v>
      </c>
      <c r="F482">
        <v>115</v>
      </c>
      <c r="G482">
        <v>4</v>
      </c>
      <c r="H482">
        <v>4</v>
      </c>
      <c r="I482">
        <v>355000</v>
      </c>
      <c r="J482">
        <v>3087</v>
      </c>
      <c r="K482">
        <v>2</v>
      </c>
      <c r="L482" t="s">
        <v>34</v>
      </c>
      <c r="M482">
        <v>39</v>
      </c>
      <c r="N482" t="s">
        <v>18</v>
      </c>
      <c r="P482" t="e">
        <f t="shared" si="70"/>
        <v>#N/A</v>
      </c>
      <c r="Q482" t="e">
        <f t="shared" si="71"/>
        <v>#N/A</v>
      </c>
      <c r="R482">
        <f t="shared" si="72"/>
        <v>355000</v>
      </c>
      <c r="S482">
        <f t="shared" si="73"/>
        <v>115</v>
      </c>
      <c r="T482" t="e">
        <f t="shared" si="74"/>
        <v>#N/A</v>
      </c>
      <c r="U482" t="e">
        <f t="shared" si="75"/>
        <v>#N/A</v>
      </c>
      <c r="V482" t="e">
        <f t="shared" si="76"/>
        <v>#N/A</v>
      </c>
      <c r="W482" t="e">
        <f t="shared" si="77"/>
        <v>#N/A</v>
      </c>
      <c r="X482" t="e">
        <f t="shared" si="78"/>
        <v>#N/A</v>
      </c>
      <c r="Y482" t="e">
        <f t="shared" si="79"/>
        <v>#N/A</v>
      </c>
    </row>
    <row r="483" spans="1:25" x14ac:dyDescent="0.2">
      <c r="A483">
        <v>1481</v>
      </c>
      <c r="B483" t="s">
        <v>40</v>
      </c>
      <c r="C483" t="s">
        <v>23</v>
      </c>
      <c r="D483">
        <v>2023</v>
      </c>
      <c r="E483" t="s">
        <v>30</v>
      </c>
      <c r="F483">
        <v>242</v>
      </c>
      <c r="G483">
        <v>4</v>
      </c>
      <c r="H483">
        <v>4</v>
      </c>
      <c r="I483">
        <v>931000</v>
      </c>
      <c r="J483">
        <v>3847.1</v>
      </c>
      <c r="K483">
        <v>0</v>
      </c>
      <c r="L483" t="s">
        <v>17</v>
      </c>
      <c r="M483">
        <v>72</v>
      </c>
      <c r="N483" t="s">
        <v>18</v>
      </c>
      <c r="P483" t="e">
        <f t="shared" si="70"/>
        <v>#N/A</v>
      </c>
      <c r="Q483" t="e">
        <f t="shared" si="71"/>
        <v>#N/A</v>
      </c>
      <c r="R483" t="e">
        <f t="shared" si="72"/>
        <v>#N/A</v>
      </c>
      <c r="S483" t="e">
        <f t="shared" si="73"/>
        <v>#N/A</v>
      </c>
      <c r="T483">
        <f t="shared" si="74"/>
        <v>931000</v>
      </c>
      <c r="U483">
        <f t="shared" si="75"/>
        <v>242</v>
      </c>
      <c r="V483" t="e">
        <f t="shared" si="76"/>
        <v>#N/A</v>
      </c>
      <c r="W483" t="e">
        <f t="shared" si="77"/>
        <v>#N/A</v>
      </c>
      <c r="X483" t="e">
        <f t="shared" si="78"/>
        <v>#N/A</v>
      </c>
      <c r="Y483" t="e">
        <f t="shared" si="79"/>
        <v>#N/A</v>
      </c>
    </row>
    <row r="484" spans="1:25" x14ac:dyDescent="0.2">
      <c r="A484">
        <v>1482</v>
      </c>
      <c r="B484" t="s">
        <v>33</v>
      </c>
      <c r="C484" t="s">
        <v>29</v>
      </c>
      <c r="D484">
        <v>2021</v>
      </c>
      <c r="E484" t="s">
        <v>16</v>
      </c>
      <c r="F484">
        <v>417</v>
      </c>
      <c r="G484">
        <v>5</v>
      </c>
      <c r="H484">
        <v>5</v>
      </c>
      <c r="I484">
        <v>1442000</v>
      </c>
      <c r="J484">
        <v>3458</v>
      </c>
      <c r="K484">
        <v>4</v>
      </c>
      <c r="L484" t="s">
        <v>17</v>
      </c>
      <c r="M484">
        <v>7</v>
      </c>
      <c r="N484" t="s">
        <v>27</v>
      </c>
      <c r="P484">
        <f t="shared" si="70"/>
        <v>1442000</v>
      </c>
      <c r="Q484">
        <f t="shared" si="71"/>
        <v>417</v>
      </c>
      <c r="R484" t="e">
        <f t="shared" si="72"/>
        <v>#N/A</v>
      </c>
      <c r="S484" t="e">
        <f t="shared" si="73"/>
        <v>#N/A</v>
      </c>
      <c r="T484" t="e">
        <f t="shared" si="74"/>
        <v>#N/A</v>
      </c>
      <c r="U484" t="e">
        <f t="shared" si="75"/>
        <v>#N/A</v>
      </c>
      <c r="V484" t="e">
        <f t="shared" si="76"/>
        <v>#N/A</v>
      </c>
      <c r="W484" t="e">
        <f t="shared" si="77"/>
        <v>#N/A</v>
      </c>
      <c r="X484" t="e">
        <f t="shared" si="78"/>
        <v>#N/A</v>
      </c>
      <c r="Y484" t="e">
        <f t="shared" si="79"/>
        <v>#N/A</v>
      </c>
    </row>
    <row r="485" spans="1:25" x14ac:dyDescent="0.2">
      <c r="A485">
        <v>1483</v>
      </c>
      <c r="B485" t="s">
        <v>45</v>
      </c>
      <c r="C485" t="s">
        <v>29</v>
      </c>
      <c r="D485">
        <v>2024</v>
      </c>
      <c r="E485" t="s">
        <v>24</v>
      </c>
      <c r="F485">
        <v>439</v>
      </c>
      <c r="G485">
        <v>4</v>
      </c>
      <c r="H485">
        <v>4</v>
      </c>
      <c r="I485">
        <v>3009000</v>
      </c>
      <c r="J485">
        <v>6854.2</v>
      </c>
      <c r="K485">
        <v>2</v>
      </c>
      <c r="L485" t="s">
        <v>17</v>
      </c>
      <c r="M485">
        <v>57</v>
      </c>
      <c r="N485" t="s">
        <v>21</v>
      </c>
      <c r="P485">
        <f t="shared" si="70"/>
        <v>3009000</v>
      </c>
      <c r="Q485">
        <f t="shared" si="71"/>
        <v>439</v>
      </c>
      <c r="R485" t="e">
        <f t="shared" si="72"/>
        <v>#N/A</v>
      </c>
      <c r="S485" t="e">
        <f t="shared" si="73"/>
        <v>#N/A</v>
      </c>
      <c r="T485" t="e">
        <f t="shared" si="74"/>
        <v>#N/A</v>
      </c>
      <c r="U485" t="e">
        <f t="shared" si="75"/>
        <v>#N/A</v>
      </c>
      <c r="V485" t="e">
        <f t="shared" si="76"/>
        <v>#N/A</v>
      </c>
      <c r="W485" t="e">
        <f t="shared" si="77"/>
        <v>#N/A</v>
      </c>
      <c r="X485" t="e">
        <f t="shared" si="78"/>
        <v>#N/A</v>
      </c>
      <c r="Y485" t="e">
        <f t="shared" si="79"/>
        <v>#N/A</v>
      </c>
    </row>
    <row r="486" spans="1:25" x14ac:dyDescent="0.2">
      <c r="A486">
        <v>1484</v>
      </c>
      <c r="B486" t="s">
        <v>31</v>
      </c>
      <c r="C486" t="s">
        <v>15</v>
      </c>
      <c r="D486">
        <v>2023</v>
      </c>
      <c r="E486" t="s">
        <v>24</v>
      </c>
      <c r="F486">
        <v>175</v>
      </c>
      <c r="G486">
        <v>2</v>
      </c>
      <c r="H486">
        <v>2</v>
      </c>
      <c r="I486">
        <v>540000</v>
      </c>
      <c r="J486">
        <v>3085.7</v>
      </c>
      <c r="K486">
        <v>2</v>
      </c>
      <c r="L486" t="s">
        <v>17</v>
      </c>
      <c r="M486">
        <v>97</v>
      </c>
      <c r="N486" t="s">
        <v>21</v>
      </c>
      <c r="P486" t="e">
        <f t="shared" si="70"/>
        <v>#N/A</v>
      </c>
      <c r="Q486" t="e">
        <f t="shared" si="71"/>
        <v>#N/A</v>
      </c>
      <c r="R486">
        <f t="shared" si="72"/>
        <v>540000</v>
      </c>
      <c r="S486">
        <f t="shared" si="73"/>
        <v>175</v>
      </c>
      <c r="T486" t="e">
        <f t="shared" si="74"/>
        <v>#N/A</v>
      </c>
      <c r="U486" t="e">
        <f t="shared" si="75"/>
        <v>#N/A</v>
      </c>
      <c r="V486" t="e">
        <f t="shared" si="76"/>
        <v>#N/A</v>
      </c>
      <c r="W486" t="e">
        <f t="shared" si="77"/>
        <v>#N/A</v>
      </c>
      <c r="X486" t="e">
        <f t="shared" si="78"/>
        <v>#N/A</v>
      </c>
      <c r="Y486" t="e">
        <f t="shared" si="79"/>
        <v>#N/A</v>
      </c>
    </row>
    <row r="487" spans="1:25" x14ac:dyDescent="0.2">
      <c r="A487">
        <v>1485</v>
      </c>
      <c r="B487" t="s">
        <v>22</v>
      </c>
      <c r="C487" t="s">
        <v>29</v>
      </c>
      <c r="D487">
        <v>2024</v>
      </c>
      <c r="E487" t="s">
        <v>16</v>
      </c>
      <c r="F487">
        <v>403</v>
      </c>
      <c r="G487">
        <v>5</v>
      </c>
      <c r="H487">
        <v>5</v>
      </c>
      <c r="I487">
        <v>2409000</v>
      </c>
      <c r="J487">
        <v>5977.7</v>
      </c>
      <c r="K487">
        <v>0</v>
      </c>
      <c r="L487" t="s">
        <v>17</v>
      </c>
      <c r="M487">
        <v>90</v>
      </c>
      <c r="N487" t="s">
        <v>18</v>
      </c>
      <c r="P487">
        <f t="shared" si="70"/>
        <v>2409000</v>
      </c>
      <c r="Q487">
        <f t="shared" si="71"/>
        <v>403</v>
      </c>
      <c r="R487" t="e">
        <f t="shared" si="72"/>
        <v>#N/A</v>
      </c>
      <c r="S487" t="e">
        <f t="shared" si="73"/>
        <v>#N/A</v>
      </c>
      <c r="T487" t="e">
        <f t="shared" si="74"/>
        <v>#N/A</v>
      </c>
      <c r="U487" t="e">
        <f t="shared" si="75"/>
        <v>#N/A</v>
      </c>
      <c r="V487" t="e">
        <f t="shared" si="76"/>
        <v>#N/A</v>
      </c>
      <c r="W487" t="e">
        <f t="shared" si="77"/>
        <v>#N/A</v>
      </c>
      <c r="X487" t="e">
        <f t="shared" si="78"/>
        <v>#N/A</v>
      </c>
      <c r="Y487" t="e">
        <f t="shared" si="79"/>
        <v>#N/A</v>
      </c>
    </row>
    <row r="488" spans="1:25" x14ac:dyDescent="0.2">
      <c r="A488">
        <v>1486</v>
      </c>
      <c r="B488" t="s">
        <v>46</v>
      </c>
      <c r="C488" t="s">
        <v>15</v>
      </c>
      <c r="D488">
        <v>2023</v>
      </c>
      <c r="E488" t="s">
        <v>16</v>
      </c>
      <c r="F488">
        <v>111</v>
      </c>
      <c r="G488">
        <v>3</v>
      </c>
      <c r="H488">
        <v>3</v>
      </c>
      <c r="I488">
        <v>414000</v>
      </c>
      <c r="J488">
        <v>3729.7</v>
      </c>
      <c r="K488">
        <v>10</v>
      </c>
      <c r="L488" t="s">
        <v>34</v>
      </c>
      <c r="M488">
        <v>165</v>
      </c>
      <c r="N488" t="s">
        <v>18</v>
      </c>
      <c r="P488" t="e">
        <f t="shared" si="70"/>
        <v>#N/A</v>
      </c>
      <c r="Q488" t="e">
        <f t="shared" si="71"/>
        <v>#N/A</v>
      </c>
      <c r="R488">
        <f t="shared" si="72"/>
        <v>414000</v>
      </c>
      <c r="S488">
        <f t="shared" si="73"/>
        <v>111</v>
      </c>
      <c r="T488" t="e">
        <f t="shared" si="74"/>
        <v>#N/A</v>
      </c>
      <c r="U488" t="e">
        <f t="shared" si="75"/>
        <v>#N/A</v>
      </c>
      <c r="V488" t="e">
        <f t="shared" si="76"/>
        <v>#N/A</v>
      </c>
      <c r="W488" t="e">
        <f t="shared" si="77"/>
        <v>#N/A</v>
      </c>
      <c r="X488" t="e">
        <f t="shared" si="78"/>
        <v>#N/A</v>
      </c>
      <c r="Y488" t="e">
        <f t="shared" si="79"/>
        <v>#N/A</v>
      </c>
    </row>
    <row r="489" spans="1:25" x14ac:dyDescent="0.2">
      <c r="A489">
        <v>1487</v>
      </c>
      <c r="B489" t="s">
        <v>48</v>
      </c>
      <c r="C489" t="s">
        <v>29</v>
      </c>
      <c r="D489">
        <v>2024</v>
      </c>
      <c r="E489" t="s">
        <v>16</v>
      </c>
      <c r="F489">
        <v>451</v>
      </c>
      <c r="G489">
        <v>6</v>
      </c>
      <c r="H489">
        <v>6</v>
      </c>
      <c r="I489">
        <v>2169000</v>
      </c>
      <c r="J489">
        <v>4809.3</v>
      </c>
      <c r="K489">
        <v>15</v>
      </c>
      <c r="L489" t="s">
        <v>17</v>
      </c>
      <c r="M489">
        <v>59</v>
      </c>
      <c r="N489" t="s">
        <v>27</v>
      </c>
      <c r="P489">
        <f t="shared" si="70"/>
        <v>2169000</v>
      </c>
      <c r="Q489">
        <f t="shared" si="71"/>
        <v>451</v>
      </c>
      <c r="R489" t="e">
        <f t="shared" si="72"/>
        <v>#N/A</v>
      </c>
      <c r="S489" t="e">
        <f t="shared" si="73"/>
        <v>#N/A</v>
      </c>
      <c r="T489" t="e">
        <f t="shared" si="74"/>
        <v>#N/A</v>
      </c>
      <c r="U489" t="e">
        <f t="shared" si="75"/>
        <v>#N/A</v>
      </c>
      <c r="V489" t="e">
        <f t="shared" si="76"/>
        <v>#N/A</v>
      </c>
      <c r="W489" t="e">
        <f t="shared" si="77"/>
        <v>#N/A</v>
      </c>
      <c r="X489" t="e">
        <f t="shared" si="78"/>
        <v>#N/A</v>
      </c>
      <c r="Y489" t="e">
        <f t="shared" si="79"/>
        <v>#N/A</v>
      </c>
    </row>
    <row r="490" spans="1:25" x14ac:dyDescent="0.2">
      <c r="A490">
        <v>1488</v>
      </c>
      <c r="B490" t="s">
        <v>14</v>
      </c>
      <c r="C490" t="s">
        <v>38</v>
      </c>
      <c r="D490">
        <v>2022</v>
      </c>
      <c r="E490" t="s">
        <v>16</v>
      </c>
      <c r="F490">
        <v>57</v>
      </c>
      <c r="G490">
        <v>0</v>
      </c>
      <c r="H490">
        <v>1</v>
      </c>
      <c r="I490">
        <v>275000</v>
      </c>
      <c r="J490">
        <v>4824.6000000000004</v>
      </c>
      <c r="K490">
        <v>15</v>
      </c>
      <c r="L490" t="s">
        <v>20</v>
      </c>
      <c r="M490">
        <v>56</v>
      </c>
      <c r="N490" t="s">
        <v>18</v>
      </c>
      <c r="P490" t="e">
        <f t="shared" si="70"/>
        <v>#N/A</v>
      </c>
      <c r="Q490" t="e">
        <f t="shared" si="71"/>
        <v>#N/A</v>
      </c>
      <c r="R490" t="e">
        <f t="shared" si="72"/>
        <v>#N/A</v>
      </c>
      <c r="S490" t="e">
        <f t="shared" si="73"/>
        <v>#N/A</v>
      </c>
      <c r="T490" t="e">
        <f t="shared" si="74"/>
        <v>#N/A</v>
      </c>
      <c r="U490" t="e">
        <f t="shared" si="75"/>
        <v>#N/A</v>
      </c>
      <c r="V490">
        <f t="shared" si="76"/>
        <v>275000</v>
      </c>
      <c r="W490">
        <f t="shared" si="77"/>
        <v>57</v>
      </c>
      <c r="X490" t="e">
        <f t="shared" si="78"/>
        <v>#N/A</v>
      </c>
      <c r="Y490" t="e">
        <f t="shared" si="79"/>
        <v>#N/A</v>
      </c>
    </row>
    <row r="491" spans="1:25" x14ac:dyDescent="0.2">
      <c r="A491">
        <v>1489</v>
      </c>
      <c r="B491" t="s">
        <v>19</v>
      </c>
      <c r="C491" t="s">
        <v>23</v>
      </c>
      <c r="D491">
        <v>2021</v>
      </c>
      <c r="E491" t="s">
        <v>24</v>
      </c>
      <c r="F491">
        <v>305</v>
      </c>
      <c r="G491">
        <v>3</v>
      </c>
      <c r="H491">
        <v>3</v>
      </c>
      <c r="I491">
        <v>1016000</v>
      </c>
      <c r="J491">
        <v>3331.1</v>
      </c>
      <c r="K491">
        <v>10</v>
      </c>
      <c r="L491" t="s">
        <v>17</v>
      </c>
      <c r="M491">
        <v>5</v>
      </c>
      <c r="N491" t="s">
        <v>21</v>
      </c>
      <c r="P491" t="e">
        <f t="shared" si="70"/>
        <v>#N/A</v>
      </c>
      <c r="Q491" t="e">
        <f t="shared" si="71"/>
        <v>#N/A</v>
      </c>
      <c r="R491" t="e">
        <f t="shared" si="72"/>
        <v>#N/A</v>
      </c>
      <c r="S491" t="e">
        <f t="shared" si="73"/>
        <v>#N/A</v>
      </c>
      <c r="T491">
        <f t="shared" si="74"/>
        <v>1016000</v>
      </c>
      <c r="U491">
        <f t="shared" si="75"/>
        <v>305</v>
      </c>
      <c r="V491" t="e">
        <f t="shared" si="76"/>
        <v>#N/A</v>
      </c>
      <c r="W491" t="e">
        <f t="shared" si="77"/>
        <v>#N/A</v>
      </c>
      <c r="X491" t="e">
        <f t="shared" si="78"/>
        <v>#N/A</v>
      </c>
      <c r="Y491" t="e">
        <f t="shared" si="79"/>
        <v>#N/A</v>
      </c>
    </row>
    <row r="492" spans="1:25" x14ac:dyDescent="0.2">
      <c r="A492">
        <v>1490</v>
      </c>
      <c r="B492" t="s">
        <v>44</v>
      </c>
      <c r="C492" t="s">
        <v>29</v>
      </c>
      <c r="D492">
        <v>2022</v>
      </c>
      <c r="E492" t="s">
        <v>24</v>
      </c>
      <c r="F492">
        <v>369</v>
      </c>
      <c r="G492">
        <v>5</v>
      </c>
      <c r="H492">
        <v>5</v>
      </c>
      <c r="I492">
        <v>1593000</v>
      </c>
      <c r="J492">
        <v>4317.1000000000004</v>
      </c>
      <c r="K492">
        <v>4</v>
      </c>
      <c r="L492" t="s">
        <v>34</v>
      </c>
      <c r="M492">
        <v>121</v>
      </c>
      <c r="N492" t="s">
        <v>18</v>
      </c>
      <c r="P492">
        <f t="shared" si="70"/>
        <v>1593000</v>
      </c>
      <c r="Q492">
        <f t="shared" si="71"/>
        <v>369</v>
      </c>
      <c r="R492" t="e">
        <f t="shared" si="72"/>
        <v>#N/A</v>
      </c>
      <c r="S492" t="e">
        <f t="shared" si="73"/>
        <v>#N/A</v>
      </c>
      <c r="T492" t="e">
        <f t="shared" si="74"/>
        <v>#N/A</v>
      </c>
      <c r="U492" t="e">
        <f t="shared" si="75"/>
        <v>#N/A</v>
      </c>
      <c r="V492" t="e">
        <f t="shared" si="76"/>
        <v>#N/A</v>
      </c>
      <c r="W492" t="e">
        <f t="shared" si="77"/>
        <v>#N/A</v>
      </c>
      <c r="X492" t="e">
        <f t="shared" si="78"/>
        <v>#N/A</v>
      </c>
      <c r="Y492" t="e">
        <f t="shared" si="79"/>
        <v>#N/A</v>
      </c>
    </row>
    <row r="493" spans="1:25" x14ac:dyDescent="0.2">
      <c r="A493">
        <v>1491</v>
      </c>
      <c r="B493" t="s">
        <v>35</v>
      </c>
      <c r="C493" t="s">
        <v>15</v>
      </c>
      <c r="D493">
        <v>2023</v>
      </c>
      <c r="E493" t="s">
        <v>30</v>
      </c>
      <c r="F493">
        <v>129</v>
      </c>
      <c r="G493">
        <v>2</v>
      </c>
      <c r="H493">
        <v>2</v>
      </c>
      <c r="I493">
        <v>448000</v>
      </c>
      <c r="J493">
        <v>3472.9</v>
      </c>
      <c r="K493">
        <v>2</v>
      </c>
      <c r="L493" t="s">
        <v>17</v>
      </c>
      <c r="M493">
        <v>26</v>
      </c>
      <c r="N493" t="s">
        <v>18</v>
      </c>
      <c r="P493" t="e">
        <f t="shared" si="70"/>
        <v>#N/A</v>
      </c>
      <c r="Q493" t="e">
        <f t="shared" si="71"/>
        <v>#N/A</v>
      </c>
      <c r="R493">
        <f t="shared" si="72"/>
        <v>448000</v>
      </c>
      <c r="S493">
        <f t="shared" si="73"/>
        <v>129</v>
      </c>
      <c r="T493" t="e">
        <f t="shared" si="74"/>
        <v>#N/A</v>
      </c>
      <c r="U493" t="e">
        <f t="shared" si="75"/>
        <v>#N/A</v>
      </c>
      <c r="V493" t="e">
        <f t="shared" si="76"/>
        <v>#N/A</v>
      </c>
      <c r="W493" t="e">
        <f t="shared" si="77"/>
        <v>#N/A</v>
      </c>
      <c r="X493" t="e">
        <f t="shared" si="78"/>
        <v>#N/A</v>
      </c>
      <c r="Y493" t="e">
        <f t="shared" si="79"/>
        <v>#N/A</v>
      </c>
    </row>
    <row r="494" spans="1:25" x14ac:dyDescent="0.2">
      <c r="A494">
        <v>1492</v>
      </c>
      <c r="B494" t="s">
        <v>44</v>
      </c>
      <c r="C494" t="s">
        <v>29</v>
      </c>
      <c r="D494">
        <v>2022</v>
      </c>
      <c r="E494" t="s">
        <v>30</v>
      </c>
      <c r="F494">
        <v>369</v>
      </c>
      <c r="G494">
        <v>6</v>
      </c>
      <c r="H494">
        <v>6</v>
      </c>
      <c r="I494">
        <v>1550000</v>
      </c>
      <c r="J494">
        <v>4200.5</v>
      </c>
      <c r="K494">
        <v>0</v>
      </c>
      <c r="L494" t="s">
        <v>17</v>
      </c>
      <c r="M494">
        <v>122</v>
      </c>
      <c r="N494" t="s">
        <v>18</v>
      </c>
      <c r="P494">
        <f t="shared" si="70"/>
        <v>1550000</v>
      </c>
      <c r="Q494">
        <f t="shared" si="71"/>
        <v>369</v>
      </c>
      <c r="R494" t="e">
        <f t="shared" si="72"/>
        <v>#N/A</v>
      </c>
      <c r="S494" t="e">
        <f t="shared" si="73"/>
        <v>#N/A</v>
      </c>
      <c r="T494" t="e">
        <f t="shared" si="74"/>
        <v>#N/A</v>
      </c>
      <c r="U494" t="e">
        <f t="shared" si="75"/>
        <v>#N/A</v>
      </c>
      <c r="V494" t="e">
        <f t="shared" si="76"/>
        <v>#N/A</v>
      </c>
      <c r="W494" t="e">
        <f t="shared" si="77"/>
        <v>#N/A</v>
      </c>
      <c r="X494" t="e">
        <f t="shared" si="78"/>
        <v>#N/A</v>
      </c>
      <c r="Y494" t="e">
        <f t="shared" si="79"/>
        <v>#N/A</v>
      </c>
    </row>
    <row r="495" spans="1:25" x14ac:dyDescent="0.2">
      <c r="A495">
        <v>1493</v>
      </c>
      <c r="B495" t="s">
        <v>14</v>
      </c>
      <c r="C495" t="s">
        <v>15</v>
      </c>
      <c r="D495">
        <v>2021</v>
      </c>
      <c r="E495" t="s">
        <v>26</v>
      </c>
      <c r="F495">
        <v>181</v>
      </c>
      <c r="G495">
        <v>4</v>
      </c>
      <c r="H495">
        <v>4</v>
      </c>
      <c r="I495">
        <v>648000</v>
      </c>
      <c r="J495">
        <v>3580.1</v>
      </c>
      <c r="K495">
        <v>2</v>
      </c>
      <c r="L495" t="s">
        <v>17</v>
      </c>
      <c r="M495">
        <v>36</v>
      </c>
      <c r="N495" t="s">
        <v>18</v>
      </c>
      <c r="P495" t="e">
        <f t="shared" si="70"/>
        <v>#N/A</v>
      </c>
      <c r="Q495" t="e">
        <f t="shared" si="71"/>
        <v>#N/A</v>
      </c>
      <c r="R495">
        <f t="shared" si="72"/>
        <v>648000</v>
      </c>
      <c r="S495">
        <f t="shared" si="73"/>
        <v>181</v>
      </c>
      <c r="T495" t="e">
        <f t="shared" si="74"/>
        <v>#N/A</v>
      </c>
      <c r="U495" t="e">
        <f t="shared" si="75"/>
        <v>#N/A</v>
      </c>
      <c r="V495" t="e">
        <f t="shared" si="76"/>
        <v>#N/A</v>
      </c>
      <c r="W495" t="e">
        <f t="shared" si="77"/>
        <v>#N/A</v>
      </c>
      <c r="X495" t="e">
        <f t="shared" si="78"/>
        <v>#N/A</v>
      </c>
      <c r="Y495" t="e">
        <f t="shared" si="79"/>
        <v>#N/A</v>
      </c>
    </row>
    <row r="496" spans="1:25" x14ac:dyDescent="0.2">
      <c r="A496">
        <v>1494</v>
      </c>
      <c r="B496" t="s">
        <v>31</v>
      </c>
      <c r="C496" t="s">
        <v>15</v>
      </c>
      <c r="D496">
        <v>2024</v>
      </c>
      <c r="E496" t="s">
        <v>16</v>
      </c>
      <c r="F496">
        <v>188</v>
      </c>
      <c r="G496">
        <v>2</v>
      </c>
      <c r="H496">
        <v>2</v>
      </c>
      <c r="I496">
        <v>592000</v>
      </c>
      <c r="J496">
        <v>3148.9</v>
      </c>
      <c r="K496">
        <v>2</v>
      </c>
      <c r="L496" t="s">
        <v>17</v>
      </c>
      <c r="M496">
        <v>138</v>
      </c>
      <c r="N496" t="s">
        <v>21</v>
      </c>
      <c r="P496" t="e">
        <f t="shared" si="70"/>
        <v>#N/A</v>
      </c>
      <c r="Q496" t="e">
        <f t="shared" si="71"/>
        <v>#N/A</v>
      </c>
      <c r="R496">
        <f t="shared" si="72"/>
        <v>592000</v>
      </c>
      <c r="S496">
        <f t="shared" si="73"/>
        <v>188</v>
      </c>
      <c r="T496" t="e">
        <f t="shared" si="74"/>
        <v>#N/A</v>
      </c>
      <c r="U496" t="e">
        <f t="shared" si="75"/>
        <v>#N/A</v>
      </c>
      <c r="V496" t="e">
        <f t="shared" si="76"/>
        <v>#N/A</v>
      </c>
      <c r="W496" t="e">
        <f t="shared" si="77"/>
        <v>#N/A</v>
      </c>
      <c r="X496" t="e">
        <f t="shared" si="78"/>
        <v>#N/A</v>
      </c>
      <c r="Y496" t="e">
        <f t="shared" si="79"/>
        <v>#N/A</v>
      </c>
    </row>
    <row r="497" spans="1:25" x14ac:dyDescent="0.2">
      <c r="A497">
        <v>1495</v>
      </c>
      <c r="B497" t="s">
        <v>43</v>
      </c>
      <c r="C497" t="s">
        <v>15</v>
      </c>
      <c r="D497">
        <v>2022</v>
      </c>
      <c r="E497" t="s">
        <v>16</v>
      </c>
      <c r="F497">
        <v>128</v>
      </c>
      <c r="G497">
        <v>3</v>
      </c>
      <c r="H497">
        <v>3</v>
      </c>
      <c r="I497">
        <v>492000</v>
      </c>
      <c r="J497">
        <v>3843.8</v>
      </c>
      <c r="K497">
        <v>7</v>
      </c>
      <c r="L497" t="s">
        <v>17</v>
      </c>
      <c r="M497">
        <v>142</v>
      </c>
      <c r="N497" t="s">
        <v>27</v>
      </c>
      <c r="P497" t="e">
        <f t="shared" si="70"/>
        <v>#N/A</v>
      </c>
      <c r="Q497" t="e">
        <f t="shared" si="71"/>
        <v>#N/A</v>
      </c>
      <c r="R497">
        <f t="shared" si="72"/>
        <v>492000</v>
      </c>
      <c r="S497">
        <f t="shared" si="73"/>
        <v>128</v>
      </c>
      <c r="T497" t="e">
        <f t="shared" si="74"/>
        <v>#N/A</v>
      </c>
      <c r="U497" t="e">
        <f t="shared" si="75"/>
        <v>#N/A</v>
      </c>
      <c r="V497" t="e">
        <f t="shared" si="76"/>
        <v>#N/A</v>
      </c>
      <c r="W497" t="e">
        <f t="shared" si="77"/>
        <v>#N/A</v>
      </c>
      <c r="X497" t="e">
        <f t="shared" si="78"/>
        <v>#N/A</v>
      </c>
      <c r="Y497" t="e">
        <f t="shared" si="79"/>
        <v>#N/A</v>
      </c>
    </row>
    <row r="498" spans="1:25" x14ac:dyDescent="0.2">
      <c r="A498">
        <v>1496</v>
      </c>
      <c r="B498" t="s">
        <v>32</v>
      </c>
      <c r="C498" t="s">
        <v>29</v>
      </c>
      <c r="D498">
        <v>2021</v>
      </c>
      <c r="E498" t="s">
        <v>30</v>
      </c>
      <c r="F498">
        <v>376</v>
      </c>
      <c r="G498">
        <v>5</v>
      </c>
      <c r="H498">
        <v>5</v>
      </c>
      <c r="I498">
        <v>1377000</v>
      </c>
      <c r="J498">
        <v>3662.2</v>
      </c>
      <c r="K498">
        <v>4</v>
      </c>
      <c r="L498" t="s">
        <v>20</v>
      </c>
      <c r="M498">
        <v>139</v>
      </c>
      <c r="N498" t="s">
        <v>18</v>
      </c>
      <c r="P498">
        <f t="shared" si="70"/>
        <v>1377000</v>
      </c>
      <c r="Q498">
        <f t="shared" si="71"/>
        <v>376</v>
      </c>
      <c r="R498" t="e">
        <f t="shared" si="72"/>
        <v>#N/A</v>
      </c>
      <c r="S498" t="e">
        <f t="shared" si="73"/>
        <v>#N/A</v>
      </c>
      <c r="T498" t="e">
        <f t="shared" si="74"/>
        <v>#N/A</v>
      </c>
      <c r="U498" t="e">
        <f t="shared" si="75"/>
        <v>#N/A</v>
      </c>
      <c r="V498" t="e">
        <f t="shared" si="76"/>
        <v>#N/A</v>
      </c>
      <c r="W498" t="e">
        <f t="shared" si="77"/>
        <v>#N/A</v>
      </c>
      <c r="X498" t="e">
        <f t="shared" si="78"/>
        <v>#N/A</v>
      </c>
      <c r="Y498" t="e">
        <f t="shared" si="79"/>
        <v>#N/A</v>
      </c>
    </row>
    <row r="499" spans="1:25" x14ac:dyDescent="0.2">
      <c r="A499">
        <v>1497</v>
      </c>
      <c r="B499" t="s">
        <v>25</v>
      </c>
      <c r="C499" t="s">
        <v>29</v>
      </c>
      <c r="D499">
        <v>2021</v>
      </c>
      <c r="E499" t="s">
        <v>26</v>
      </c>
      <c r="F499">
        <v>471</v>
      </c>
      <c r="G499">
        <v>4</v>
      </c>
      <c r="H499">
        <v>4</v>
      </c>
      <c r="I499">
        <v>1628000</v>
      </c>
      <c r="J499">
        <v>3456.5</v>
      </c>
      <c r="K499">
        <v>4</v>
      </c>
      <c r="L499" t="s">
        <v>17</v>
      </c>
      <c r="M499">
        <v>75</v>
      </c>
      <c r="N499" t="s">
        <v>27</v>
      </c>
      <c r="P499">
        <f t="shared" si="70"/>
        <v>1628000</v>
      </c>
      <c r="Q499">
        <f t="shared" si="71"/>
        <v>471</v>
      </c>
      <c r="R499" t="e">
        <f t="shared" si="72"/>
        <v>#N/A</v>
      </c>
      <c r="S499" t="e">
        <f t="shared" si="73"/>
        <v>#N/A</v>
      </c>
      <c r="T499" t="e">
        <f t="shared" si="74"/>
        <v>#N/A</v>
      </c>
      <c r="U499" t="e">
        <f t="shared" si="75"/>
        <v>#N/A</v>
      </c>
      <c r="V499" t="e">
        <f t="shared" si="76"/>
        <v>#N/A</v>
      </c>
      <c r="W499" t="e">
        <f t="shared" si="77"/>
        <v>#N/A</v>
      </c>
      <c r="X499" t="e">
        <f t="shared" si="78"/>
        <v>#N/A</v>
      </c>
      <c r="Y499" t="e">
        <f t="shared" si="79"/>
        <v>#N/A</v>
      </c>
    </row>
    <row r="500" spans="1:25" x14ac:dyDescent="0.2">
      <c r="A500">
        <v>1498</v>
      </c>
      <c r="B500" t="s">
        <v>25</v>
      </c>
      <c r="C500" t="s">
        <v>15</v>
      </c>
      <c r="D500">
        <v>2022</v>
      </c>
      <c r="E500" t="s">
        <v>26</v>
      </c>
      <c r="F500">
        <v>191</v>
      </c>
      <c r="G500">
        <v>4</v>
      </c>
      <c r="H500">
        <v>4</v>
      </c>
      <c r="I500">
        <v>436000</v>
      </c>
      <c r="J500">
        <v>2282.6999999999998</v>
      </c>
      <c r="K500">
        <v>10</v>
      </c>
      <c r="L500" t="s">
        <v>17</v>
      </c>
      <c r="M500">
        <v>142</v>
      </c>
      <c r="N500" t="s">
        <v>27</v>
      </c>
      <c r="P500" t="e">
        <f t="shared" si="70"/>
        <v>#N/A</v>
      </c>
      <c r="Q500" t="e">
        <f t="shared" si="71"/>
        <v>#N/A</v>
      </c>
      <c r="R500">
        <f t="shared" si="72"/>
        <v>436000</v>
      </c>
      <c r="S500">
        <f t="shared" si="73"/>
        <v>191</v>
      </c>
      <c r="T500" t="e">
        <f t="shared" si="74"/>
        <v>#N/A</v>
      </c>
      <c r="U500" t="e">
        <f t="shared" si="75"/>
        <v>#N/A</v>
      </c>
      <c r="V500" t="e">
        <f t="shared" si="76"/>
        <v>#N/A</v>
      </c>
      <c r="W500" t="e">
        <f t="shared" si="77"/>
        <v>#N/A</v>
      </c>
      <c r="X500" t="e">
        <f t="shared" si="78"/>
        <v>#N/A</v>
      </c>
      <c r="Y500" t="e">
        <f t="shared" si="79"/>
        <v>#N/A</v>
      </c>
    </row>
    <row r="501" spans="1:25" x14ac:dyDescent="0.2">
      <c r="A501">
        <v>1499</v>
      </c>
      <c r="B501" t="s">
        <v>42</v>
      </c>
      <c r="C501" t="s">
        <v>29</v>
      </c>
      <c r="D501">
        <v>2023</v>
      </c>
      <c r="E501" t="s">
        <v>16</v>
      </c>
      <c r="F501">
        <v>564</v>
      </c>
      <c r="G501">
        <v>6</v>
      </c>
      <c r="H501">
        <v>6</v>
      </c>
      <c r="I501">
        <v>4253000</v>
      </c>
      <c r="J501">
        <v>7540.8</v>
      </c>
      <c r="K501">
        <v>5</v>
      </c>
      <c r="L501" t="s">
        <v>17</v>
      </c>
      <c r="M501">
        <v>100</v>
      </c>
      <c r="N501" t="s">
        <v>21</v>
      </c>
      <c r="P501">
        <f t="shared" si="70"/>
        <v>4253000</v>
      </c>
      <c r="Q501">
        <f t="shared" si="71"/>
        <v>564</v>
      </c>
      <c r="R501" t="e">
        <f t="shared" si="72"/>
        <v>#N/A</v>
      </c>
      <c r="S501" t="e">
        <f t="shared" si="73"/>
        <v>#N/A</v>
      </c>
      <c r="T501" t="e">
        <f t="shared" si="74"/>
        <v>#N/A</v>
      </c>
      <c r="U501" t="e">
        <f t="shared" si="75"/>
        <v>#N/A</v>
      </c>
      <c r="V501" t="e">
        <f t="shared" si="76"/>
        <v>#N/A</v>
      </c>
      <c r="W501" t="e">
        <f t="shared" si="77"/>
        <v>#N/A</v>
      </c>
      <c r="X501" t="e">
        <f t="shared" si="78"/>
        <v>#N/A</v>
      </c>
      <c r="Y501" t="e">
        <f t="shared" si="79"/>
        <v>#N/A</v>
      </c>
    </row>
    <row r="502" spans="1:25" x14ac:dyDescent="0.2">
      <c r="A502">
        <v>1500</v>
      </c>
      <c r="B502" t="s">
        <v>48</v>
      </c>
      <c r="C502" t="s">
        <v>15</v>
      </c>
      <c r="D502">
        <v>2024</v>
      </c>
      <c r="E502" t="s">
        <v>30</v>
      </c>
      <c r="F502">
        <v>127</v>
      </c>
      <c r="G502">
        <v>2</v>
      </c>
      <c r="H502">
        <v>2</v>
      </c>
      <c r="I502">
        <v>446000</v>
      </c>
      <c r="J502">
        <v>3511.8</v>
      </c>
      <c r="K502">
        <v>7</v>
      </c>
      <c r="L502" t="s">
        <v>20</v>
      </c>
      <c r="M502">
        <v>40</v>
      </c>
      <c r="N502" t="s">
        <v>27</v>
      </c>
      <c r="P502" t="e">
        <f t="shared" si="70"/>
        <v>#N/A</v>
      </c>
      <c r="Q502" t="e">
        <f t="shared" si="71"/>
        <v>#N/A</v>
      </c>
      <c r="R502">
        <f t="shared" si="72"/>
        <v>446000</v>
      </c>
      <c r="S502">
        <f t="shared" si="73"/>
        <v>127</v>
      </c>
      <c r="T502" t="e">
        <f t="shared" si="74"/>
        <v>#N/A</v>
      </c>
      <c r="U502" t="e">
        <f t="shared" si="75"/>
        <v>#N/A</v>
      </c>
      <c r="V502" t="e">
        <f t="shared" si="76"/>
        <v>#N/A</v>
      </c>
      <c r="W502" t="e">
        <f t="shared" si="77"/>
        <v>#N/A</v>
      </c>
      <c r="X502" t="e">
        <f t="shared" si="78"/>
        <v>#N/A</v>
      </c>
      <c r="Y502" t="e">
        <f t="shared" si="79"/>
        <v>#N/A</v>
      </c>
    </row>
    <row r="503" spans="1:25" x14ac:dyDescent="0.2">
      <c r="A503">
        <v>1501</v>
      </c>
      <c r="B503" t="s">
        <v>45</v>
      </c>
      <c r="C503" t="s">
        <v>38</v>
      </c>
      <c r="D503">
        <v>2021</v>
      </c>
      <c r="E503" t="s">
        <v>16</v>
      </c>
      <c r="F503">
        <v>51</v>
      </c>
      <c r="G503">
        <v>0</v>
      </c>
      <c r="H503">
        <v>1</v>
      </c>
      <c r="I503">
        <v>255000</v>
      </c>
      <c r="J503">
        <v>5000</v>
      </c>
      <c r="K503">
        <v>5</v>
      </c>
      <c r="L503" t="s">
        <v>17</v>
      </c>
      <c r="M503">
        <v>38</v>
      </c>
      <c r="N503" t="s">
        <v>21</v>
      </c>
      <c r="P503" t="e">
        <f t="shared" si="70"/>
        <v>#N/A</v>
      </c>
      <c r="Q503" t="e">
        <f t="shared" si="71"/>
        <v>#N/A</v>
      </c>
      <c r="R503" t="e">
        <f t="shared" si="72"/>
        <v>#N/A</v>
      </c>
      <c r="S503" t="e">
        <f t="shared" si="73"/>
        <v>#N/A</v>
      </c>
      <c r="T503" t="e">
        <f t="shared" si="74"/>
        <v>#N/A</v>
      </c>
      <c r="U503" t="e">
        <f t="shared" si="75"/>
        <v>#N/A</v>
      </c>
      <c r="V503">
        <f t="shared" si="76"/>
        <v>255000</v>
      </c>
      <c r="W503">
        <f t="shared" si="77"/>
        <v>51</v>
      </c>
      <c r="X503" t="e">
        <f t="shared" si="78"/>
        <v>#N/A</v>
      </c>
      <c r="Y503" t="e">
        <f t="shared" si="79"/>
        <v>#N/A</v>
      </c>
    </row>
    <row r="504" spans="1:25" x14ac:dyDescent="0.2">
      <c r="A504">
        <v>1502</v>
      </c>
      <c r="B504" t="s">
        <v>32</v>
      </c>
      <c r="C504" t="s">
        <v>15</v>
      </c>
      <c r="D504">
        <v>2023</v>
      </c>
      <c r="E504" t="s">
        <v>26</v>
      </c>
      <c r="F504">
        <v>154</v>
      </c>
      <c r="G504">
        <v>3</v>
      </c>
      <c r="H504">
        <v>3</v>
      </c>
      <c r="I504">
        <v>465000</v>
      </c>
      <c r="J504">
        <v>3019.5</v>
      </c>
      <c r="K504">
        <v>20</v>
      </c>
      <c r="L504" t="s">
        <v>17</v>
      </c>
      <c r="M504">
        <v>23</v>
      </c>
      <c r="N504" t="s">
        <v>18</v>
      </c>
      <c r="P504" t="e">
        <f t="shared" si="70"/>
        <v>#N/A</v>
      </c>
      <c r="Q504" t="e">
        <f t="shared" si="71"/>
        <v>#N/A</v>
      </c>
      <c r="R504">
        <f t="shared" si="72"/>
        <v>465000</v>
      </c>
      <c r="S504">
        <f t="shared" si="73"/>
        <v>154</v>
      </c>
      <c r="T504" t="e">
        <f t="shared" si="74"/>
        <v>#N/A</v>
      </c>
      <c r="U504" t="e">
        <f t="shared" si="75"/>
        <v>#N/A</v>
      </c>
      <c r="V504" t="e">
        <f t="shared" si="76"/>
        <v>#N/A</v>
      </c>
      <c r="W504" t="e">
        <f t="shared" si="77"/>
        <v>#N/A</v>
      </c>
      <c r="X504" t="e">
        <f t="shared" si="78"/>
        <v>#N/A</v>
      </c>
      <c r="Y504" t="e">
        <f t="shared" si="79"/>
        <v>#N/A</v>
      </c>
    </row>
    <row r="505" spans="1:25" x14ac:dyDescent="0.2">
      <c r="A505">
        <v>1503</v>
      </c>
      <c r="B505" t="s">
        <v>44</v>
      </c>
      <c r="C505" t="s">
        <v>15</v>
      </c>
      <c r="D505">
        <v>2021</v>
      </c>
      <c r="E505" t="s">
        <v>30</v>
      </c>
      <c r="F505">
        <v>155</v>
      </c>
      <c r="G505">
        <v>3</v>
      </c>
      <c r="H505">
        <v>3</v>
      </c>
      <c r="I505">
        <v>430000</v>
      </c>
      <c r="J505">
        <v>2774.2</v>
      </c>
      <c r="K505">
        <v>1</v>
      </c>
      <c r="L505" t="s">
        <v>17</v>
      </c>
      <c r="M505">
        <v>71</v>
      </c>
      <c r="N505" t="s">
        <v>18</v>
      </c>
      <c r="P505" t="e">
        <f t="shared" si="70"/>
        <v>#N/A</v>
      </c>
      <c r="Q505" t="e">
        <f t="shared" si="71"/>
        <v>#N/A</v>
      </c>
      <c r="R505">
        <f t="shared" si="72"/>
        <v>430000</v>
      </c>
      <c r="S505">
        <f t="shared" si="73"/>
        <v>155</v>
      </c>
      <c r="T505" t="e">
        <f t="shared" si="74"/>
        <v>#N/A</v>
      </c>
      <c r="U505" t="e">
        <f t="shared" si="75"/>
        <v>#N/A</v>
      </c>
      <c r="V505" t="e">
        <f t="shared" si="76"/>
        <v>#N/A</v>
      </c>
      <c r="W505" t="e">
        <f t="shared" si="77"/>
        <v>#N/A</v>
      </c>
      <c r="X505" t="e">
        <f t="shared" si="78"/>
        <v>#N/A</v>
      </c>
      <c r="Y505" t="e">
        <f t="shared" si="79"/>
        <v>#N/A</v>
      </c>
    </row>
    <row r="506" spans="1:25" x14ac:dyDescent="0.2">
      <c r="A506">
        <v>1504</v>
      </c>
      <c r="B506" t="s">
        <v>32</v>
      </c>
      <c r="C506" t="s">
        <v>23</v>
      </c>
      <c r="D506">
        <v>2024</v>
      </c>
      <c r="E506" t="s">
        <v>26</v>
      </c>
      <c r="F506">
        <v>271</v>
      </c>
      <c r="G506">
        <v>4</v>
      </c>
      <c r="H506">
        <v>4</v>
      </c>
      <c r="I506">
        <v>972000</v>
      </c>
      <c r="J506">
        <v>3586.7</v>
      </c>
      <c r="K506">
        <v>0</v>
      </c>
      <c r="L506" t="s">
        <v>17</v>
      </c>
      <c r="M506">
        <v>152</v>
      </c>
      <c r="N506" t="s">
        <v>18</v>
      </c>
      <c r="P506" t="e">
        <f t="shared" si="70"/>
        <v>#N/A</v>
      </c>
      <c r="Q506" t="e">
        <f t="shared" si="71"/>
        <v>#N/A</v>
      </c>
      <c r="R506" t="e">
        <f t="shared" si="72"/>
        <v>#N/A</v>
      </c>
      <c r="S506" t="e">
        <f t="shared" si="73"/>
        <v>#N/A</v>
      </c>
      <c r="T506">
        <f t="shared" si="74"/>
        <v>972000</v>
      </c>
      <c r="U506">
        <f t="shared" si="75"/>
        <v>271</v>
      </c>
      <c r="V506" t="e">
        <f t="shared" si="76"/>
        <v>#N/A</v>
      </c>
      <c r="W506" t="e">
        <f t="shared" si="77"/>
        <v>#N/A</v>
      </c>
      <c r="X506" t="e">
        <f t="shared" si="78"/>
        <v>#N/A</v>
      </c>
      <c r="Y506" t="e">
        <f t="shared" si="79"/>
        <v>#N/A</v>
      </c>
    </row>
    <row r="507" spans="1:25" x14ac:dyDescent="0.2">
      <c r="A507">
        <v>1505</v>
      </c>
      <c r="B507" t="s">
        <v>28</v>
      </c>
      <c r="C507" t="s">
        <v>38</v>
      </c>
      <c r="D507">
        <v>2022</v>
      </c>
      <c r="E507" t="s">
        <v>24</v>
      </c>
      <c r="F507">
        <v>47</v>
      </c>
      <c r="G507">
        <v>0</v>
      </c>
      <c r="H507">
        <v>1</v>
      </c>
      <c r="I507">
        <v>168000</v>
      </c>
      <c r="J507">
        <v>3574.5</v>
      </c>
      <c r="K507">
        <v>7</v>
      </c>
      <c r="L507" t="s">
        <v>20</v>
      </c>
      <c r="M507">
        <v>160</v>
      </c>
      <c r="N507" t="s">
        <v>27</v>
      </c>
      <c r="P507" t="e">
        <f t="shared" si="70"/>
        <v>#N/A</v>
      </c>
      <c r="Q507" t="e">
        <f t="shared" si="71"/>
        <v>#N/A</v>
      </c>
      <c r="R507" t="e">
        <f t="shared" si="72"/>
        <v>#N/A</v>
      </c>
      <c r="S507" t="e">
        <f t="shared" si="73"/>
        <v>#N/A</v>
      </c>
      <c r="T507" t="e">
        <f t="shared" si="74"/>
        <v>#N/A</v>
      </c>
      <c r="U507" t="e">
        <f t="shared" si="75"/>
        <v>#N/A</v>
      </c>
      <c r="V507">
        <f t="shared" si="76"/>
        <v>168000</v>
      </c>
      <c r="W507">
        <f t="shared" si="77"/>
        <v>47</v>
      </c>
      <c r="X507" t="e">
        <f t="shared" si="78"/>
        <v>#N/A</v>
      </c>
      <c r="Y507" t="e">
        <f t="shared" si="79"/>
        <v>#N/A</v>
      </c>
    </row>
    <row r="508" spans="1:25" x14ac:dyDescent="0.2">
      <c r="A508">
        <v>1506</v>
      </c>
      <c r="B508" t="s">
        <v>42</v>
      </c>
      <c r="C508" t="s">
        <v>36</v>
      </c>
      <c r="D508">
        <v>2022</v>
      </c>
      <c r="E508" t="s">
        <v>30</v>
      </c>
      <c r="F508">
        <v>348</v>
      </c>
      <c r="G508">
        <v>5</v>
      </c>
      <c r="H508">
        <v>5</v>
      </c>
      <c r="I508">
        <v>1078000</v>
      </c>
      <c r="J508">
        <v>3097.7</v>
      </c>
      <c r="K508">
        <v>5</v>
      </c>
      <c r="L508" t="s">
        <v>17</v>
      </c>
      <c r="M508">
        <v>33</v>
      </c>
      <c r="N508" t="s">
        <v>21</v>
      </c>
      <c r="P508" t="e">
        <f t="shared" si="70"/>
        <v>#N/A</v>
      </c>
      <c r="Q508" t="e">
        <f t="shared" si="71"/>
        <v>#N/A</v>
      </c>
      <c r="R508" t="e">
        <f t="shared" si="72"/>
        <v>#N/A</v>
      </c>
      <c r="S508" t="e">
        <f t="shared" si="73"/>
        <v>#N/A</v>
      </c>
      <c r="T508" t="e">
        <f t="shared" si="74"/>
        <v>#N/A</v>
      </c>
      <c r="U508" t="e">
        <f t="shared" si="75"/>
        <v>#N/A</v>
      </c>
      <c r="V508" t="e">
        <f t="shared" si="76"/>
        <v>#N/A</v>
      </c>
      <c r="W508" t="e">
        <f t="shared" si="77"/>
        <v>#N/A</v>
      </c>
      <c r="X508">
        <f t="shared" si="78"/>
        <v>1078000</v>
      </c>
      <c r="Y508">
        <f t="shared" si="79"/>
        <v>348</v>
      </c>
    </row>
    <row r="509" spans="1:25" x14ac:dyDescent="0.2">
      <c r="A509">
        <v>1507</v>
      </c>
      <c r="B509" t="s">
        <v>37</v>
      </c>
      <c r="C509" t="s">
        <v>29</v>
      </c>
      <c r="D509">
        <v>2024</v>
      </c>
      <c r="E509" t="s">
        <v>26</v>
      </c>
      <c r="F509">
        <v>564</v>
      </c>
      <c r="G509">
        <v>5</v>
      </c>
      <c r="H509">
        <v>5</v>
      </c>
      <c r="I509">
        <v>3767000</v>
      </c>
      <c r="J509">
        <v>6679.1</v>
      </c>
      <c r="K509">
        <v>5</v>
      </c>
      <c r="L509" t="s">
        <v>17</v>
      </c>
      <c r="M509">
        <v>153</v>
      </c>
      <c r="N509" t="s">
        <v>27</v>
      </c>
      <c r="P509">
        <f t="shared" si="70"/>
        <v>3767000</v>
      </c>
      <c r="Q509">
        <f t="shared" si="71"/>
        <v>564</v>
      </c>
      <c r="R509" t="e">
        <f t="shared" si="72"/>
        <v>#N/A</v>
      </c>
      <c r="S509" t="e">
        <f t="shared" si="73"/>
        <v>#N/A</v>
      </c>
      <c r="T509" t="e">
        <f t="shared" si="74"/>
        <v>#N/A</v>
      </c>
      <c r="U509" t="e">
        <f t="shared" si="75"/>
        <v>#N/A</v>
      </c>
      <c r="V509" t="e">
        <f t="shared" si="76"/>
        <v>#N/A</v>
      </c>
      <c r="W509" t="e">
        <f t="shared" si="77"/>
        <v>#N/A</v>
      </c>
      <c r="X509" t="e">
        <f t="shared" si="78"/>
        <v>#N/A</v>
      </c>
      <c r="Y509" t="e">
        <f t="shared" si="79"/>
        <v>#N/A</v>
      </c>
    </row>
    <row r="510" spans="1:25" x14ac:dyDescent="0.2">
      <c r="A510">
        <v>1508</v>
      </c>
      <c r="B510" t="s">
        <v>46</v>
      </c>
      <c r="C510" t="s">
        <v>23</v>
      </c>
      <c r="D510">
        <v>2023</v>
      </c>
      <c r="E510" t="s">
        <v>26</v>
      </c>
      <c r="F510">
        <v>254</v>
      </c>
      <c r="G510">
        <v>3</v>
      </c>
      <c r="H510">
        <v>3</v>
      </c>
      <c r="I510">
        <v>1086000</v>
      </c>
      <c r="J510">
        <v>4275.6000000000004</v>
      </c>
      <c r="K510">
        <v>4</v>
      </c>
      <c r="L510" t="s">
        <v>17</v>
      </c>
      <c r="M510">
        <v>105</v>
      </c>
      <c r="N510" t="s">
        <v>18</v>
      </c>
      <c r="P510" t="e">
        <f t="shared" si="70"/>
        <v>#N/A</v>
      </c>
      <c r="Q510" t="e">
        <f t="shared" si="71"/>
        <v>#N/A</v>
      </c>
      <c r="R510" t="e">
        <f t="shared" si="72"/>
        <v>#N/A</v>
      </c>
      <c r="S510" t="e">
        <f t="shared" si="73"/>
        <v>#N/A</v>
      </c>
      <c r="T510">
        <f t="shared" si="74"/>
        <v>1086000</v>
      </c>
      <c r="U510">
        <f t="shared" si="75"/>
        <v>254</v>
      </c>
      <c r="V510" t="e">
        <f t="shared" si="76"/>
        <v>#N/A</v>
      </c>
      <c r="W510" t="e">
        <f t="shared" si="77"/>
        <v>#N/A</v>
      </c>
      <c r="X510" t="e">
        <f t="shared" si="78"/>
        <v>#N/A</v>
      </c>
      <c r="Y510" t="e">
        <f t="shared" si="79"/>
        <v>#N/A</v>
      </c>
    </row>
    <row r="511" spans="1:25" x14ac:dyDescent="0.2">
      <c r="A511">
        <v>1509</v>
      </c>
      <c r="B511" t="s">
        <v>39</v>
      </c>
      <c r="C511" t="s">
        <v>15</v>
      </c>
      <c r="D511">
        <v>2023</v>
      </c>
      <c r="E511" t="s">
        <v>26</v>
      </c>
      <c r="F511">
        <v>152</v>
      </c>
      <c r="G511">
        <v>2</v>
      </c>
      <c r="H511">
        <v>2</v>
      </c>
      <c r="I511">
        <v>607000</v>
      </c>
      <c r="J511">
        <v>3993.4</v>
      </c>
      <c r="K511">
        <v>7</v>
      </c>
      <c r="L511" t="s">
        <v>17</v>
      </c>
      <c r="M511">
        <v>121</v>
      </c>
      <c r="N511" t="s">
        <v>21</v>
      </c>
      <c r="P511" t="e">
        <f t="shared" si="70"/>
        <v>#N/A</v>
      </c>
      <c r="Q511" t="e">
        <f t="shared" si="71"/>
        <v>#N/A</v>
      </c>
      <c r="R511">
        <f t="shared" si="72"/>
        <v>607000</v>
      </c>
      <c r="S511">
        <f t="shared" si="73"/>
        <v>152</v>
      </c>
      <c r="T511" t="e">
        <f t="shared" si="74"/>
        <v>#N/A</v>
      </c>
      <c r="U511" t="e">
        <f t="shared" si="75"/>
        <v>#N/A</v>
      </c>
      <c r="V511" t="e">
        <f t="shared" si="76"/>
        <v>#N/A</v>
      </c>
      <c r="W511" t="e">
        <f t="shared" si="77"/>
        <v>#N/A</v>
      </c>
      <c r="X511" t="e">
        <f t="shared" si="78"/>
        <v>#N/A</v>
      </c>
      <c r="Y511" t="e">
        <f t="shared" si="79"/>
        <v>#N/A</v>
      </c>
    </row>
    <row r="512" spans="1:25" x14ac:dyDescent="0.2">
      <c r="A512">
        <v>1510</v>
      </c>
      <c r="B512" t="s">
        <v>31</v>
      </c>
      <c r="C512" t="s">
        <v>23</v>
      </c>
      <c r="D512">
        <v>2023</v>
      </c>
      <c r="E512" t="s">
        <v>30</v>
      </c>
      <c r="F512">
        <v>406</v>
      </c>
      <c r="G512">
        <v>3</v>
      </c>
      <c r="H512">
        <v>3</v>
      </c>
      <c r="I512">
        <v>1441000</v>
      </c>
      <c r="J512">
        <v>3549.3</v>
      </c>
      <c r="K512">
        <v>4</v>
      </c>
      <c r="L512" t="s">
        <v>17</v>
      </c>
      <c r="M512">
        <v>133</v>
      </c>
      <c r="N512" t="s">
        <v>21</v>
      </c>
      <c r="P512" t="e">
        <f t="shared" si="70"/>
        <v>#N/A</v>
      </c>
      <c r="Q512" t="e">
        <f t="shared" si="71"/>
        <v>#N/A</v>
      </c>
      <c r="R512" t="e">
        <f t="shared" si="72"/>
        <v>#N/A</v>
      </c>
      <c r="S512" t="e">
        <f t="shared" si="73"/>
        <v>#N/A</v>
      </c>
      <c r="T512">
        <f t="shared" si="74"/>
        <v>1441000</v>
      </c>
      <c r="U512">
        <f t="shared" si="75"/>
        <v>406</v>
      </c>
      <c r="V512" t="e">
        <f t="shared" si="76"/>
        <v>#N/A</v>
      </c>
      <c r="W512" t="e">
        <f t="shared" si="77"/>
        <v>#N/A</v>
      </c>
      <c r="X512" t="e">
        <f t="shared" si="78"/>
        <v>#N/A</v>
      </c>
      <c r="Y512" t="e">
        <f t="shared" si="79"/>
        <v>#N/A</v>
      </c>
    </row>
    <row r="513" spans="1:25" x14ac:dyDescent="0.2">
      <c r="A513">
        <v>1511</v>
      </c>
      <c r="B513" t="s">
        <v>42</v>
      </c>
      <c r="C513" t="s">
        <v>15</v>
      </c>
      <c r="D513">
        <v>2023</v>
      </c>
      <c r="E513" t="s">
        <v>24</v>
      </c>
      <c r="F513">
        <v>129</v>
      </c>
      <c r="G513">
        <v>3</v>
      </c>
      <c r="H513">
        <v>3</v>
      </c>
      <c r="I513">
        <v>589000</v>
      </c>
      <c r="J513">
        <v>4565.8999999999996</v>
      </c>
      <c r="K513">
        <v>10</v>
      </c>
      <c r="L513" t="s">
        <v>20</v>
      </c>
      <c r="M513">
        <v>114</v>
      </c>
      <c r="N513" t="s">
        <v>21</v>
      </c>
      <c r="P513" t="e">
        <f t="shared" si="70"/>
        <v>#N/A</v>
      </c>
      <c r="Q513" t="e">
        <f t="shared" si="71"/>
        <v>#N/A</v>
      </c>
      <c r="R513">
        <f t="shared" si="72"/>
        <v>589000</v>
      </c>
      <c r="S513">
        <f t="shared" si="73"/>
        <v>129</v>
      </c>
      <c r="T513" t="e">
        <f t="shared" si="74"/>
        <v>#N/A</v>
      </c>
      <c r="U513" t="e">
        <f t="shared" si="75"/>
        <v>#N/A</v>
      </c>
      <c r="V513" t="e">
        <f t="shared" si="76"/>
        <v>#N/A</v>
      </c>
      <c r="W513" t="e">
        <f t="shared" si="77"/>
        <v>#N/A</v>
      </c>
      <c r="X513" t="e">
        <f t="shared" si="78"/>
        <v>#N/A</v>
      </c>
      <c r="Y513" t="e">
        <f t="shared" si="79"/>
        <v>#N/A</v>
      </c>
    </row>
    <row r="514" spans="1:25" x14ac:dyDescent="0.2">
      <c r="A514">
        <v>1512</v>
      </c>
      <c r="B514" t="s">
        <v>33</v>
      </c>
      <c r="C514" t="s">
        <v>15</v>
      </c>
      <c r="D514">
        <v>2021</v>
      </c>
      <c r="E514" t="s">
        <v>24</v>
      </c>
      <c r="F514">
        <v>165</v>
      </c>
      <c r="G514">
        <v>2</v>
      </c>
      <c r="H514">
        <v>2</v>
      </c>
      <c r="I514">
        <v>368000</v>
      </c>
      <c r="J514">
        <v>2230.3000000000002</v>
      </c>
      <c r="K514">
        <v>0</v>
      </c>
      <c r="L514" t="s">
        <v>20</v>
      </c>
      <c r="M514">
        <v>142</v>
      </c>
      <c r="N514" t="s">
        <v>27</v>
      </c>
      <c r="P514" t="e">
        <f t="shared" si="70"/>
        <v>#N/A</v>
      </c>
      <c r="Q514" t="e">
        <f t="shared" si="71"/>
        <v>#N/A</v>
      </c>
      <c r="R514">
        <f t="shared" si="72"/>
        <v>368000</v>
      </c>
      <c r="S514">
        <f t="shared" si="73"/>
        <v>165</v>
      </c>
      <c r="T514" t="e">
        <f t="shared" si="74"/>
        <v>#N/A</v>
      </c>
      <c r="U514" t="e">
        <f t="shared" si="75"/>
        <v>#N/A</v>
      </c>
      <c r="V514" t="e">
        <f t="shared" si="76"/>
        <v>#N/A</v>
      </c>
      <c r="W514" t="e">
        <f t="shared" si="77"/>
        <v>#N/A</v>
      </c>
      <c r="X514" t="e">
        <f t="shared" si="78"/>
        <v>#N/A</v>
      </c>
      <c r="Y514" t="e">
        <f t="shared" si="79"/>
        <v>#N/A</v>
      </c>
    </row>
    <row r="515" spans="1:25" x14ac:dyDescent="0.2">
      <c r="A515">
        <v>1513</v>
      </c>
      <c r="B515" t="s">
        <v>35</v>
      </c>
      <c r="C515" t="s">
        <v>15</v>
      </c>
      <c r="D515">
        <v>2023</v>
      </c>
      <c r="E515" t="s">
        <v>24</v>
      </c>
      <c r="F515">
        <v>200</v>
      </c>
      <c r="G515">
        <v>3</v>
      </c>
      <c r="H515">
        <v>3</v>
      </c>
      <c r="I515">
        <v>776000</v>
      </c>
      <c r="J515">
        <v>3880</v>
      </c>
      <c r="K515">
        <v>1</v>
      </c>
      <c r="L515" t="s">
        <v>17</v>
      </c>
      <c r="M515">
        <v>28</v>
      </c>
      <c r="N515" t="s">
        <v>18</v>
      </c>
      <c r="P515" t="e">
        <f t="shared" ref="P515:P578" si="80">IF(C515="Villa", I515, NA())</f>
        <v>#N/A</v>
      </c>
      <c r="Q515" t="e">
        <f t="shared" ref="Q515:Q578" si="81">IF(C515="Villa", F515, NA())</f>
        <v>#N/A</v>
      </c>
      <c r="R515">
        <f t="shared" ref="R515:R578" si="82">IF(C515="Apartment",I515,NA())</f>
        <v>776000</v>
      </c>
      <c r="S515">
        <f t="shared" ref="S515:S578" si="83">IF(C515="Apartment",F515,NA())</f>
        <v>200</v>
      </c>
      <c r="T515" t="e">
        <f t="shared" ref="T515:T578" si="84">IF(C515="Duplex",I515,NA())</f>
        <v>#N/A</v>
      </c>
      <c r="U515" t="e">
        <f t="shared" ref="U515:U578" si="85">IF(C515="Duplex",F515,NA())</f>
        <v>#N/A</v>
      </c>
      <c r="V515" t="e">
        <f t="shared" ref="V515:V578" si="86">IF(C515="Studio",I515,NA())</f>
        <v>#N/A</v>
      </c>
      <c r="W515" t="e">
        <f t="shared" ref="W515:W578" si="87">IF(C515="Studio",F515,NA())</f>
        <v>#N/A</v>
      </c>
      <c r="X515" t="e">
        <f t="shared" ref="X515:X578" si="88">IF(C515="Floor",I515,NA())</f>
        <v>#N/A</v>
      </c>
      <c r="Y515" t="e">
        <f t="shared" ref="Y515:Y578" si="89">IF(C515="Floor",F515,NA())</f>
        <v>#N/A</v>
      </c>
    </row>
    <row r="516" spans="1:25" x14ac:dyDescent="0.2">
      <c r="A516">
        <v>1514</v>
      </c>
      <c r="B516" t="s">
        <v>48</v>
      </c>
      <c r="C516" t="s">
        <v>15</v>
      </c>
      <c r="D516">
        <v>2022</v>
      </c>
      <c r="E516" t="s">
        <v>24</v>
      </c>
      <c r="F516">
        <v>163</v>
      </c>
      <c r="G516">
        <v>3</v>
      </c>
      <c r="H516">
        <v>3</v>
      </c>
      <c r="I516">
        <v>495000</v>
      </c>
      <c r="J516">
        <v>3036.8</v>
      </c>
      <c r="K516">
        <v>15</v>
      </c>
      <c r="L516" t="s">
        <v>17</v>
      </c>
      <c r="M516">
        <v>16</v>
      </c>
      <c r="N516" t="s">
        <v>27</v>
      </c>
      <c r="P516" t="e">
        <f t="shared" si="80"/>
        <v>#N/A</v>
      </c>
      <c r="Q516" t="e">
        <f t="shared" si="81"/>
        <v>#N/A</v>
      </c>
      <c r="R516">
        <f t="shared" si="82"/>
        <v>495000</v>
      </c>
      <c r="S516">
        <f t="shared" si="83"/>
        <v>163</v>
      </c>
      <c r="T516" t="e">
        <f t="shared" si="84"/>
        <v>#N/A</v>
      </c>
      <c r="U516" t="e">
        <f t="shared" si="85"/>
        <v>#N/A</v>
      </c>
      <c r="V516" t="e">
        <f t="shared" si="86"/>
        <v>#N/A</v>
      </c>
      <c r="W516" t="e">
        <f t="shared" si="87"/>
        <v>#N/A</v>
      </c>
      <c r="X516" t="e">
        <f t="shared" si="88"/>
        <v>#N/A</v>
      </c>
      <c r="Y516" t="e">
        <f t="shared" si="89"/>
        <v>#N/A</v>
      </c>
    </row>
    <row r="517" spans="1:25" x14ac:dyDescent="0.2">
      <c r="A517">
        <v>1515</v>
      </c>
      <c r="B517" t="s">
        <v>45</v>
      </c>
      <c r="C517" t="s">
        <v>29</v>
      </c>
      <c r="D517">
        <v>2022</v>
      </c>
      <c r="E517" t="s">
        <v>26</v>
      </c>
      <c r="F517">
        <v>509</v>
      </c>
      <c r="G517">
        <v>5</v>
      </c>
      <c r="H517">
        <v>5</v>
      </c>
      <c r="I517">
        <v>3128000</v>
      </c>
      <c r="J517">
        <v>6145.4</v>
      </c>
      <c r="K517">
        <v>3</v>
      </c>
      <c r="L517" t="s">
        <v>17</v>
      </c>
      <c r="M517">
        <v>38</v>
      </c>
      <c r="N517" t="s">
        <v>21</v>
      </c>
      <c r="P517">
        <f t="shared" si="80"/>
        <v>3128000</v>
      </c>
      <c r="Q517">
        <f t="shared" si="81"/>
        <v>509</v>
      </c>
      <c r="R517" t="e">
        <f t="shared" si="82"/>
        <v>#N/A</v>
      </c>
      <c r="S517" t="e">
        <f t="shared" si="83"/>
        <v>#N/A</v>
      </c>
      <c r="T517" t="e">
        <f t="shared" si="84"/>
        <v>#N/A</v>
      </c>
      <c r="U517" t="e">
        <f t="shared" si="85"/>
        <v>#N/A</v>
      </c>
      <c r="V517" t="e">
        <f t="shared" si="86"/>
        <v>#N/A</v>
      </c>
      <c r="W517" t="e">
        <f t="shared" si="87"/>
        <v>#N/A</v>
      </c>
      <c r="X517" t="e">
        <f t="shared" si="88"/>
        <v>#N/A</v>
      </c>
      <c r="Y517" t="e">
        <f t="shared" si="89"/>
        <v>#N/A</v>
      </c>
    </row>
    <row r="518" spans="1:25" x14ac:dyDescent="0.2">
      <c r="A518">
        <v>1516</v>
      </c>
      <c r="B518" t="s">
        <v>28</v>
      </c>
      <c r="C518" t="s">
        <v>15</v>
      </c>
      <c r="D518">
        <v>2023</v>
      </c>
      <c r="E518" t="s">
        <v>30</v>
      </c>
      <c r="F518">
        <v>170</v>
      </c>
      <c r="G518">
        <v>2</v>
      </c>
      <c r="H518">
        <v>2</v>
      </c>
      <c r="I518">
        <v>535000</v>
      </c>
      <c r="J518">
        <v>3147.1</v>
      </c>
      <c r="K518">
        <v>4</v>
      </c>
      <c r="L518" t="s">
        <v>17</v>
      </c>
      <c r="M518">
        <v>171</v>
      </c>
      <c r="N518" t="s">
        <v>27</v>
      </c>
      <c r="P518" t="e">
        <f t="shared" si="80"/>
        <v>#N/A</v>
      </c>
      <c r="Q518" t="e">
        <f t="shared" si="81"/>
        <v>#N/A</v>
      </c>
      <c r="R518">
        <f t="shared" si="82"/>
        <v>535000</v>
      </c>
      <c r="S518">
        <f t="shared" si="83"/>
        <v>170</v>
      </c>
      <c r="T518" t="e">
        <f t="shared" si="84"/>
        <v>#N/A</v>
      </c>
      <c r="U518" t="e">
        <f t="shared" si="85"/>
        <v>#N/A</v>
      </c>
      <c r="V518" t="e">
        <f t="shared" si="86"/>
        <v>#N/A</v>
      </c>
      <c r="W518" t="e">
        <f t="shared" si="87"/>
        <v>#N/A</v>
      </c>
      <c r="X518" t="e">
        <f t="shared" si="88"/>
        <v>#N/A</v>
      </c>
      <c r="Y518" t="e">
        <f t="shared" si="89"/>
        <v>#N/A</v>
      </c>
    </row>
    <row r="519" spans="1:25" x14ac:dyDescent="0.2">
      <c r="A519">
        <v>1517</v>
      </c>
      <c r="B519" t="s">
        <v>31</v>
      </c>
      <c r="C519" t="s">
        <v>15</v>
      </c>
      <c r="D519">
        <v>2024</v>
      </c>
      <c r="E519" t="s">
        <v>26</v>
      </c>
      <c r="F519">
        <v>160</v>
      </c>
      <c r="G519">
        <v>3</v>
      </c>
      <c r="H519">
        <v>3</v>
      </c>
      <c r="I519">
        <v>503000</v>
      </c>
      <c r="J519">
        <v>3143.8</v>
      </c>
      <c r="K519">
        <v>2</v>
      </c>
      <c r="L519" t="s">
        <v>34</v>
      </c>
      <c r="M519">
        <v>69</v>
      </c>
      <c r="N519" t="s">
        <v>21</v>
      </c>
      <c r="P519" t="e">
        <f t="shared" si="80"/>
        <v>#N/A</v>
      </c>
      <c r="Q519" t="e">
        <f t="shared" si="81"/>
        <v>#N/A</v>
      </c>
      <c r="R519">
        <f t="shared" si="82"/>
        <v>503000</v>
      </c>
      <c r="S519">
        <f t="shared" si="83"/>
        <v>160</v>
      </c>
      <c r="T519" t="e">
        <f t="shared" si="84"/>
        <v>#N/A</v>
      </c>
      <c r="U519" t="e">
        <f t="shared" si="85"/>
        <v>#N/A</v>
      </c>
      <c r="V519" t="e">
        <f t="shared" si="86"/>
        <v>#N/A</v>
      </c>
      <c r="W519" t="e">
        <f t="shared" si="87"/>
        <v>#N/A</v>
      </c>
      <c r="X519" t="e">
        <f t="shared" si="88"/>
        <v>#N/A</v>
      </c>
      <c r="Y519" t="e">
        <f t="shared" si="89"/>
        <v>#N/A</v>
      </c>
    </row>
    <row r="520" spans="1:25" x14ac:dyDescent="0.2">
      <c r="A520">
        <v>1518</v>
      </c>
      <c r="B520" t="s">
        <v>32</v>
      </c>
      <c r="C520" t="s">
        <v>36</v>
      </c>
      <c r="D520">
        <v>2021</v>
      </c>
      <c r="E520" t="s">
        <v>30</v>
      </c>
      <c r="F520">
        <v>433</v>
      </c>
      <c r="G520">
        <v>4</v>
      </c>
      <c r="H520">
        <v>4</v>
      </c>
      <c r="I520">
        <v>794000</v>
      </c>
      <c r="J520">
        <v>1833.7</v>
      </c>
      <c r="K520">
        <v>2</v>
      </c>
      <c r="L520" t="s">
        <v>34</v>
      </c>
      <c r="M520">
        <v>46</v>
      </c>
      <c r="N520" t="s">
        <v>18</v>
      </c>
      <c r="P520" t="e">
        <f t="shared" si="80"/>
        <v>#N/A</v>
      </c>
      <c r="Q520" t="e">
        <f t="shared" si="81"/>
        <v>#N/A</v>
      </c>
      <c r="R520" t="e">
        <f t="shared" si="82"/>
        <v>#N/A</v>
      </c>
      <c r="S520" t="e">
        <f t="shared" si="83"/>
        <v>#N/A</v>
      </c>
      <c r="T520" t="e">
        <f t="shared" si="84"/>
        <v>#N/A</v>
      </c>
      <c r="U520" t="e">
        <f t="shared" si="85"/>
        <v>#N/A</v>
      </c>
      <c r="V520" t="e">
        <f t="shared" si="86"/>
        <v>#N/A</v>
      </c>
      <c r="W520" t="e">
        <f t="shared" si="87"/>
        <v>#N/A</v>
      </c>
      <c r="X520">
        <f t="shared" si="88"/>
        <v>794000</v>
      </c>
      <c r="Y520">
        <f t="shared" si="89"/>
        <v>433</v>
      </c>
    </row>
    <row r="521" spans="1:25" x14ac:dyDescent="0.2">
      <c r="A521">
        <v>1519</v>
      </c>
      <c r="B521" t="s">
        <v>33</v>
      </c>
      <c r="C521" t="s">
        <v>15</v>
      </c>
      <c r="D521">
        <v>2022</v>
      </c>
      <c r="E521" t="s">
        <v>16</v>
      </c>
      <c r="F521">
        <v>164</v>
      </c>
      <c r="G521">
        <v>3</v>
      </c>
      <c r="H521">
        <v>3</v>
      </c>
      <c r="I521">
        <v>435000</v>
      </c>
      <c r="J521">
        <v>2652.4</v>
      </c>
      <c r="K521">
        <v>0</v>
      </c>
      <c r="L521" t="s">
        <v>20</v>
      </c>
      <c r="M521">
        <v>13</v>
      </c>
      <c r="N521" t="s">
        <v>27</v>
      </c>
      <c r="P521" t="e">
        <f t="shared" si="80"/>
        <v>#N/A</v>
      </c>
      <c r="Q521" t="e">
        <f t="shared" si="81"/>
        <v>#N/A</v>
      </c>
      <c r="R521">
        <f t="shared" si="82"/>
        <v>435000</v>
      </c>
      <c r="S521">
        <f t="shared" si="83"/>
        <v>164</v>
      </c>
      <c r="T521" t="e">
        <f t="shared" si="84"/>
        <v>#N/A</v>
      </c>
      <c r="U521" t="e">
        <f t="shared" si="85"/>
        <v>#N/A</v>
      </c>
      <c r="V521" t="e">
        <f t="shared" si="86"/>
        <v>#N/A</v>
      </c>
      <c r="W521" t="e">
        <f t="shared" si="87"/>
        <v>#N/A</v>
      </c>
      <c r="X521" t="e">
        <f t="shared" si="88"/>
        <v>#N/A</v>
      </c>
      <c r="Y521" t="e">
        <f t="shared" si="89"/>
        <v>#N/A</v>
      </c>
    </row>
    <row r="522" spans="1:25" x14ac:dyDescent="0.2">
      <c r="A522">
        <v>1520</v>
      </c>
      <c r="B522" t="s">
        <v>42</v>
      </c>
      <c r="C522" t="s">
        <v>15</v>
      </c>
      <c r="D522">
        <v>2021</v>
      </c>
      <c r="E522" t="s">
        <v>26</v>
      </c>
      <c r="F522">
        <v>140</v>
      </c>
      <c r="G522">
        <v>3</v>
      </c>
      <c r="H522">
        <v>3</v>
      </c>
      <c r="I522">
        <v>545000</v>
      </c>
      <c r="J522">
        <v>3892.9</v>
      </c>
      <c r="K522">
        <v>1</v>
      </c>
      <c r="L522" t="s">
        <v>20</v>
      </c>
      <c r="M522">
        <v>17</v>
      </c>
      <c r="N522" t="s">
        <v>21</v>
      </c>
      <c r="P522" t="e">
        <f t="shared" si="80"/>
        <v>#N/A</v>
      </c>
      <c r="Q522" t="e">
        <f t="shared" si="81"/>
        <v>#N/A</v>
      </c>
      <c r="R522">
        <f t="shared" si="82"/>
        <v>545000</v>
      </c>
      <c r="S522">
        <f t="shared" si="83"/>
        <v>140</v>
      </c>
      <c r="T522" t="e">
        <f t="shared" si="84"/>
        <v>#N/A</v>
      </c>
      <c r="U522" t="e">
        <f t="shared" si="85"/>
        <v>#N/A</v>
      </c>
      <c r="V522" t="e">
        <f t="shared" si="86"/>
        <v>#N/A</v>
      </c>
      <c r="W522" t="e">
        <f t="shared" si="87"/>
        <v>#N/A</v>
      </c>
      <c r="X522" t="e">
        <f t="shared" si="88"/>
        <v>#N/A</v>
      </c>
      <c r="Y522" t="e">
        <f t="shared" si="89"/>
        <v>#N/A</v>
      </c>
    </row>
    <row r="523" spans="1:25" x14ac:dyDescent="0.2">
      <c r="A523">
        <v>1521</v>
      </c>
      <c r="B523" t="s">
        <v>25</v>
      </c>
      <c r="C523" t="s">
        <v>23</v>
      </c>
      <c r="D523">
        <v>2022</v>
      </c>
      <c r="E523" t="s">
        <v>30</v>
      </c>
      <c r="F523">
        <v>287</v>
      </c>
      <c r="G523">
        <v>3</v>
      </c>
      <c r="H523">
        <v>3</v>
      </c>
      <c r="I523">
        <v>852000</v>
      </c>
      <c r="J523">
        <v>2968.6</v>
      </c>
      <c r="K523">
        <v>7</v>
      </c>
      <c r="L523" t="s">
        <v>34</v>
      </c>
      <c r="M523">
        <v>102</v>
      </c>
      <c r="N523" t="s">
        <v>27</v>
      </c>
      <c r="P523" t="e">
        <f t="shared" si="80"/>
        <v>#N/A</v>
      </c>
      <c r="Q523" t="e">
        <f t="shared" si="81"/>
        <v>#N/A</v>
      </c>
      <c r="R523" t="e">
        <f t="shared" si="82"/>
        <v>#N/A</v>
      </c>
      <c r="S523" t="e">
        <f t="shared" si="83"/>
        <v>#N/A</v>
      </c>
      <c r="T523">
        <f t="shared" si="84"/>
        <v>852000</v>
      </c>
      <c r="U523">
        <f t="shared" si="85"/>
        <v>287</v>
      </c>
      <c r="V523" t="e">
        <f t="shared" si="86"/>
        <v>#N/A</v>
      </c>
      <c r="W523" t="e">
        <f t="shared" si="87"/>
        <v>#N/A</v>
      </c>
      <c r="X523" t="e">
        <f t="shared" si="88"/>
        <v>#N/A</v>
      </c>
      <c r="Y523" t="e">
        <f t="shared" si="89"/>
        <v>#N/A</v>
      </c>
    </row>
    <row r="524" spans="1:25" x14ac:dyDescent="0.2">
      <c r="A524">
        <v>1522</v>
      </c>
      <c r="B524" t="s">
        <v>22</v>
      </c>
      <c r="C524" t="s">
        <v>38</v>
      </c>
      <c r="D524">
        <v>2022</v>
      </c>
      <c r="E524" t="s">
        <v>24</v>
      </c>
      <c r="F524">
        <v>59</v>
      </c>
      <c r="G524">
        <v>0</v>
      </c>
      <c r="H524">
        <v>1</v>
      </c>
      <c r="I524">
        <v>282000</v>
      </c>
      <c r="J524">
        <v>4779.7</v>
      </c>
      <c r="K524">
        <v>3</v>
      </c>
      <c r="L524" t="s">
        <v>34</v>
      </c>
      <c r="M524">
        <v>139</v>
      </c>
      <c r="N524" t="s">
        <v>18</v>
      </c>
      <c r="P524" t="e">
        <f t="shared" si="80"/>
        <v>#N/A</v>
      </c>
      <c r="Q524" t="e">
        <f t="shared" si="81"/>
        <v>#N/A</v>
      </c>
      <c r="R524" t="e">
        <f t="shared" si="82"/>
        <v>#N/A</v>
      </c>
      <c r="S524" t="e">
        <f t="shared" si="83"/>
        <v>#N/A</v>
      </c>
      <c r="T524" t="e">
        <f t="shared" si="84"/>
        <v>#N/A</v>
      </c>
      <c r="U524" t="e">
        <f t="shared" si="85"/>
        <v>#N/A</v>
      </c>
      <c r="V524">
        <f t="shared" si="86"/>
        <v>282000</v>
      </c>
      <c r="W524">
        <f t="shared" si="87"/>
        <v>59</v>
      </c>
      <c r="X524" t="e">
        <f t="shared" si="88"/>
        <v>#N/A</v>
      </c>
      <c r="Y524" t="e">
        <f t="shared" si="89"/>
        <v>#N/A</v>
      </c>
    </row>
    <row r="525" spans="1:25" x14ac:dyDescent="0.2">
      <c r="A525">
        <v>1523</v>
      </c>
      <c r="B525" t="s">
        <v>32</v>
      </c>
      <c r="C525" t="s">
        <v>15</v>
      </c>
      <c r="D525">
        <v>2021</v>
      </c>
      <c r="E525" t="s">
        <v>24</v>
      </c>
      <c r="F525">
        <v>133</v>
      </c>
      <c r="G525">
        <v>2</v>
      </c>
      <c r="H525">
        <v>2</v>
      </c>
      <c r="I525">
        <v>336000</v>
      </c>
      <c r="J525">
        <v>2526.3000000000002</v>
      </c>
      <c r="K525">
        <v>20</v>
      </c>
      <c r="L525" t="s">
        <v>20</v>
      </c>
      <c r="M525">
        <v>147</v>
      </c>
      <c r="N525" t="s">
        <v>18</v>
      </c>
      <c r="P525" t="e">
        <f t="shared" si="80"/>
        <v>#N/A</v>
      </c>
      <c r="Q525" t="e">
        <f t="shared" si="81"/>
        <v>#N/A</v>
      </c>
      <c r="R525">
        <f t="shared" si="82"/>
        <v>336000</v>
      </c>
      <c r="S525">
        <f t="shared" si="83"/>
        <v>133</v>
      </c>
      <c r="T525" t="e">
        <f t="shared" si="84"/>
        <v>#N/A</v>
      </c>
      <c r="U525" t="e">
        <f t="shared" si="85"/>
        <v>#N/A</v>
      </c>
      <c r="V525" t="e">
        <f t="shared" si="86"/>
        <v>#N/A</v>
      </c>
      <c r="W525" t="e">
        <f t="shared" si="87"/>
        <v>#N/A</v>
      </c>
      <c r="X525" t="e">
        <f t="shared" si="88"/>
        <v>#N/A</v>
      </c>
      <c r="Y525" t="e">
        <f t="shared" si="89"/>
        <v>#N/A</v>
      </c>
    </row>
    <row r="526" spans="1:25" x14ac:dyDescent="0.2">
      <c r="A526">
        <v>1524</v>
      </c>
      <c r="B526" t="s">
        <v>22</v>
      </c>
      <c r="C526" t="s">
        <v>29</v>
      </c>
      <c r="D526">
        <v>2024</v>
      </c>
      <c r="E526" t="s">
        <v>16</v>
      </c>
      <c r="F526">
        <v>435</v>
      </c>
      <c r="G526">
        <v>6</v>
      </c>
      <c r="H526">
        <v>6</v>
      </c>
      <c r="I526">
        <v>2669000</v>
      </c>
      <c r="J526">
        <v>6135.6</v>
      </c>
      <c r="K526">
        <v>0</v>
      </c>
      <c r="L526" t="s">
        <v>34</v>
      </c>
      <c r="M526">
        <v>40</v>
      </c>
      <c r="N526" t="s">
        <v>18</v>
      </c>
      <c r="P526">
        <f t="shared" si="80"/>
        <v>2669000</v>
      </c>
      <c r="Q526">
        <f t="shared" si="81"/>
        <v>435</v>
      </c>
      <c r="R526" t="e">
        <f t="shared" si="82"/>
        <v>#N/A</v>
      </c>
      <c r="S526" t="e">
        <f t="shared" si="83"/>
        <v>#N/A</v>
      </c>
      <c r="T526" t="e">
        <f t="shared" si="84"/>
        <v>#N/A</v>
      </c>
      <c r="U526" t="e">
        <f t="shared" si="85"/>
        <v>#N/A</v>
      </c>
      <c r="V526" t="e">
        <f t="shared" si="86"/>
        <v>#N/A</v>
      </c>
      <c r="W526" t="e">
        <f t="shared" si="87"/>
        <v>#N/A</v>
      </c>
      <c r="X526" t="e">
        <f t="shared" si="88"/>
        <v>#N/A</v>
      </c>
      <c r="Y526" t="e">
        <f t="shared" si="89"/>
        <v>#N/A</v>
      </c>
    </row>
    <row r="527" spans="1:25" x14ac:dyDescent="0.2">
      <c r="A527">
        <v>1525</v>
      </c>
      <c r="B527" t="s">
        <v>14</v>
      </c>
      <c r="C527" t="s">
        <v>38</v>
      </c>
      <c r="D527">
        <v>2023</v>
      </c>
      <c r="E527" t="s">
        <v>30</v>
      </c>
      <c r="F527">
        <v>55</v>
      </c>
      <c r="G527">
        <v>0</v>
      </c>
      <c r="H527">
        <v>1</v>
      </c>
      <c r="I527">
        <v>272000</v>
      </c>
      <c r="J527">
        <v>4945.5</v>
      </c>
      <c r="K527">
        <v>10</v>
      </c>
      <c r="L527" t="s">
        <v>34</v>
      </c>
      <c r="M527">
        <v>4</v>
      </c>
      <c r="N527" t="s">
        <v>18</v>
      </c>
      <c r="P527" t="e">
        <f t="shared" si="80"/>
        <v>#N/A</v>
      </c>
      <c r="Q527" t="e">
        <f t="shared" si="81"/>
        <v>#N/A</v>
      </c>
      <c r="R527" t="e">
        <f t="shared" si="82"/>
        <v>#N/A</v>
      </c>
      <c r="S527" t="e">
        <f t="shared" si="83"/>
        <v>#N/A</v>
      </c>
      <c r="T527" t="e">
        <f t="shared" si="84"/>
        <v>#N/A</v>
      </c>
      <c r="U527" t="e">
        <f t="shared" si="85"/>
        <v>#N/A</v>
      </c>
      <c r="V527">
        <f t="shared" si="86"/>
        <v>272000</v>
      </c>
      <c r="W527">
        <f t="shared" si="87"/>
        <v>55</v>
      </c>
      <c r="X527" t="e">
        <f t="shared" si="88"/>
        <v>#N/A</v>
      </c>
      <c r="Y527" t="e">
        <f t="shared" si="89"/>
        <v>#N/A</v>
      </c>
    </row>
    <row r="528" spans="1:25" x14ac:dyDescent="0.2">
      <c r="A528">
        <v>1526</v>
      </c>
      <c r="B528" t="s">
        <v>43</v>
      </c>
      <c r="C528" t="s">
        <v>15</v>
      </c>
      <c r="D528">
        <v>2021</v>
      </c>
      <c r="E528" t="s">
        <v>30</v>
      </c>
      <c r="F528">
        <v>164</v>
      </c>
      <c r="G528">
        <v>4</v>
      </c>
      <c r="H528">
        <v>4</v>
      </c>
      <c r="I528">
        <v>645000</v>
      </c>
      <c r="J528">
        <v>3932.9</v>
      </c>
      <c r="K528">
        <v>2</v>
      </c>
      <c r="L528" t="s">
        <v>17</v>
      </c>
      <c r="M528">
        <v>1</v>
      </c>
      <c r="N528" t="s">
        <v>27</v>
      </c>
      <c r="P528" t="e">
        <f t="shared" si="80"/>
        <v>#N/A</v>
      </c>
      <c r="Q528" t="e">
        <f t="shared" si="81"/>
        <v>#N/A</v>
      </c>
      <c r="R528">
        <f t="shared" si="82"/>
        <v>645000</v>
      </c>
      <c r="S528">
        <f t="shared" si="83"/>
        <v>164</v>
      </c>
      <c r="T528" t="e">
        <f t="shared" si="84"/>
        <v>#N/A</v>
      </c>
      <c r="U528" t="e">
        <f t="shared" si="85"/>
        <v>#N/A</v>
      </c>
      <c r="V528" t="e">
        <f t="shared" si="86"/>
        <v>#N/A</v>
      </c>
      <c r="W528" t="e">
        <f t="shared" si="87"/>
        <v>#N/A</v>
      </c>
      <c r="X528" t="e">
        <f t="shared" si="88"/>
        <v>#N/A</v>
      </c>
      <c r="Y528" t="e">
        <f t="shared" si="89"/>
        <v>#N/A</v>
      </c>
    </row>
    <row r="529" spans="1:25" x14ac:dyDescent="0.2">
      <c r="A529">
        <v>1527</v>
      </c>
      <c r="B529" t="s">
        <v>43</v>
      </c>
      <c r="C529" t="s">
        <v>29</v>
      </c>
      <c r="D529">
        <v>2024</v>
      </c>
      <c r="E529" t="s">
        <v>30</v>
      </c>
      <c r="F529">
        <v>593</v>
      </c>
      <c r="G529">
        <v>6</v>
      </c>
      <c r="H529">
        <v>6</v>
      </c>
      <c r="I529">
        <v>3946000</v>
      </c>
      <c r="J529">
        <v>6654.3</v>
      </c>
      <c r="K529">
        <v>10</v>
      </c>
      <c r="L529" t="s">
        <v>17</v>
      </c>
      <c r="M529">
        <v>103</v>
      </c>
      <c r="N529" t="s">
        <v>27</v>
      </c>
      <c r="P529">
        <f t="shared" si="80"/>
        <v>3946000</v>
      </c>
      <c r="Q529">
        <f t="shared" si="81"/>
        <v>593</v>
      </c>
      <c r="R529" t="e">
        <f t="shared" si="82"/>
        <v>#N/A</v>
      </c>
      <c r="S529" t="e">
        <f t="shared" si="83"/>
        <v>#N/A</v>
      </c>
      <c r="T529" t="e">
        <f t="shared" si="84"/>
        <v>#N/A</v>
      </c>
      <c r="U529" t="e">
        <f t="shared" si="85"/>
        <v>#N/A</v>
      </c>
      <c r="V529" t="e">
        <f t="shared" si="86"/>
        <v>#N/A</v>
      </c>
      <c r="W529" t="e">
        <f t="shared" si="87"/>
        <v>#N/A</v>
      </c>
      <c r="X529" t="e">
        <f t="shared" si="88"/>
        <v>#N/A</v>
      </c>
      <c r="Y529" t="e">
        <f t="shared" si="89"/>
        <v>#N/A</v>
      </c>
    </row>
    <row r="530" spans="1:25" x14ac:dyDescent="0.2">
      <c r="A530">
        <v>1528</v>
      </c>
      <c r="B530" t="s">
        <v>28</v>
      </c>
      <c r="C530" t="s">
        <v>15</v>
      </c>
      <c r="D530">
        <v>2023</v>
      </c>
      <c r="E530" t="s">
        <v>26</v>
      </c>
      <c r="F530">
        <v>152</v>
      </c>
      <c r="G530">
        <v>2</v>
      </c>
      <c r="H530">
        <v>2</v>
      </c>
      <c r="I530">
        <v>498000</v>
      </c>
      <c r="J530">
        <v>3276.3</v>
      </c>
      <c r="K530">
        <v>15</v>
      </c>
      <c r="L530" t="s">
        <v>17</v>
      </c>
      <c r="M530">
        <v>152</v>
      </c>
      <c r="N530" t="s">
        <v>27</v>
      </c>
      <c r="P530" t="e">
        <f t="shared" si="80"/>
        <v>#N/A</v>
      </c>
      <c r="Q530" t="e">
        <f t="shared" si="81"/>
        <v>#N/A</v>
      </c>
      <c r="R530">
        <f t="shared" si="82"/>
        <v>498000</v>
      </c>
      <c r="S530">
        <f t="shared" si="83"/>
        <v>152</v>
      </c>
      <c r="T530" t="e">
        <f t="shared" si="84"/>
        <v>#N/A</v>
      </c>
      <c r="U530" t="e">
        <f t="shared" si="85"/>
        <v>#N/A</v>
      </c>
      <c r="V530" t="e">
        <f t="shared" si="86"/>
        <v>#N/A</v>
      </c>
      <c r="W530" t="e">
        <f t="shared" si="87"/>
        <v>#N/A</v>
      </c>
      <c r="X530" t="e">
        <f t="shared" si="88"/>
        <v>#N/A</v>
      </c>
      <c r="Y530" t="e">
        <f t="shared" si="89"/>
        <v>#N/A</v>
      </c>
    </row>
    <row r="531" spans="1:25" x14ac:dyDescent="0.2">
      <c r="A531">
        <v>1529</v>
      </c>
      <c r="B531" t="s">
        <v>44</v>
      </c>
      <c r="C531" t="s">
        <v>29</v>
      </c>
      <c r="D531">
        <v>2022</v>
      </c>
      <c r="E531" t="s">
        <v>30</v>
      </c>
      <c r="F531">
        <v>546</v>
      </c>
      <c r="G531">
        <v>5</v>
      </c>
      <c r="H531">
        <v>5</v>
      </c>
      <c r="I531">
        <v>2405000</v>
      </c>
      <c r="J531">
        <v>4404.8</v>
      </c>
      <c r="K531">
        <v>3</v>
      </c>
      <c r="L531" t="s">
        <v>20</v>
      </c>
      <c r="M531">
        <v>124</v>
      </c>
      <c r="N531" t="s">
        <v>18</v>
      </c>
      <c r="P531">
        <f t="shared" si="80"/>
        <v>2405000</v>
      </c>
      <c r="Q531">
        <f t="shared" si="81"/>
        <v>546</v>
      </c>
      <c r="R531" t="e">
        <f t="shared" si="82"/>
        <v>#N/A</v>
      </c>
      <c r="S531" t="e">
        <f t="shared" si="83"/>
        <v>#N/A</v>
      </c>
      <c r="T531" t="e">
        <f t="shared" si="84"/>
        <v>#N/A</v>
      </c>
      <c r="U531" t="e">
        <f t="shared" si="85"/>
        <v>#N/A</v>
      </c>
      <c r="V531" t="e">
        <f t="shared" si="86"/>
        <v>#N/A</v>
      </c>
      <c r="W531" t="e">
        <f t="shared" si="87"/>
        <v>#N/A</v>
      </c>
      <c r="X531" t="e">
        <f t="shared" si="88"/>
        <v>#N/A</v>
      </c>
      <c r="Y531" t="e">
        <f t="shared" si="89"/>
        <v>#N/A</v>
      </c>
    </row>
    <row r="532" spans="1:25" x14ac:dyDescent="0.2">
      <c r="A532">
        <v>1530</v>
      </c>
      <c r="B532" t="s">
        <v>43</v>
      </c>
      <c r="C532" t="s">
        <v>15</v>
      </c>
      <c r="D532">
        <v>2024</v>
      </c>
      <c r="E532" t="s">
        <v>16</v>
      </c>
      <c r="F532">
        <v>163</v>
      </c>
      <c r="G532">
        <v>3</v>
      </c>
      <c r="H532">
        <v>3</v>
      </c>
      <c r="I532">
        <v>713000</v>
      </c>
      <c r="J532">
        <v>4374.2</v>
      </c>
      <c r="K532">
        <v>7</v>
      </c>
      <c r="L532" t="s">
        <v>17</v>
      </c>
      <c r="M532">
        <v>89</v>
      </c>
      <c r="N532" t="s">
        <v>27</v>
      </c>
      <c r="P532" t="e">
        <f t="shared" si="80"/>
        <v>#N/A</v>
      </c>
      <c r="Q532" t="e">
        <f t="shared" si="81"/>
        <v>#N/A</v>
      </c>
      <c r="R532">
        <f t="shared" si="82"/>
        <v>713000</v>
      </c>
      <c r="S532">
        <f t="shared" si="83"/>
        <v>163</v>
      </c>
      <c r="T532" t="e">
        <f t="shared" si="84"/>
        <v>#N/A</v>
      </c>
      <c r="U532" t="e">
        <f t="shared" si="85"/>
        <v>#N/A</v>
      </c>
      <c r="V532" t="e">
        <f t="shared" si="86"/>
        <v>#N/A</v>
      </c>
      <c r="W532" t="e">
        <f t="shared" si="87"/>
        <v>#N/A</v>
      </c>
      <c r="X532" t="e">
        <f t="shared" si="88"/>
        <v>#N/A</v>
      </c>
      <c r="Y532" t="e">
        <f t="shared" si="89"/>
        <v>#N/A</v>
      </c>
    </row>
    <row r="533" spans="1:25" x14ac:dyDescent="0.2">
      <c r="A533">
        <v>1531</v>
      </c>
      <c r="B533" t="s">
        <v>39</v>
      </c>
      <c r="C533" t="s">
        <v>23</v>
      </c>
      <c r="D533">
        <v>2023</v>
      </c>
      <c r="E533" t="s">
        <v>26</v>
      </c>
      <c r="F533">
        <v>289</v>
      </c>
      <c r="G533">
        <v>3</v>
      </c>
      <c r="H533">
        <v>3</v>
      </c>
      <c r="I533">
        <v>1448000</v>
      </c>
      <c r="J533">
        <v>5010.3999999999996</v>
      </c>
      <c r="K533">
        <v>0</v>
      </c>
      <c r="L533" t="s">
        <v>34</v>
      </c>
      <c r="M533">
        <v>8</v>
      </c>
      <c r="N533" t="s">
        <v>21</v>
      </c>
      <c r="P533" t="e">
        <f t="shared" si="80"/>
        <v>#N/A</v>
      </c>
      <c r="Q533" t="e">
        <f t="shared" si="81"/>
        <v>#N/A</v>
      </c>
      <c r="R533" t="e">
        <f t="shared" si="82"/>
        <v>#N/A</v>
      </c>
      <c r="S533" t="e">
        <f t="shared" si="83"/>
        <v>#N/A</v>
      </c>
      <c r="T533">
        <f t="shared" si="84"/>
        <v>1448000</v>
      </c>
      <c r="U533">
        <f t="shared" si="85"/>
        <v>289</v>
      </c>
      <c r="V533" t="e">
        <f t="shared" si="86"/>
        <v>#N/A</v>
      </c>
      <c r="W533" t="e">
        <f t="shared" si="87"/>
        <v>#N/A</v>
      </c>
      <c r="X533" t="e">
        <f t="shared" si="88"/>
        <v>#N/A</v>
      </c>
      <c r="Y533" t="e">
        <f t="shared" si="89"/>
        <v>#N/A</v>
      </c>
    </row>
    <row r="534" spans="1:25" x14ac:dyDescent="0.2">
      <c r="A534">
        <v>1532</v>
      </c>
      <c r="B534" t="s">
        <v>14</v>
      </c>
      <c r="C534" t="s">
        <v>15</v>
      </c>
      <c r="D534">
        <v>2024</v>
      </c>
      <c r="E534" t="s">
        <v>16</v>
      </c>
      <c r="F534">
        <v>132</v>
      </c>
      <c r="G534">
        <v>3</v>
      </c>
      <c r="H534">
        <v>3</v>
      </c>
      <c r="I534">
        <v>528000</v>
      </c>
      <c r="J534">
        <v>4000</v>
      </c>
      <c r="K534">
        <v>0</v>
      </c>
      <c r="L534" t="s">
        <v>17</v>
      </c>
      <c r="M534">
        <v>85</v>
      </c>
      <c r="N534" t="s">
        <v>18</v>
      </c>
      <c r="P534" t="e">
        <f t="shared" si="80"/>
        <v>#N/A</v>
      </c>
      <c r="Q534" t="e">
        <f t="shared" si="81"/>
        <v>#N/A</v>
      </c>
      <c r="R534">
        <f t="shared" si="82"/>
        <v>528000</v>
      </c>
      <c r="S534">
        <f t="shared" si="83"/>
        <v>132</v>
      </c>
      <c r="T534" t="e">
        <f t="shared" si="84"/>
        <v>#N/A</v>
      </c>
      <c r="U534" t="e">
        <f t="shared" si="85"/>
        <v>#N/A</v>
      </c>
      <c r="V534" t="e">
        <f t="shared" si="86"/>
        <v>#N/A</v>
      </c>
      <c r="W534" t="e">
        <f t="shared" si="87"/>
        <v>#N/A</v>
      </c>
      <c r="X534" t="e">
        <f t="shared" si="88"/>
        <v>#N/A</v>
      </c>
      <c r="Y534" t="e">
        <f t="shared" si="89"/>
        <v>#N/A</v>
      </c>
    </row>
    <row r="535" spans="1:25" x14ac:dyDescent="0.2">
      <c r="A535">
        <v>1533</v>
      </c>
      <c r="B535" t="s">
        <v>25</v>
      </c>
      <c r="C535" t="s">
        <v>15</v>
      </c>
      <c r="D535">
        <v>2022</v>
      </c>
      <c r="E535" t="s">
        <v>30</v>
      </c>
      <c r="F535">
        <v>151</v>
      </c>
      <c r="G535">
        <v>3</v>
      </c>
      <c r="H535">
        <v>3</v>
      </c>
      <c r="I535">
        <v>381000</v>
      </c>
      <c r="J535">
        <v>2523.1999999999998</v>
      </c>
      <c r="K535">
        <v>3</v>
      </c>
      <c r="L535" t="s">
        <v>20</v>
      </c>
      <c r="M535">
        <v>107</v>
      </c>
      <c r="N535" t="s">
        <v>27</v>
      </c>
      <c r="P535" t="e">
        <f t="shared" si="80"/>
        <v>#N/A</v>
      </c>
      <c r="Q535" t="e">
        <f t="shared" si="81"/>
        <v>#N/A</v>
      </c>
      <c r="R535">
        <f t="shared" si="82"/>
        <v>381000</v>
      </c>
      <c r="S535">
        <f t="shared" si="83"/>
        <v>151</v>
      </c>
      <c r="T535" t="e">
        <f t="shared" si="84"/>
        <v>#N/A</v>
      </c>
      <c r="U535" t="e">
        <f t="shared" si="85"/>
        <v>#N/A</v>
      </c>
      <c r="V535" t="e">
        <f t="shared" si="86"/>
        <v>#N/A</v>
      </c>
      <c r="W535" t="e">
        <f t="shared" si="87"/>
        <v>#N/A</v>
      </c>
      <c r="X535" t="e">
        <f t="shared" si="88"/>
        <v>#N/A</v>
      </c>
      <c r="Y535" t="e">
        <f t="shared" si="89"/>
        <v>#N/A</v>
      </c>
    </row>
    <row r="536" spans="1:25" x14ac:dyDescent="0.2">
      <c r="A536">
        <v>1534</v>
      </c>
      <c r="B536" t="s">
        <v>14</v>
      </c>
      <c r="C536" t="s">
        <v>15</v>
      </c>
      <c r="D536">
        <v>2022</v>
      </c>
      <c r="E536" t="s">
        <v>30</v>
      </c>
      <c r="F536">
        <v>149</v>
      </c>
      <c r="G536">
        <v>3</v>
      </c>
      <c r="H536">
        <v>3</v>
      </c>
      <c r="I536">
        <v>523000</v>
      </c>
      <c r="J536">
        <v>3510.1</v>
      </c>
      <c r="K536">
        <v>7</v>
      </c>
      <c r="L536" t="s">
        <v>17</v>
      </c>
      <c r="M536">
        <v>176</v>
      </c>
      <c r="N536" t="s">
        <v>18</v>
      </c>
      <c r="P536" t="e">
        <f t="shared" si="80"/>
        <v>#N/A</v>
      </c>
      <c r="Q536" t="e">
        <f t="shared" si="81"/>
        <v>#N/A</v>
      </c>
      <c r="R536">
        <f t="shared" si="82"/>
        <v>523000</v>
      </c>
      <c r="S536">
        <f t="shared" si="83"/>
        <v>149</v>
      </c>
      <c r="T536" t="e">
        <f t="shared" si="84"/>
        <v>#N/A</v>
      </c>
      <c r="U536" t="e">
        <f t="shared" si="85"/>
        <v>#N/A</v>
      </c>
      <c r="V536" t="e">
        <f t="shared" si="86"/>
        <v>#N/A</v>
      </c>
      <c r="W536" t="e">
        <f t="shared" si="87"/>
        <v>#N/A</v>
      </c>
      <c r="X536" t="e">
        <f t="shared" si="88"/>
        <v>#N/A</v>
      </c>
      <c r="Y536" t="e">
        <f t="shared" si="89"/>
        <v>#N/A</v>
      </c>
    </row>
    <row r="537" spans="1:25" x14ac:dyDescent="0.2">
      <c r="A537">
        <v>1535</v>
      </c>
      <c r="B537" t="s">
        <v>33</v>
      </c>
      <c r="C537" t="s">
        <v>29</v>
      </c>
      <c r="D537">
        <v>2023</v>
      </c>
      <c r="E537" t="s">
        <v>16</v>
      </c>
      <c r="F537">
        <v>364</v>
      </c>
      <c r="G537">
        <v>5</v>
      </c>
      <c r="H537">
        <v>5</v>
      </c>
      <c r="I537">
        <v>1530000</v>
      </c>
      <c r="J537">
        <v>4203.3</v>
      </c>
      <c r="K537">
        <v>0</v>
      </c>
      <c r="L537" t="s">
        <v>20</v>
      </c>
      <c r="M537">
        <v>75</v>
      </c>
      <c r="N537" t="s">
        <v>27</v>
      </c>
      <c r="P537">
        <f t="shared" si="80"/>
        <v>1530000</v>
      </c>
      <c r="Q537">
        <f t="shared" si="81"/>
        <v>364</v>
      </c>
      <c r="R537" t="e">
        <f t="shared" si="82"/>
        <v>#N/A</v>
      </c>
      <c r="S537" t="e">
        <f t="shared" si="83"/>
        <v>#N/A</v>
      </c>
      <c r="T537" t="e">
        <f t="shared" si="84"/>
        <v>#N/A</v>
      </c>
      <c r="U537" t="e">
        <f t="shared" si="85"/>
        <v>#N/A</v>
      </c>
      <c r="V537" t="e">
        <f t="shared" si="86"/>
        <v>#N/A</v>
      </c>
      <c r="W537" t="e">
        <f t="shared" si="87"/>
        <v>#N/A</v>
      </c>
      <c r="X537" t="e">
        <f t="shared" si="88"/>
        <v>#N/A</v>
      </c>
      <c r="Y537" t="e">
        <f t="shared" si="89"/>
        <v>#N/A</v>
      </c>
    </row>
    <row r="538" spans="1:25" x14ac:dyDescent="0.2">
      <c r="A538">
        <v>1536</v>
      </c>
      <c r="B538" t="s">
        <v>28</v>
      </c>
      <c r="C538" t="s">
        <v>29</v>
      </c>
      <c r="D538">
        <v>2024</v>
      </c>
      <c r="E538" t="s">
        <v>16</v>
      </c>
      <c r="F538">
        <v>375</v>
      </c>
      <c r="G538">
        <v>4</v>
      </c>
      <c r="H538">
        <v>4</v>
      </c>
      <c r="I538">
        <v>1920000</v>
      </c>
      <c r="J538">
        <v>5120</v>
      </c>
      <c r="K538">
        <v>5</v>
      </c>
      <c r="L538" t="s">
        <v>34</v>
      </c>
      <c r="M538">
        <v>3</v>
      </c>
      <c r="N538" t="s">
        <v>27</v>
      </c>
      <c r="P538">
        <f t="shared" si="80"/>
        <v>1920000</v>
      </c>
      <c r="Q538">
        <f t="shared" si="81"/>
        <v>375</v>
      </c>
      <c r="R538" t="e">
        <f t="shared" si="82"/>
        <v>#N/A</v>
      </c>
      <c r="S538" t="e">
        <f t="shared" si="83"/>
        <v>#N/A</v>
      </c>
      <c r="T538" t="e">
        <f t="shared" si="84"/>
        <v>#N/A</v>
      </c>
      <c r="U538" t="e">
        <f t="shared" si="85"/>
        <v>#N/A</v>
      </c>
      <c r="V538" t="e">
        <f t="shared" si="86"/>
        <v>#N/A</v>
      </c>
      <c r="W538" t="e">
        <f t="shared" si="87"/>
        <v>#N/A</v>
      </c>
      <c r="X538" t="e">
        <f t="shared" si="88"/>
        <v>#N/A</v>
      </c>
      <c r="Y538" t="e">
        <f t="shared" si="89"/>
        <v>#N/A</v>
      </c>
    </row>
    <row r="539" spans="1:25" x14ac:dyDescent="0.2">
      <c r="A539">
        <v>1537</v>
      </c>
      <c r="B539" t="s">
        <v>43</v>
      </c>
      <c r="C539" t="s">
        <v>15</v>
      </c>
      <c r="D539">
        <v>2021</v>
      </c>
      <c r="E539" t="s">
        <v>16</v>
      </c>
      <c r="F539">
        <v>156</v>
      </c>
      <c r="G539">
        <v>2</v>
      </c>
      <c r="H539">
        <v>2</v>
      </c>
      <c r="I539">
        <v>543000</v>
      </c>
      <c r="J539">
        <v>3480.8</v>
      </c>
      <c r="K539">
        <v>10</v>
      </c>
      <c r="L539" t="s">
        <v>34</v>
      </c>
      <c r="M539">
        <v>125</v>
      </c>
      <c r="N539" t="s">
        <v>27</v>
      </c>
      <c r="P539" t="e">
        <f t="shared" si="80"/>
        <v>#N/A</v>
      </c>
      <c r="Q539" t="e">
        <f t="shared" si="81"/>
        <v>#N/A</v>
      </c>
      <c r="R539">
        <f t="shared" si="82"/>
        <v>543000</v>
      </c>
      <c r="S539">
        <f t="shared" si="83"/>
        <v>156</v>
      </c>
      <c r="T539" t="e">
        <f t="shared" si="84"/>
        <v>#N/A</v>
      </c>
      <c r="U539" t="e">
        <f t="shared" si="85"/>
        <v>#N/A</v>
      </c>
      <c r="V539" t="e">
        <f t="shared" si="86"/>
        <v>#N/A</v>
      </c>
      <c r="W539" t="e">
        <f t="shared" si="87"/>
        <v>#N/A</v>
      </c>
      <c r="X539" t="e">
        <f t="shared" si="88"/>
        <v>#N/A</v>
      </c>
      <c r="Y539" t="e">
        <f t="shared" si="89"/>
        <v>#N/A</v>
      </c>
    </row>
    <row r="540" spans="1:25" x14ac:dyDescent="0.2">
      <c r="A540">
        <v>1538</v>
      </c>
      <c r="B540" t="s">
        <v>40</v>
      </c>
      <c r="C540" t="s">
        <v>15</v>
      </c>
      <c r="D540">
        <v>2023</v>
      </c>
      <c r="E540" t="s">
        <v>26</v>
      </c>
      <c r="F540">
        <v>192</v>
      </c>
      <c r="G540">
        <v>4</v>
      </c>
      <c r="H540">
        <v>4</v>
      </c>
      <c r="I540">
        <v>703000</v>
      </c>
      <c r="J540">
        <v>3661.5</v>
      </c>
      <c r="K540">
        <v>7</v>
      </c>
      <c r="L540" t="s">
        <v>17</v>
      </c>
      <c r="M540">
        <v>130</v>
      </c>
      <c r="N540" t="s">
        <v>18</v>
      </c>
      <c r="P540" t="e">
        <f t="shared" si="80"/>
        <v>#N/A</v>
      </c>
      <c r="Q540" t="e">
        <f t="shared" si="81"/>
        <v>#N/A</v>
      </c>
      <c r="R540">
        <f t="shared" si="82"/>
        <v>703000</v>
      </c>
      <c r="S540">
        <f t="shared" si="83"/>
        <v>192</v>
      </c>
      <c r="T540" t="e">
        <f t="shared" si="84"/>
        <v>#N/A</v>
      </c>
      <c r="U540" t="e">
        <f t="shared" si="85"/>
        <v>#N/A</v>
      </c>
      <c r="V540" t="e">
        <f t="shared" si="86"/>
        <v>#N/A</v>
      </c>
      <c r="W540" t="e">
        <f t="shared" si="87"/>
        <v>#N/A</v>
      </c>
      <c r="X540" t="e">
        <f t="shared" si="88"/>
        <v>#N/A</v>
      </c>
      <c r="Y540" t="e">
        <f t="shared" si="89"/>
        <v>#N/A</v>
      </c>
    </row>
    <row r="541" spans="1:25" x14ac:dyDescent="0.2">
      <c r="A541">
        <v>1539</v>
      </c>
      <c r="B541" t="s">
        <v>25</v>
      </c>
      <c r="C541" t="s">
        <v>36</v>
      </c>
      <c r="D541">
        <v>2023</v>
      </c>
      <c r="E541" t="s">
        <v>24</v>
      </c>
      <c r="F541">
        <v>346</v>
      </c>
      <c r="G541">
        <v>3</v>
      </c>
      <c r="H541">
        <v>3</v>
      </c>
      <c r="I541">
        <v>698000</v>
      </c>
      <c r="J541">
        <v>2017.3</v>
      </c>
      <c r="K541">
        <v>0</v>
      </c>
      <c r="L541" t="s">
        <v>17</v>
      </c>
      <c r="M541">
        <v>18</v>
      </c>
      <c r="N541" t="s">
        <v>27</v>
      </c>
      <c r="P541" t="e">
        <f t="shared" si="80"/>
        <v>#N/A</v>
      </c>
      <c r="Q541" t="e">
        <f t="shared" si="81"/>
        <v>#N/A</v>
      </c>
      <c r="R541" t="e">
        <f t="shared" si="82"/>
        <v>#N/A</v>
      </c>
      <c r="S541" t="e">
        <f t="shared" si="83"/>
        <v>#N/A</v>
      </c>
      <c r="T541" t="e">
        <f t="shared" si="84"/>
        <v>#N/A</v>
      </c>
      <c r="U541" t="e">
        <f t="shared" si="85"/>
        <v>#N/A</v>
      </c>
      <c r="V541" t="e">
        <f t="shared" si="86"/>
        <v>#N/A</v>
      </c>
      <c r="W541" t="e">
        <f t="shared" si="87"/>
        <v>#N/A</v>
      </c>
      <c r="X541">
        <f t="shared" si="88"/>
        <v>698000</v>
      </c>
      <c r="Y541">
        <f t="shared" si="89"/>
        <v>346</v>
      </c>
    </row>
    <row r="542" spans="1:25" x14ac:dyDescent="0.2">
      <c r="A542">
        <v>1540</v>
      </c>
      <c r="B542" t="s">
        <v>28</v>
      </c>
      <c r="C542" t="s">
        <v>38</v>
      </c>
      <c r="D542">
        <v>2022</v>
      </c>
      <c r="E542" t="s">
        <v>26</v>
      </c>
      <c r="F542">
        <v>41</v>
      </c>
      <c r="G542">
        <v>0</v>
      </c>
      <c r="H542">
        <v>1</v>
      </c>
      <c r="I542">
        <v>144000</v>
      </c>
      <c r="J542">
        <v>3512.2</v>
      </c>
      <c r="K542">
        <v>0</v>
      </c>
      <c r="L542" t="s">
        <v>20</v>
      </c>
      <c r="M542">
        <v>152</v>
      </c>
      <c r="N542" t="s">
        <v>27</v>
      </c>
      <c r="P542" t="e">
        <f t="shared" si="80"/>
        <v>#N/A</v>
      </c>
      <c r="Q542" t="e">
        <f t="shared" si="81"/>
        <v>#N/A</v>
      </c>
      <c r="R542" t="e">
        <f t="shared" si="82"/>
        <v>#N/A</v>
      </c>
      <c r="S542" t="e">
        <f t="shared" si="83"/>
        <v>#N/A</v>
      </c>
      <c r="T542" t="e">
        <f t="shared" si="84"/>
        <v>#N/A</v>
      </c>
      <c r="U542" t="e">
        <f t="shared" si="85"/>
        <v>#N/A</v>
      </c>
      <c r="V542">
        <f t="shared" si="86"/>
        <v>144000</v>
      </c>
      <c r="W542">
        <f t="shared" si="87"/>
        <v>41</v>
      </c>
      <c r="X542" t="e">
        <f t="shared" si="88"/>
        <v>#N/A</v>
      </c>
      <c r="Y542" t="e">
        <f t="shared" si="89"/>
        <v>#N/A</v>
      </c>
    </row>
    <row r="543" spans="1:25" x14ac:dyDescent="0.2">
      <c r="A543">
        <v>1541</v>
      </c>
      <c r="B543" t="s">
        <v>43</v>
      </c>
      <c r="C543" t="s">
        <v>29</v>
      </c>
      <c r="D543">
        <v>2022</v>
      </c>
      <c r="E543" t="s">
        <v>30</v>
      </c>
      <c r="F543">
        <v>244</v>
      </c>
      <c r="G543">
        <v>5</v>
      </c>
      <c r="H543">
        <v>5</v>
      </c>
      <c r="I543">
        <v>1580000</v>
      </c>
      <c r="J543">
        <v>6475.4</v>
      </c>
      <c r="K543">
        <v>3</v>
      </c>
      <c r="L543" t="s">
        <v>17</v>
      </c>
      <c r="M543">
        <v>145</v>
      </c>
      <c r="N543" t="s">
        <v>27</v>
      </c>
      <c r="P543">
        <f t="shared" si="80"/>
        <v>1580000</v>
      </c>
      <c r="Q543">
        <f t="shared" si="81"/>
        <v>244</v>
      </c>
      <c r="R543" t="e">
        <f t="shared" si="82"/>
        <v>#N/A</v>
      </c>
      <c r="S543" t="e">
        <f t="shared" si="83"/>
        <v>#N/A</v>
      </c>
      <c r="T543" t="e">
        <f t="shared" si="84"/>
        <v>#N/A</v>
      </c>
      <c r="U543" t="e">
        <f t="shared" si="85"/>
        <v>#N/A</v>
      </c>
      <c r="V543" t="e">
        <f t="shared" si="86"/>
        <v>#N/A</v>
      </c>
      <c r="W543" t="e">
        <f t="shared" si="87"/>
        <v>#N/A</v>
      </c>
      <c r="X543" t="e">
        <f t="shared" si="88"/>
        <v>#N/A</v>
      </c>
      <c r="Y543" t="e">
        <f t="shared" si="89"/>
        <v>#N/A</v>
      </c>
    </row>
    <row r="544" spans="1:25" x14ac:dyDescent="0.2">
      <c r="A544">
        <v>1542</v>
      </c>
      <c r="B544" t="s">
        <v>48</v>
      </c>
      <c r="C544" t="s">
        <v>15</v>
      </c>
      <c r="D544">
        <v>2021</v>
      </c>
      <c r="E544" t="s">
        <v>16</v>
      </c>
      <c r="F544">
        <v>114</v>
      </c>
      <c r="G544">
        <v>3</v>
      </c>
      <c r="H544">
        <v>3</v>
      </c>
      <c r="I544">
        <v>283000</v>
      </c>
      <c r="J544">
        <v>2482.5</v>
      </c>
      <c r="K544">
        <v>0</v>
      </c>
      <c r="L544" t="s">
        <v>34</v>
      </c>
      <c r="M544">
        <v>130</v>
      </c>
      <c r="N544" t="s">
        <v>27</v>
      </c>
      <c r="P544" t="e">
        <f t="shared" si="80"/>
        <v>#N/A</v>
      </c>
      <c r="Q544" t="e">
        <f t="shared" si="81"/>
        <v>#N/A</v>
      </c>
      <c r="R544">
        <f t="shared" si="82"/>
        <v>283000</v>
      </c>
      <c r="S544">
        <f t="shared" si="83"/>
        <v>114</v>
      </c>
      <c r="T544" t="e">
        <f t="shared" si="84"/>
        <v>#N/A</v>
      </c>
      <c r="U544" t="e">
        <f t="shared" si="85"/>
        <v>#N/A</v>
      </c>
      <c r="V544" t="e">
        <f t="shared" si="86"/>
        <v>#N/A</v>
      </c>
      <c r="W544" t="e">
        <f t="shared" si="87"/>
        <v>#N/A</v>
      </c>
      <c r="X544" t="e">
        <f t="shared" si="88"/>
        <v>#N/A</v>
      </c>
      <c r="Y544" t="e">
        <f t="shared" si="89"/>
        <v>#N/A</v>
      </c>
    </row>
    <row r="545" spans="1:25" x14ac:dyDescent="0.2">
      <c r="A545">
        <v>1543</v>
      </c>
      <c r="B545" t="s">
        <v>33</v>
      </c>
      <c r="C545" t="s">
        <v>29</v>
      </c>
      <c r="D545">
        <v>2024</v>
      </c>
      <c r="E545" t="s">
        <v>16</v>
      </c>
      <c r="F545">
        <v>477</v>
      </c>
      <c r="G545">
        <v>4</v>
      </c>
      <c r="H545">
        <v>4</v>
      </c>
      <c r="I545">
        <v>2144000</v>
      </c>
      <c r="J545">
        <v>4494.8</v>
      </c>
      <c r="K545">
        <v>1</v>
      </c>
      <c r="L545" t="s">
        <v>20</v>
      </c>
      <c r="M545">
        <v>75</v>
      </c>
      <c r="N545" t="s">
        <v>27</v>
      </c>
      <c r="P545">
        <f t="shared" si="80"/>
        <v>2144000</v>
      </c>
      <c r="Q545">
        <f t="shared" si="81"/>
        <v>477</v>
      </c>
      <c r="R545" t="e">
        <f t="shared" si="82"/>
        <v>#N/A</v>
      </c>
      <c r="S545" t="e">
        <f t="shared" si="83"/>
        <v>#N/A</v>
      </c>
      <c r="T545" t="e">
        <f t="shared" si="84"/>
        <v>#N/A</v>
      </c>
      <c r="U545" t="e">
        <f t="shared" si="85"/>
        <v>#N/A</v>
      </c>
      <c r="V545" t="e">
        <f t="shared" si="86"/>
        <v>#N/A</v>
      </c>
      <c r="W545" t="e">
        <f t="shared" si="87"/>
        <v>#N/A</v>
      </c>
      <c r="X545" t="e">
        <f t="shared" si="88"/>
        <v>#N/A</v>
      </c>
      <c r="Y545" t="e">
        <f t="shared" si="89"/>
        <v>#N/A</v>
      </c>
    </row>
    <row r="546" spans="1:25" x14ac:dyDescent="0.2">
      <c r="A546">
        <v>1544</v>
      </c>
      <c r="B546" t="s">
        <v>40</v>
      </c>
      <c r="C546" t="s">
        <v>15</v>
      </c>
      <c r="D546">
        <v>2022</v>
      </c>
      <c r="E546" t="s">
        <v>30</v>
      </c>
      <c r="F546">
        <v>107</v>
      </c>
      <c r="G546">
        <v>4</v>
      </c>
      <c r="H546">
        <v>4</v>
      </c>
      <c r="I546">
        <v>377000</v>
      </c>
      <c r="J546">
        <v>3523.4</v>
      </c>
      <c r="K546">
        <v>0</v>
      </c>
      <c r="L546" t="s">
        <v>34</v>
      </c>
      <c r="M546">
        <v>82</v>
      </c>
      <c r="N546" t="s">
        <v>18</v>
      </c>
      <c r="P546" t="e">
        <f t="shared" si="80"/>
        <v>#N/A</v>
      </c>
      <c r="Q546" t="e">
        <f t="shared" si="81"/>
        <v>#N/A</v>
      </c>
      <c r="R546">
        <f t="shared" si="82"/>
        <v>377000</v>
      </c>
      <c r="S546">
        <f t="shared" si="83"/>
        <v>107</v>
      </c>
      <c r="T546" t="e">
        <f t="shared" si="84"/>
        <v>#N/A</v>
      </c>
      <c r="U546" t="e">
        <f t="shared" si="85"/>
        <v>#N/A</v>
      </c>
      <c r="V546" t="e">
        <f t="shared" si="86"/>
        <v>#N/A</v>
      </c>
      <c r="W546" t="e">
        <f t="shared" si="87"/>
        <v>#N/A</v>
      </c>
      <c r="X546" t="e">
        <f t="shared" si="88"/>
        <v>#N/A</v>
      </c>
      <c r="Y546" t="e">
        <f t="shared" si="89"/>
        <v>#N/A</v>
      </c>
    </row>
    <row r="547" spans="1:25" x14ac:dyDescent="0.2">
      <c r="A547">
        <v>1545</v>
      </c>
      <c r="B547" t="s">
        <v>47</v>
      </c>
      <c r="C547" t="s">
        <v>15</v>
      </c>
      <c r="D547">
        <v>2024</v>
      </c>
      <c r="E547" t="s">
        <v>16</v>
      </c>
      <c r="F547">
        <v>171</v>
      </c>
      <c r="G547">
        <v>3</v>
      </c>
      <c r="H547">
        <v>3</v>
      </c>
      <c r="I547">
        <v>539000</v>
      </c>
      <c r="J547">
        <v>3152</v>
      </c>
      <c r="K547">
        <v>0</v>
      </c>
      <c r="L547" t="s">
        <v>17</v>
      </c>
      <c r="M547">
        <v>11</v>
      </c>
      <c r="N547" t="s">
        <v>21</v>
      </c>
      <c r="P547" t="e">
        <f t="shared" si="80"/>
        <v>#N/A</v>
      </c>
      <c r="Q547" t="e">
        <f t="shared" si="81"/>
        <v>#N/A</v>
      </c>
      <c r="R547">
        <f t="shared" si="82"/>
        <v>539000</v>
      </c>
      <c r="S547">
        <f t="shared" si="83"/>
        <v>171</v>
      </c>
      <c r="T547" t="e">
        <f t="shared" si="84"/>
        <v>#N/A</v>
      </c>
      <c r="U547" t="e">
        <f t="shared" si="85"/>
        <v>#N/A</v>
      </c>
      <c r="V547" t="e">
        <f t="shared" si="86"/>
        <v>#N/A</v>
      </c>
      <c r="W547" t="e">
        <f t="shared" si="87"/>
        <v>#N/A</v>
      </c>
      <c r="X547" t="e">
        <f t="shared" si="88"/>
        <v>#N/A</v>
      </c>
      <c r="Y547" t="e">
        <f t="shared" si="89"/>
        <v>#N/A</v>
      </c>
    </row>
    <row r="548" spans="1:25" x14ac:dyDescent="0.2">
      <c r="A548">
        <v>1546</v>
      </c>
      <c r="B548" t="s">
        <v>45</v>
      </c>
      <c r="C548" t="s">
        <v>15</v>
      </c>
      <c r="D548">
        <v>2024</v>
      </c>
      <c r="E548" t="s">
        <v>26</v>
      </c>
      <c r="F548">
        <v>165</v>
      </c>
      <c r="G548">
        <v>4</v>
      </c>
      <c r="H548">
        <v>4</v>
      </c>
      <c r="I548">
        <v>714000</v>
      </c>
      <c r="J548">
        <v>4327.3</v>
      </c>
      <c r="K548">
        <v>15</v>
      </c>
      <c r="L548" t="s">
        <v>17</v>
      </c>
      <c r="M548">
        <v>143</v>
      </c>
      <c r="N548" t="s">
        <v>21</v>
      </c>
      <c r="P548" t="e">
        <f t="shared" si="80"/>
        <v>#N/A</v>
      </c>
      <c r="Q548" t="e">
        <f t="shared" si="81"/>
        <v>#N/A</v>
      </c>
      <c r="R548">
        <f t="shared" si="82"/>
        <v>714000</v>
      </c>
      <c r="S548">
        <f t="shared" si="83"/>
        <v>165</v>
      </c>
      <c r="T548" t="e">
        <f t="shared" si="84"/>
        <v>#N/A</v>
      </c>
      <c r="U548" t="e">
        <f t="shared" si="85"/>
        <v>#N/A</v>
      </c>
      <c r="V548" t="e">
        <f t="shared" si="86"/>
        <v>#N/A</v>
      </c>
      <c r="W548" t="e">
        <f t="shared" si="87"/>
        <v>#N/A</v>
      </c>
      <c r="X548" t="e">
        <f t="shared" si="88"/>
        <v>#N/A</v>
      </c>
      <c r="Y548" t="e">
        <f t="shared" si="89"/>
        <v>#N/A</v>
      </c>
    </row>
    <row r="549" spans="1:25" x14ac:dyDescent="0.2">
      <c r="A549">
        <v>1547</v>
      </c>
      <c r="B549" t="s">
        <v>25</v>
      </c>
      <c r="C549" t="s">
        <v>38</v>
      </c>
      <c r="D549">
        <v>2022</v>
      </c>
      <c r="E549" t="s">
        <v>30</v>
      </c>
      <c r="F549">
        <v>54</v>
      </c>
      <c r="G549">
        <v>0</v>
      </c>
      <c r="H549">
        <v>1</v>
      </c>
      <c r="I549">
        <v>178000</v>
      </c>
      <c r="J549">
        <v>3296.3</v>
      </c>
      <c r="K549">
        <v>4</v>
      </c>
      <c r="L549" t="s">
        <v>17</v>
      </c>
      <c r="M549">
        <v>3</v>
      </c>
      <c r="N549" t="s">
        <v>27</v>
      </c>
      <c r="P549" t="e">
        <f t="shared" si="80"/>
        <v>#N/A</v>
      </c>
      <c r="Q549" t="e">
        <f t="shared" si="81"/>
        <v>#N/A</v>
      </c>
      <c r="R549" t="e">
        <f t="shared" si="82"/>
        <v>#N/A</v>
      </c>
      <c r="S549" t="e">
        <f t="shared" si="83"/>
        <v>#N/A</v>
      </c>
      <c r="T549" t="e">
        <f t="shared" si="84"/>
        <v>#N/A</v>
      </c>
      <c r="U549" t="e">
        <f t="shared" si="85"/>
        <v>#N/A</v>
      </c>
      <c r="V549">
        <f t="shared" si="86"/>
        <v>178000</v>
      </c>
      <c r="W549">
        <f t="shared" si="87"/>
        <v>54</v>
      </c>
      <c r="X549" t="e">
        <f t="shared" si="88"/>
        <v>#N/A</v>
      </c>
      <c r="Y549" t="e">
        <f t="shared" si="89"/>
        <v>#N/A</v>
      </c>
    </row>
    <row r="550" spans="1:25" x14ac:dyDescent="0.2">
      <c r="A550">
        <v>1548</v>
      </c>
      <c r="B550" t="s">
        <v>42</v>
      </c>
      <c r="C550" t="s">
        <v>23</v>
      </c>
      <c r="D550">
        <v>2022</v>
      </c>
      <c r="E550" t="s">
        <v>16</v>
      </c>
      <c r="F550">
        <v>204</v>
      </c>
      <c r="G550">
        <v>5</v>
      </c>
      <c r="H550">
        <v>5</v>
      </c>
      <c r="I550">
        <v>1111000</v>
      </c>
      <c r="J550">
        <v>5446.1</v>
      </c>
      <c r="K550">
        <v>20</v>
      </c>
      <c r="L550" t="s">
        <v>34</v>
      </c>
      <c r="M550">
        <v>162</v>
      </c>
      <c r="N550" t="s">
        <v>21</v>
      </c>
      <c r="P550" t="e">
        <f t="shared" si="80"/>
        <v>#N/A</v>
      </c>
      <c r="Q550" t="e">
        <f t="shared" si="81"/>
        <v>#N/A</v>
      </c>
      <c r="R550" t="e">
        <f t="shared" si="82"/>
        <v>#N/A</v>
      </c>
      <c r="S550" t="e">
        <f t="shared" si="83"/>
        <v>#N/A</v>
      </c>
      <c r="T550">
        <f t="shared" si="84"/>
        <v>1111000</v>
      </c>
      <c r="U550">
        <f t="shared" si="85"/>
        <v>204</v>
      </c>
      <c r="V550" t="e">
        <f t="shared" si="86"/>
        <v>#N/A</v>
      </c>
      <c r="W550" t="e">
        <f t="shared" si="87"/>
        <v>#N/A</v>
      </c>
      <c r="X550" t="e">
        <f t="shared" si="88"/>
        <v>#N/A</v>
      </c>
      <c r="Y550" t="e">
        <f t="shared" si="89"/>
        <v>#N/A</v>
      </c>
    </row>
    <row r="551" spans="1:25" x14ac:dyDescent="0.2">
      <c r="A551">
        <v>1549</v>
      </c>
      <c r="B551" t="s">
        <v>42</v>
      </c>
      <c r="C551" t="s">
        <v>36</v>
      </c>
      <c r="D551">
        <v>2021</v>
      </c>
      <c r="E551" t="s">
        <v>26</v>
      </c>
      <c r="F551">
        <v>308</v>
      </c>
      <c r="G551">
        <v>4</v>
      </c>
      <c r="H551">
        <v>4</v>
      </c>
      <c r="I551">
        <v>933000</v>
      </c>
      <c r="J551">
        <v>3029.2</v>
      </c>
      <c r="K551">
        <v>10</v>
      </c>
      <c r="L551" t="s">
        <v>17</v>
      </c>
      <c r="M551">
        <v>18</v>
      </c>
      <c r="N551" t="s">
        <v>21</v>
      </c>
      <c r="P551" t="e">
        <f t="shared" si="80"/>
        <v>#N/A</v>
      </c>
      <c r="Q551" t="e">
        <f t="shared" si="81"/>
        <v>#N/A</v>
      </c>
      <c r="R551" t="e">
        <f t="shared" si="82"/>
        <v>#N/A</v>
      </c>
      <c r="S551" t="e">
        <f t="shared" si="83"/>
        <v>#N/A</v>
      </c>
      <c r="T551" t="e">
        <f t="shared" si="84"/>
        <v>#N/A</v>
      </c>
      <c r="U551" t="e">
        <f t="shared" si="85"/>
        <v>#N/A</v>
      </c>
      <c r="V551" t="e">
        <f t="shared" si="86"/>
        <v>#N/A</v>
      </c>
      <c r="W551" t="e">
        <f t="shared" si="87"/>
        <v>#N/A</v>
      </c>
      <c r="X551">
        <f t="shared" si="88"/>
        <v>933000</v>
      </c>
      <c r="Y551">
        <f t="shared" si="89"/>
        <v>308</v>
      </c>
    </row>
    <row r="552" spans="1:25" x14ac:dyDescent="0.2">
      <c r="A552">
        <v>1550</v>
      </c>
      <c r="B552" t="s">
        <v>43</v>
      </c>
      <c r="C552" t="s">
        <v>15</v>
      </c>
      <c r="D552">
        <v>2021</v>
      </c>
      <c r="E552" t="s">
        <v>26</v>
      </c>
      <c r="F552">
        <v>138</v>
      </c>
      <c r="G552">
        <v>3</v>
      </c>
      <c r="H552">
        <v>3</v>
      </c>
      <c r="I552">
        <v>496000</v>
      </c>
      <c r="J552">
        <v>3594.2</v>
      </c>
      <c r="K552">
        <v>1</v>
      </c>
      <c r="L552" t="s">
        <v>34</v>
      </c>
      <c r="M552">
        <v>3</v>
      </c>
      <c r="N552" t="s">
        <v>27</v>
      </c>
      <c r="P552" t="e">
        <f t="shared" si="80"/>
        <v>#N/A</v>
      </c>
      <c r="Q552" t="e">
        <f t="shared" si="81"/>
        <v>#N/A</v>
      </c>
      <c r="R552">
        <f t="shared" si="82"/>
        <v>496000</v>
      </c>
      <c r="S552">
        <f t="shared" si="83"/>
        <v>138</v>
      </c>
      <c r="T552" t="e">
        <f t="shared" si="84"/>
        <v>#N/A</v>
      </c>
      <c r="U552" t="e">
        <f t="shared" si="85"/>
        <v>#N/A</v>
      </c>
      <c r="V552" t="e">
        <f t="shared" si="86"/>
        <v>#N/A</v>
      </c>
      <c r="W552" t="e">
        <f t="shared" si="87"/>
        <v>#N/A</v>
      </c>
      <c r="X552" t="e">
        <f t="shared" si="88"/>
        <v>#N/A</v>
      </c>
      <c r="Y552" t="e">
        <f t="shared" si="89"/>
        <v>#N/A</v>
      </c>
    </row>
    <row r="553" spans="1:25" x14ac:dyDescent="0.2">
      <c r="A553">
        <v>1551</v>
      </c>
      <c r="B553" t="s">
        <v>44</v>
      </c>
      <c r="C553" t="s">
        <v>15</v>
      </c>
      <c r="D553">
        <v>2024</v>
      </c>
      <c r="E553" t="s">
        <v>30</v>
      </c>
      <c r="F553">
        <v>156</v>
      </c>
      <c r="G553">
        <v>4</v>
      </c>
      <c r="H553">
        <v>4</v>
      </c>
      <c r="I553">
        <v>492000</v>
      </c>
      <c r="J553">
        <v>3153.8</v>
      </c>
      <c r="K553">
        <v>3</v>
      </c>
      <c r="L553" t="s">
        <v>34</v>
      </c>
      <c r="M553">
        <v>67</v>
      </c>
      <c r="N553" t="s">
        <v>18</v>
      </c>
      <c r="P553" t="e">
        <f t="shared" si="80"/>
        <v>#N/A</v>
      </c>
      <c r="Q553" t="e">
        <f t="shared" si="81"/>
        <v>#N/A</v>
      </c>
      <c r="R553">
        <f t="shared" si="82"/>
        <v>492000</v>
      </c>
      <c r="S553">
        <f t="shared" si="83"/>
        <v>156</v>
      </c>
      <c r="T553" t="e">
        <f t="shared" si="84"/>
        <v>#N/A</v>
      </c>
      <c r="U553" t="e">
        <f t="shared" si="85"/>
        <v>#N/A</v>
      </c>
      <c r="V553" t="e">
        <f t="shared" si="86"/>
        <v>#N/A</v>
      </c>
      <c r="W553" t="e">
        <f t="shared" si="87"/>
        <v>#N/A</v>
      </c>
      <c r="X553" t="e">
        <f t="shared" si="88"/>
        <v>#N/A</v>
      </c>
      <c r="Y553" t="e">
        <f t="shared" si="89"/>
        <v>#N/A</v>
      </c>
    </row>
    <row r="554" spans="1:25" x14ac:dyDescent="0.2">
      <c r="A554">
        <v>1552</v>
      </c>
      <c r="B554" t="s">
        <v>48</v>
      </c>
      <c r="C554" t="s">
        <v>23</v>
      </c>
      <c r="D554">
        <v>2021</v>
      </c>
      <c r="E554" t="s">
        <v>30</v>
      </c>
      <c r="F554">
        <v>217</v>
      </c>
      <c r="G554">
        <v>4</v>
      </c>
      <c r="H554">
        <v>4</v>
      </c>
      <c r="I554">
        <v>717000</v>
      </c>
      <c r="J554">
        <v>3304.1</v>
      </c>
      <c r="K554">
        <v>3</v>
      </c>
      <c r="L554" t="s">
        <v>20</v>
      </c>
      <c r="M554">
        <v>171</v>
      </c>
      <c r="N554" t="s">
        <v>27</v>
      </c>
      <c r="P554" t="e">
        <f t="shared" si="80"/>
        <v>#N/A</v>
      </c>
      <c r="Q554" t="e">
        <f t="shared" si="81"/>
        <v>#N/A</v>
      </c>
      <c r="R554" t="e">
        <f t="shared" si="82"/>
        <v>#N/A</v>
      </c>
      <c r="S554" t="e">
        <f t="shared" si="83"/>
        <v>#N/A</v>
      </c>
      <c r="T554">
        <f t="shared" si="84"/>
        <v>717000</v>
      </c>
      <c r="U554">
        <f t="shared" si="85"/>
        <v>217</v>
      </c>
      <c r="V554" t="e">
        <f t="shared" si="86"/>
        <v>#N/A</v>
      </c>
      <c r="W554" t="e">
        <f t="shared" si="87"/>
        <v>#N/A</v>
      </c>
      <c r="X554" t="e">
        <f t="shared" si="88"/>
        <v>#N/A</v>
      </c>
      <c r="Y554" t="e">
        <f t="shared" si="89"/>
        <v>#N/A</v>
      </c>
    </row>
    <row r="555" spans="1:25" x14ac:dyDescent="0.2">
      <c r="A555">
        <v>1553</v>
      </c>
      <c r="B555" t="s">
        <v>31</v>
      </c>
      <c r="C555" t="s">
        <v>29</v>
      </c>
      <c r="D555">
        <v>2022</v>
      </c>
      <c r="E555" t="s">
        <v>30</v>
      </c>
      <c r="F555">
        <v>536</v>
      </c>
      <c r="G555">
        <v>5</v>
      </c>
      <c r="H555">
        <v>5</v>
      </c>
      <c r="I555">
        <v>2158000</v>
      </c>
      <c r="J555">
        <v>4026.1</v>
      </c>
      <c r="K555">
        <v>0</v>
      </c>
      <c r="L555" t="s">
        <v>17</v>
      </c>
      <c r="M555">
        <v>112</v>
      </c>
      <c r="N555" t="s">
        <v>21</v>
      </c>
      <c r="P555">
        <f t="shared" si="80"/>
        <v>2158000</v>
      </c>
      <c r="Q555">
        <f t="shared" si="81"/>
        <v>536</v>
      </c>
      <c r="R555" t="e">
        <f t="shared" si="82"/>
        <v>#N/A</v>
      </c>
      <c r="S555" t="e">
        <f t="shared" si="83"/>
        <v>#N/A</v>
      </c>
      <c r="T555" t="e">
        <f t="shared" si="84"/>
        <v>#N/A</v>
      </c>
      <c r="U555" t="e">
        <f t="shared" si="85"/>
        <v>#N/A</v>
      </c>
      <c r="V555" t="e">
        <f t="shared" si="86"/>
        <v>#N/A</v>
      </c>
      <c r="W555" t="e">
        <f t="shared" si="87"/>
        <v>#N/A</v>
      </c>
      <c r="X555" t="e">
        <f t="shared" si="88"/>
        <v>#N/A</v>
      </c>
      <c r="Y555" t="e">
        <f t="shared" si="89"/>
        <v>#N/A</v>
      </c>
    </row>
    <row r="556" spans="1:25" x14ac:dyDescent="0.2">
      <c r="A556">
        <v>1554</v>
      </c>
      <c r="B556" t="s">
        <v>28</v>
      </c>
      <c r="C556" t="s">
        <v>15</v>
      </c>
      <c r="D556">
        <v>2021</v>
      </c>
      <c r="E556" t="s">
        <v>16</v>
      </c>
      <c r="F556">
        <v>155</v>
      </c>
      <c r="G556">
        <v>3</v>
      </c>
      <c r="H556">
        <v>3</v>
      </c>
      <c r="I556">
        <v>422000</v>
      </c>
      <c r="J556">
        <v>2722.6</v>
      </c>
      <c r="K556">
        <v>0</v>
      </c>
      <c r="L556" t="s">
        <v>17</v>
      </c>
      <c r="M556">
        <v>170</v>
      </c>
      <c r="N556" t="s">
        <v>27</v>
      </c>
      <c r="P556" t="e">
        <f t="shared" si="80"/>
        <v>#N/A</v>
      </c>
      <c r="Q556" t="e">
        <f t="shared" si="81"/>
        <v>#N/A</v>
      </c>
      <c r="R556">
        <f t="shared" si="82"/>
        <v>422000</v>
      </c>
      <c r="S556">
        <f t="shared" si="83"/>
        <v>155</v>
      </c>
      <c r="T556" t="e">
        <f t="shared" si="84"/>
        <v>#N/A</v>
      </c>
      <c r="U556" t="e">
        <f t="shared" si="85"/>
        <v>#N/A</v>
      </c>
      <c r="V556" t="e">
        <f t="shared" si="86"/>
        <v>#N/A</v>
      </c>
      <c r="W556" t="e">
        <f t="shared" si="87"/>
        <v>#N/A</v>
      </c>
      <c r="X556" t="e">
        <f t="shared" si="88"/>
        <v>#N/A</v>
      </c>
      <c r="Y556" t="e">
        <f t="shared" si="89"/>
        <v>#N/A</v>
      </c>
    </row>
    <row r="557" spans="1:25" x14ac:dyDescent="0.2">
      <c r="A557">
        <v>1555</v>
      </c>
      <c r="B557" t="s">
        <v>33</v>
      </c>
      <c r="C557" t="s">
        <v>38</v>
      </c>
      <c r="D557">
        <v>2022</v>
      </c>
      <c r="E557" t="s">
        <v>16</v>
      </c>
      <c r="F557">
        <v>60</v>
      </c>
      <c r="G557">
        <v>0</v>
      </c>
      <c r="H557">
        <v>1</v>
      </c>
      <c r="I557">
        <v>209000</v>
      </c>
      <c r="J557">
        <v>3483.3</v>
      </c>
      <c r="K557">
        <v>7</v>
      </c>
      <c r="L557" t="s">
        <v>20</v>
      </c>
      <c r="M557">
        <v>12</v>
      </c>
      <c r="N557" t="s">
        <v>27</v>
      </c>
      <c r="P557" t="e">
        <f t="shared" si="80"/>
        <v>#N/A</v>
      </c>
      <c r="Q557" t="e">
        <f t="shared" si="81"/>
        <v>#N/A</v>
      </c>
      <c r="R557" t="e">
        <f t="shared" si="82"/>
        <v>#N/A</v>
      </c>
      <c r="S557" t="e">
        <f t="shared" si="83"/>
        <v>#N/A</v>
      </c>
      <c r="T557" t="e">
        <f t="shared" si="84"/>
        <v>#N/A</v>
      </c>
      <c r="U557" t="e">
        <f t="shared" si="85"/>
        <v>#N/A</v>
      </c>
      <c r="V557">
        <f t="shared" si="86"/>
        <v>209000</v>
      </c>
      <c r="W557">
        <f t="shared" si="87"/>
        <v>60</v>
      </c>
      <c r="X557" t="e">
        <f t="shared" si="88"/>
        <v>#N/A</v>
      </c>
      <c r="Y557" t="e">
        <f t="shared" si="89"/>
        <v>#N/A</v>
      </c>
    </row>
    <row r="558" spans="1:25" x14ac:dyDescent="0.2">
      <c r="A558">
        <v>1556</v>
      </c>
      <c r="B558" t="s">
        <v>28</v>
      </c>
      <c r="C558" t="s">
        <v>29</v>
      </c>
      <c r="D558">
        <v>2021</v>
      </c>
      <c r="E558" t="s">
        <v>26</v>
      </c>
      <c r="F558">
        <v>471</v>
      </c>
      <c r="G558">
        <v>5</v>
      </c>
      <c r="H558">
        <v>5</v>
      </c>
      <c r="I558">
        <v>1757000</v>
      </c>
      <c r="J558">
        <v>3730.4</v>
      </c>
      <c r="K558">
        <v>20</v>
      </c>
      <c r="L558" t="s">
        <v>34</v>
      </c>
      <c r="M558">
        <v>170</v>
      </c>
      <c r="N558" t="s">
        <v>27</v>
      </c>
      <c r="P558">
        <f t="shared" si="80"/>
        <v>1757000</v>
      </c>
      <c r="Q558">
        <f t="shared" si="81"/>
        <v>471</v>
      </c>
      <c r="R558" t="e">
        <f t="shared" si="82"/>
        <v>#N/A</v>
      </c>
      <c r="S558" t="e">
        <f t="shared" si="83"/>
        <v>#N/A</v>
      </c>
      <c r="T558" t="e">
        <f t="shared" si="84"/>
        <v>#N/A</v>
      </c>
      <c r="U558" t="e">
        <f t="shared" si="85"/>
        <v>#N/A</v>
      </c>
      <c r="V558" t="e">
        <f t="shared" si="86"/>
        <v>#N/A</v>
      </c>
      <c r="W558" t="e">
        <f t="shared" si="87"/>
        <v>#N/A</v>
      </c>
      <c r="X558" t="e">
        <f t="shared" si="88"/>
        <v>#N/A</v>
      </c>
      <c r="Y558" t="e">
        <f t="shared" si="89"/>
        <v>#N/A</v>
      </c>
    </row>
    <row r="559" spans="1:25" x14ac:dyDescent="0.2">
      <c r="A559">
        <v>1557</v>
      </c>
      <c r="B559" t="s">
        <v>39</v>
      </c>
      <c r="C559" t="s">
        <v>15</v>
      </c>
      <c r="D559">
        <v>2024</v>
      </c>
      <c r="E559" t="s">
        <v>30</v>
      </c>
      <c r="F559">
        <v>185</v>
      </c>
      <c r="G559">
        <v>2</v>
      </c>
      <c r="H559">
        <v>2</v>
      </c>
      <c r="I559">
        <v>725000</v>
      </c>
      <c r="J559">
        <v>3918.9</v>
      </c>
      <c r="K559">
        <v>20</v>
      </c>
      <c r="L559" t="s">
        <v>20</v>
      </c>
      <c r="M559">
        <v>30</v>
      </c>
      <c r="N559" t="s">
        <v>21</v>
      </c>
      <c r="P559" t="e">
        <f t="shared" si="80"/>
        <v>#N/A</v>
      </c>
      <c r="Q559" t="e">
        <f t="shared" si="81"/>
        <v>#N/A</v>
      </c>
      <c r="R559">
        <f t="shared" si="82"/>
        <v>725000</v>
      </c>
      <c r="S559">
        <f t="shared" si="83"/>
        <v>185</v>
      </c>
      <c r="T559" t="e">
        <f t="shared" si="84"/>
        <v>#N/A</v>
      </c>
      <c r="U559" t="e">
        <f t="shared" si="85"/>
        <v>#N/A</v>
      </c>
      <c r="V559" t="e">
        <f t="shared" si="86"/>
        <v>#N/A</v>
      </c>
      <c r="W559" t="e">
        <f t="shared" si="87"/>
        <v>#N/A</v>
      </c>
      <c r="X559" t="e">
        <f t="shared" si="88"/>
        <v>#N/A</v>
      </c>
      <c r="Y559" t="e">
        <f t="shared" si="89"/>
        <v>#N/A</v>
      </c>
    </row>
    <row r="560" spans="1:25" x14ac:dyDescent="0.2">
      <c r="A560">
        <v>1558</v>
      </c>
      <c r="B560" t="s">
        <v>14</v>
      </c>
      <c r="C560" t="s">
        <v>23</v>
      </c>
      <c r="D560">
        <v>2024</v>
      </c>
      <c r="E560" t="s">
        <v>16</v>
      </c>
      <c r="F560">
        <v>290</v>
      </c>
      <c r="G560">
        <v>3</v>
      </c>
      <c r="H560">
        <v>3</v>
      </c>
      <c r="I560">
        <v>1470000</v>
      </c>
      <c r="J560">
        <v>5069</v>
      </c>
      <c r="K560">
        <v>20</v>
      </c>
      <c r="L560" t="s">
        <v>17</v>
      </c>
      <c r="M560">
        <v>24</v>
      </c>
      <c r="N560" t="s">
        <v>18</v>
      </c>
      <c r="P560" t="e">
        <f t="shared" si="80"/>
        <v>#N/A</v>
      </c>
      <c r="Q560" t="e">
        <f t="shared" si="81"/>
        <v>#N/A</v>
      </c>
      <c r="R560" t="e">
        <f t="shared" si="82"/>
        <v>#N/A</v>
      </c>
      <c r="S560" t="e">
        <f t="shared" si="83"/>
        <v>#N/A</v>
      </c>
      <c r="T560">
        <f t="shared" si="84"/>
        <v>1470000</v>
      </c>
      <c r="U560">
        <f t="shared" si="85"/>
        <v>290</v>
      </c>
      <c r="V560" t="e">
        <f t="shared" si="86"/>
        <v>#N/A</v>
      </c>
      <c r="W560" t="e">
        <f t="shared" si="87"/>
        <v>#N/A</v>
      </c>
      <c r="X560" t="e">
        <f t="shared" si="88"/>
        <v>#N/A</v>
      </c>
      <c r="Y560" t="e">
        <f t="shared" si="89"/>
        <v>#N/A</v>
      </c>
    </row>
    <row r="561" spans="1:25" x14ac:dyDescent="0.2">
      <c r="A561">
        <v>1559</v>
      </c>
      <c r="B561" t="s">
        <v>28</v>
      </c>
      <c r="C561" t="s">
        <v>29</v>
      </c>
      <c r="D561">
        <v>2021</v>
      </c>
      <c r="E561" t="s">
        <v>24</v>
      </c>
      <c r="F561">
        <v>477</v>
      </c>
      <c r="G561">
        <v>4</v>
      </c>
      <c r="H561">
        <v>4</v>
      </c>
      <c r="I561">
        <v>1885000</v>
      </c>
      <c r="J561">
        <v>3951.8</v>
      </c>
      <c r="K561">
        <v>15</v>
      </c>
      <c r="L561" t="s">
        <v>17</v>
      </c>
      <c r="M561">
        <v>61</v>
      </c>
      <c r="N561" t="s">
        <v>27</v>
      </c>
      <c r="P561">
        <f t="shared" si="80"/>
        <v>1885000</v>
      </c>
      <c r="Q561">
        <f t="shared" si="81"/>
        <v>477</v>
      </c>
      <c r="R561" t="e">
        <f t="shared" si="82"/>
        <v>#N/A</v>
      </c>
      <c r="S561" t="e">
        <f t="shared" si="83"/>
        <v>#N/A</v>
      </c>
      <c r="T561" t="e">
        <f t="shared" si="84"/>
        <v>#N/A</v>
      </c>
      <c r="U561" t="e">
        <f t="shared" si="85"/>
        <v>#N/A</v>
      </c>
      <c r="V561" t="e">
        <f t="shared" si="86"/>
        <v>#N/A</v>
      </c>
      <c r="W561" t="e">
        <f t="shared" si="87"/>
        <v>#N/A</v>
      </c>
      <c r="X561" t="e">
        <f t="shared" si="88"/>
        <v>#N/A</v>
      </c>
      <c r="Y561" t="e">
        <f t="shared" si="89"/>
        <v>#N/A</v>
      </c>
    </row>
    <row r="562" spans="1:25" x14ac:dyDescent="0.2">
      <c r="A562">
        <v>1560</v>
      </c>
      <c r="B562" t="s">
        <v>33</v>
      </c>
      <c r="C562" t="s">
        <v>15</v>
      </c>
      <c r="D562">
        <v>2023</v>
      </c>
      <c r="E562" t="s">
        <v>26</v>
      </c>
      <c r="F562">
        <v>125</v>
      </c>
      <c r="G562">
        <v>4</v>
      </c>
      <c r="H562">
        <v>4</v>
      </c>
      <c r="I562">
        <v>323000</v>
      </c>
      <c r="J562">
        <v>2584</v>
      </c>
      <c r="K562">
        <v>0</v>
      </c>
      <c r="L562" t="s">
        <v>34</v>
      </c>
      <c r="M562">
        <v>31</v>
      </c>
      <c r="N562" t="s">
        <v>27</v>
      </c>
      <c r="P562" t="e">
        <f t="shared" si="80"/>
        <v>#N/A</v>
      </c>
      <c r="Q562" t="e">
        <f t="shared" si="81"/>
        <v>#N/A</v>
      </c>
      <c r="R562">
        <f t="shared" si="82"/>
        <v>323000</v>
      </c>
      <c r="S562">
        <f t="shared" si="83"/>
        <v>125</v>
      </c>
      <c r="T562" t="e">
        <f t="shared" si="84"/>
        <v>#N/A</v>
      </c>
      <c r="U562" t="e">
        <f t="shared" si="85"/>
        <v>#N/A</v>
      </c>
      <c r="V562" t="e">
        <f t="shared" si="86"/>
        <v>#N/A</v>
      </c>
      <c r="W562" t="e">
        <f t="shared" si="87"/>
        <v>#N/A</v>
      </c>
      <c r="X562" t="e">
        <f t="shared" si="88"/>
        <v>#N/A</v>
      </c>
      <c r="Y562" t="e">
        <f t="shared" si="89"/>
        <v>#N/A</v>
      </c>
    </row>
    <row r="563" spans="1:25" x14ac:dyDescent="0.2">
      <c r="A563">
        <v>1561</v>
      </c>
      <c r="B563" t="s">
        <v>35</v>
      </c>
      <c r="C563" t="s">
        <v>15</v>
      </c>
      <c r="D563">
        <v>2023</v>
      </c>
      <c r="E563" t="s">
        <v>24</v>
      </c>
      <c r="F563">
        <v>199</v>
      </c>
      <c r="G563">
        <v>2</v>
      </c>
      <c r="H563">
        <v>2</v>
      </c>
      <c r="I563">
        <v>727000</v>
      </c>
      <c r="J563">
        <v>3653.3</v>
      </c>
      <c r="K563">
        <v>3</v>
      </c>
      <c r="L563" t="s">
        <v>20</v>
      </c>
      <c r="M563">
        <v>167</v>
      </c>
      <c r="N563" t="s">
        <v>18</v>
      </c>
      <c r="P563" t="e">
        <f t="shared" si="80"/>
        <v>#N/A</v>
      </c>
      <c r="Q563" t="e">
        <f t="shared" si="81"/>
        <v>#N/A</v>
      </c>
      <c r="R563">
        <f t="shared" si="82"/>
        <v>727000</v>
      </c>
      <c r="S563">
        <f t="shared" si="83"/>
        <v>199</v>
      </c>
      <c r="T563" t="e">
        <f t="shared" si="84"/>
        <v>#N/A</v>
      </c>
      <c r="U563" t="e">
        <f t="shared" si="85"/>
        <v>#N/A</v>
      </c>
      <c r="V563" t="e">
        <f t="shared" si="86"/>
        <v>#N/A</v>
      </c>
      <c r="W563" t="e">
        <f t="shared" si="87"/>
        <v>#N/A</v>
      </c>
      <c r="X563" t="e">
        <f t="shared" si="88"/>
        <v>#N/A</v>
      </c>
      <c r="Y563" t="e">
        <f t="shared" si="89"/>
        <v>#N/A</v>
      </c>
    </row>
    <row r="564" spans="1:25" x14ac:dyDescent="0.2">
      <c r="A564">
        <v>1562</v>
      </c>
      <c r="B564" t="s">
        <v>31</v>
      </c>
      <c r="C564" t="s">
        <v>15</v>
      </c>
      <c r="D564">
        <v>2022</v>
      </c>
      <c r="E564" t="s">
        <v>16</v>
      </c>
      <c r="F564">
        <v>149</v>
      </c>
      <c r="G564">
        <v>3</v>
      </c>
      <c r="H564">
        <v>3</v>
      </c>
      <c r="I564">
        <v>382000</v>
      </c>
      <c r="J564">
        <v>2563.8000000000002</v>
      </c>
      <c r="K564">
        <v>20</v>
      </c>
      <c r="L564" t="s">
        <v>17</v>
      </c>
      <c r="M564">
        <v>80</v>
      </c>
      <c r="N564" t="s">
        <v>21</v>
      </c>
      <c r="P564" t="e">
        <f t="shared" si="80"/>
        <v>#N/A</v>
      </c>
      <c r="Q564" t="e">
        <f t="shared" si="81"/>
        <v>#N/A</v>
      </c>
      <c r="R564">
        <f t="shared" si="82"/>
        <v>382000</v>
      </c>
      <c r="S564">
        <f t="shared" si="83"/>
        <v>149</v>
      </c>
      <c r="T564" t="e">
        <f t="shared" si="84"/>
        <v>#N/A</v>
      </c>
      <c r="U564" t="e">
        <f t="shared" si="85"/>
        <v>#N/A</v>
      </c>
      <c r="V564" t="e">
        <f t="shared" si="86"/>
        <v>#N/A</v>
      </c>
      <c r="W564" t="e">
        <f t="shared" si="87"/>
        <v>#N/A</v>
      </c>
      <c r="X564" t="e">
        <f t="shared" si="88"/>
        <v>#N/A</v>
      </c>
      <c r="Y564" t="e">
        <f t="shared" si="89"/>
        <v>#N/A</v>
      </c>
    </row>
    <row r="565" spans="1:25" x14ac:dyDescent="0.2">
      <c r="A565">
        <v>1563</v>
      </c>
      <c r="B565" t="s">
        <v>28</v>
      </c>
      <c r="C565" t="s">
        <v>15</v>
      </c>
      <c r="D565">
        <v>2021</v>
      </c>
      <c r="E565" t="s">
        <v>24</v>
      </c>
      <c r="F565">
        <v>125</v>
      </c>
      <c r="G565">
        <v>3</v>
      </c>
      <c r="H565">
        <v>3</v>
      </c>
      <c r="I565">
        <v>341000</v>
      </c>
      <c r="J565">
        <v>2728</v>
      </c>
      <c r="K565">
        <v>4</v>
      </c>
      <c r="L565" t="s">
        <v>20</v>
      </c>
      <c r="M565">
        <v>55</v>
      </c>
      <c r="N565" t="s">
        <v>27</v>
      </c>
      <c r="P565" t="e">
        <f t="shared" si="80"/>
        <v>#N/A</v>
      </c>
      <c r="Q565" t="e">
        <f t="shared" si="81"/>
        <v>#N/A</v>
      </c>
      <c r="R565">
        <f t="shared" si="82"/>
        <v>341000</v>
      </c>
      <c r="S565">
        <f t="shared" si="83"/>
        <v>125</v>
      </c>
      <c r="T565" t="e">
        <f t="shared" si="84"/>
        <v>#N/A</v>
      </c>
      <c r="U565" t="e">
        <f t="shared" si="85"/>
        <v>#N/A</v>
      </c>
      <c r="V565" t="e">
        <f t="shared" si="86"/>
        <v>#N/A</v>
      </c>
      <c r="W565" t="e">
        <f t="shared" si="87"/>
        <v>#N/A</v>
      </c>
      <c r="X565" t="e">
        <f t="shared" si="88"/>
        <v>#N/A</v>
      </c>
      <c r="Y565" t="e">
        <f t="shared" si="89"/>
        <v>#N/A</v>
      </c>
    </row>
    <row r="566" spans="1:25" x14ac:dyDescent="0.2">
      <c r="A566">
        <v>1564</v>
      </c>
      <c r="B566" t="s">
        <v>41</v>
      </c>
      <c r="C566" t="s">
        <v>29</v>
      </c>
      <c r="D566">
        <v>2024</v>
      </c>
      <c r="E566" t="s">
        <v>16</v>
      </c>
      <c r="F566">
        <v>384</v>
      </c>
      <c r="G566">
        <v>5</v>
      </c>
      <c r="H566">
        <v>5</v>
      </c>
      <c r="I566">
        <v>2804000</v>
      </c>
      <c r="J566">
        <v>7302.1</v>
      </c>
      <c r="K566">
        <v>20</v>
      </c>
      <c r="L566" t="s">
        <v>17</v>
      </c>
      <c r="M566">
        <v>92</v>
      </c>
      <c r="N566" t="s">
        <v>21</v>
      </c>
      <c r="P566">
        <f t="shared" si="80"/>
        <v>2804000</v>
      </c>
      <c r="Q566">
        <f t="shared" si="81"/>
        <v>384</v>
      </c>
      <c r="R566" t="e">
        <f t="shared" si="82"/>
        <v>#N/A</v>
      </c>
      <c r="S566" t="e">
        <f t="shared" si="83"/>
        <v>#N/A</v>
      </c>
      <c r="T566" t="e">
        <f t="shared" si="84"/>
        <v>#N/A</v>
      </c>
      <c r="U566" t="e">
        <f t="shared" si="85"/>
        <v>#N/A</v>
      </c>
      <c r="V566" t="e">
        <f t="shared" si="86"/>
        <v>#N/A</v>
      </c>
      <c r="W566" t="e">
        <f t="shared" si="87"/>
        <v>#N/A</v>
      </c>
      <c r="X566" t="e">
        <f t="shared" si="88"/>
        <v>#N/A</v>
      </c>
      <c r="Y566" t="e">
        <f t="shared" si="89"/>
        <v>#N/A</v>
      </c>
    </row>
    <row r="567" spans="1:25" x14ac:dyDescent="0.2">
      <c r="A567">
        <v>1565</v>
      </c>
      <c r="B567" t="s">
        <v>44</v>
      </c>
      <c r="C567" t="s">
        <v>29</v>
      </c>
      <c r="D567">
        <v>2023</v>
      </c>
      <c r="E567" t="s">
        <v>16</v>
      </c>
      <c r="F567">
        <v>269</v>
      </c>
      <c r="G567">
        <v>4</v>
      </c>
      <c r="H567">
        <v>4</v>
      </c>
      <c r="I567">
        <v>1227000</v>
      </c>
      <c r="J567">
        <v>4561.3</v>
      </c>
      <c r="K567">
        <v>4</v>
      </c>
      <c r="L567" t="s">
        <v>20</v>
      </c>
      <c r="M567">
        <v>123</v>
      </c>
      <c r="N567" t="s">
        <v>18</v>
      </c>
      <c r="P567">
        <f t="shared" si="80"/>
        <v>1227000</v>
      </c>
      <c r="Q567">
        <f t="shared" si="81"/>
        <v>269</v>
      </c>
      <c r="R567" t="e">
        <f t="shared" si="82"/>
        <v>#N/A</v>
      </c>
      <c r="S567" t="e">
        <f t="shared" si="83"/>
        <v>#N/A</v>
      </c>
      <c r="T567" t="e">
        <f t="shared" si="84"/>
        <v>#N/A</v>
      </c>
      <c r="U567" t="e">
        <f t="shared" si="85"/>
        <v>#N/A</v>
      </c>
      <c r="V567" t="e">
        <f t="shared" si="86"/>
        <v>#N/A</v>
      </c>
      <c r="W567" t="e">
        <f t="shared" si="87"/>
        <v>#N/A</v>
      </c>
      <c r="X567" t="e">
        <f t="shared" si="88"/>
        <v>#N/A</v>
      </c>
      <c r="Y567" t="e">
        <f t="shared" si="89"/>
        <v>#N/A</v>
      </c>
    </row>
    <row r="568" spans="1:25" x14ac:dyDescent="0.2">
      <c r="A568">
        <v>1566</v>
      </c>
      <c r="B568" t="s">
        <v>14</v>
      </c>
      <c r="C568" t="s">
        <v>15</v>
      </c>
      <c r="D568">
        <v>2024</v>
      </c>
      <c r="E568" t="s">
        <v>16</v>
      </c>
      <c r="F568">
        <v>131</v>
      </c>
      <c r="G568">
        <v>4</v>
      </c>
      <c r="H568">
        <v>4</v>
      </c>
      <c r="I568">
        <v>550000</v>
      </c>
      <c r="J568">
        <v>4198.5</v>
      </c>
      <c r="K568">
        <v>0</v>
      </c>
      <c r="L568" t="s">
        <v>17</v>
      </c>
      <c r="M568">
        <v>106</v>
      </c>
      <c r="N568" t="s">
        <v>18</v>
      </c>
      <c r="P568" t="e">
        <f t="shared" si="80"/>
        <v>#N/A</v>
      </c>
      <c r="Q568" t="e">
        <f t="shared" si="81"/>
        <v>#N/A</v>
      </c>
      <c r="R568">
        <f t="shared" si="82"/>
        <v>550000</v>
      </c>
      <c r="S568">
        <f t="shared" si="83"/>
        <v>131</v>
      </c>
      <c r="T568" t="e">
        <f t="shared" si="84"/>
        <v>#N/A</v>
      </c>
      <c r="U568" t="e">
        <f t="shared" si="85"/>
        <v>#N/A</v>
      </c>
      <c r="V568" t="e">
        <f t="shared" si="86"/>
        <v>#N/A</v>
      </c>
      <c r="W568" t="e">
        <f t="shared" si="87"/>
        <v>#N/A</v>
      </c>
      <c r="X568" t="e">
        <f t="shared" si="88"/>
        <v>#N/A</v>
      </c>
      <c r="Y568" t="e">
        <f t="shared" si="89"/>
        <v>#N/A</v>
      </c>
    </row>
    <row r="569" spans="1:25" x14ac:dyDescent="0.2">
      <c r="A569">
        <v>1567</v>
      </c>
      <c r="B569" t="s">
        <v>46</v>
      </c>
      <c r="C569" t="s">
        <v>23</v>
      </c>
      <c r="D569">
        <v>2023</v>
      </c>
      <c r="E569" t="s">
        <v>16</v>
      </c>
      <c r="F569">
        <v>159</v>
      </c>
      <c r="G569">
        <v>3</v>
      </c>
      <c r="H569">
        <v>3</v>
      </c>
      <c r="I569">
        <v>622000</v>
      </c>
      <c r="J569">
        <v>3911.9</v>
      </c>
      <c r="K569">
        <v>7</v>
      </c>
      <c r="L569" t="s">
        <v>20</v>
      </c>
      <c r="M569">
        <v>93</v>
      </c>
      <c r="N569" t="s">
        <v>18</v>
      </c>
      <c r="P569" t="e">
        <f t="shared" si="80"/>
        <v>#N/A</v>
      </c>
      <c r="Q569" t="e">
        <f t="shared" si="81"/>
        <v>#N/A</v>
      </c>
      <c r="R569" t="e">
        <f t="shared" si="82"/>
        <v>#N/A</v>
      </c>
      <c r="S569" t="e">
        <f t="shared" si="83"/>
        <v>#N/A</v>
      </c>
      <c r="T569">
        <f t="shared" si="84"/>
        <v>622000</v>
      </c>
      <c r="U569">
        <f t="shared" si="85"/>
        <v>159</v>
      </c>
      <c r="V569" t="e">
        <f t="shared" si="86"/>
        <v>#N/A</v>
      </c>
      <c r="W569" t="e">
        <f t="shared" si="87"/>
        <v>#N/A</v>
      </c>
      <c r="X569" t="e">
        <f t="shared" si="88"/>
        <v>#N/A</v>
      </c>
      <c r="Y569" t="e">
        <f t="shared" si="89"/>
        <v>#N/A</v>
      </c>
    </row>
    <row r="570" spans="1:25" x14ac:dyDescent="0.2">
      <c r="A570">
        <v>1568</v>
      </c>
      <c r="B570" t="s">
        <v>40</v>
      </c>
      <c r="C570" t="s">
        <v>29</v>
      </c>
      <c r="D570">
        <v>2021</v>
      </c>
      <c r="E570" t="s">
        <v>24</v>
      </c>
      <c r="F570">
        <v>483</v>
      </c>
      <c r="G570">
        <v>6</v>
      </c>
      <c r="H570">
        <v>6</v>
      </c>
      <c r="I570">
        <v>2334000</v>
      </c>
      <c r="J570">
        <v>4832.3</v>
      </c>
      <c r="K570">
        <v>3</v>
      </c>
      <c r="L570" t="s">
        <v>20</v>
      </c>
      <c r="M570">
        <v>63</v>
      </c>
      <c r="N570" t="s">
        <v>18</v>
      </c>
      <c r="P570">
        <f t="shared" si="80"/>
        <v>2334000</v>
      </c>
      <c r="Q570">
        <f t="shared" si="81"/>
        <v>483</v>
      </c>
      <c r="R570" t="e">
        <f t="shared" si="82"/>
        <v>#N/A</v>
      </c>
      <c r="S570" t="e">
        <f t="shared" si="83"/>
        <v>#N/A</v>
      </c>
      <c r="T570" t="e">
        <f t="shared" si="84"/>
        <v>#N/A</v>
      </c>
      <c r="U570" t="e">
        <f t="shared" si="85"/>
        <v>#N/A</v>
      </c>
      <c r="V570" t="e">
        <f t="shared" si="86"/>
        <v>#N/A</v>
      </c>
      <c r="W570" t="e">
        <f t="shared" si="87"/>
        <v>#N/A</v>
      </c>
      <c r="X570" t="e">
        <f t="shared" si="88"/>
        <v>#N/A</v>
      </c>
      <c r="Y570" t="e">
        <f t="shared" si="89"/>
        <v>#N/A</v>
      </c>
    </row>
    <row r="571" spans="1:25" x14ac:dyDescent="0.2">
      <c r="A571">
        <v>1569</v>
      </c>
      <c r="B571" t="s">
        <v>44</v>
      </c>
      <c r="C571" t="s">
        <v>36</v>
      </c>
      <c r="D571">
        <v>2021</v>
      </c>
      <c r="E571" t="s">
        <v>16</v>
      </c>
      <c r="F571">
        <v>376</v>
      </c>
      <c r="G571">
        <v>4</v>
      </c>
      <c r="H571">
        <v>4</v>
      </c>
      <c r="I571">
        <v>737000</v>
      </c>
      <c r="J571">
        <v>1960.1</v>
      </c>
      <c r="K571">
        <v>1</v>
      </c>
      <c r="L571" t="s">
        <v>17</v>
      </c>
      <c r="M571">
        <v>162</v>
      </c>
      <c r="N571" t="s">
        <v>18</v>
      </c>
      <c r="P571" t="e">
        <f t="shared" si="80"/>
        <v>#N/A</v>
      </c>
      <c r="Q571" t="e">
        <f t="shared" si="81"/>
        <v>#N/A</v>
      </c>
      <c r="R571" t="e">
        <f t="shared" si="82"/>
        <v>#N/A</v>
      </c>
      <c r="S571" t="e">
        <f t="shared" si="83"/>
        <v>#N/A</v>
      </c>
      <c r="T571" t="e">
        <f t="shared" si="84"/>
        <v>#N/A</v>
      </c>
      <c r="U571" t="e">
        <f t="shared" si="85"/>
        <v>#N/A</v>
      </c>
      <c r="V571" t="e">
        <f t="shared" si="86"/>
        <v>#N/A</v>
      </c>
      <c r="W571" t="e">
        <f t="shared" si="87"/>
        <v>#N/A</v>
      </c>
      <c r="X571">
        <f t="shared" si="88"/>
        <v>737000</v>
      </c>
      <c r="Y571">
        <f t="shared" si="89"/>
        <v>376</v>
      </c>
    </row>
    <row r="572" spans="1:25" x14ac:dyDescent="0.2">
      <c r="A572">
        <v>1570</v>
      </c>
      <c r="B572" t="s">
        <v>42</v>
      </c>
      <c r="C572" t="s">
        <v>15</v>
      </c>
      <c r="D572">
        <v>2021</v>
      </c>
      <c r="E572" t="s">
        <v>16</v>
      </c>
      <c r="F572">
        <v>116</v>
      </c>
      <c r="G572">
        <v>3</v>
      </c>
      <c r="H572">
        <v>3</v>
      </c>
      <c r="I572">
        <v>445000</v>
      </c>
      <c r="J572">
        <v>3836.2</v>
      </c>
      <c r="K572">
        <v>20</v>
      </c>
      <c r="L572" t="s">
        <v>20</v>
      </c>
      <c r="M572">
        <v>173</v>
      </c>
      <c r="N572" t="s">
        <v>21</v>
      </c>
      <c r="P572" t="e">
        <f t="shared" si="80"/>
        <v>#N/A</v>
      </c>
      <c r="Q572" t="e">
        <f t="shared" si="81"/>
        <v>#N/A</v>
      </c>
      <c r="R572">
        <f t="shared" si="82"/>
        <v>445000</v>
      </c>
      <c r="S572">
        <f t="shared" si="83"/>
        <v>116</v>
      </c>
      <c r="T572" t="e">
        <f t="shared" si="84"/>
        <v>#N/A</v>
      </c>
      <c r="U572" t="e">
        <f t="shared" si="85"/>
        <v>#N/A</v>
      </c>
      <c r="V572" t="e">
        <f t="shared" si="86"/>
        <v>#N/A</v>
      </c>
      <c r="W572" t="e">
        <f t="shared" si="87"/>
        <v>#N/A</v>
      </c>
      <c r="X572" t="e">
        <f t="shared" si="88"/>
        <v>#N/A</v>
      </c>
      <c r="Y572" t="e">
        <f t="shared" si="89"/>
        <v>#N/A</v>
      </c>
    </row>
    <row r="573" spans="1:25" x14ac:dyDescent="0.2">
      <c r="A573">
        <v>1571</v>
      </c>
      <c r="B573" t="s">
        <v>47</v>
      </c>
      <c r="C573" t="s">
        <v>15</v>
      </c>
      <c r="D573">
        <v>2024</v>
      </c>
      <c r="E573" t="s">
        <v>24</v>
      </c>
      <c r="F573">
        <v>144</v>
      </c>
      <c r="G573">
        <v>4</v>
      </c>
      <c r="H573">
        <v>4</v>
      </c>
      <c r="I573">
        <v>518000</v>
      </c>
      <c r="J573">
        <v>3597.2</v>
      </c>
      <c r="K573">
        <v>5</v>
      </c>
      <c r="L573" t="s">
        <v>34</v>
      </c>
      <c r="M573">
        <v>36</v>
      </c>
      <c r="N573" t="s">
        <v>21</v>
      </c>
      <c r="P573" t="e">
        <f t="shared" si="80"/>
        <v>#N/A</v>
      </c>
      <c r="Q573" t="e">
        <f t="shared" si="81"/>
        <v>#N/A</v>
      </c>
      <c r="R573">
        <f t="shared" si="82"/>
        <v>518000</v>
      </c>
      <c r="S573">
        <f t="shared" si="83"/>
        <v>144</v>
      </c>
      <c r="T573" t="e">
        <f t="shared" si="84"/>
        <v>#N/A</v>
      </c>
      <c r="U573" t="e">
        <f t="shared" si="85"/>
        <v>#N/A</v>
      </c>
      <c r="V573" t="e">
        <f t="shared" si="86"/>
        <v>#N/A</v>
      </c>
      <c r="W573" t="e">
        <f t="shared" si="87"/>
        <v>#N/A</v>
      </c>
      <c r="X573" t="e">
        <f t="shared" si="88"/>
        <v>#N/A</v>
      </c>
      <c r="Y573" t="e">
        <f t="shared" si="89"/>
        <v>#N/A</v>
      </c>
    </row>
    <row r="574" spans="1:25" x14ac:dyDescent="0.2">
      <c r="A574">
        <v>1572</v>
      </c>
      <c r="B574" t="s">
        <v>47</v>
      </c>
      <c r="C574" t="s">
        <v>15</v>
      </c>
      <c r="D574">
        <v>2024</v>
      </c>
      <c r="E574" t="s">
        <v>30</v>
      </c>
      <c r="F574">
        <v>145</v>
      </c>
      <c r="G574">
        <v>3</v>
      </c>
      <c r="H574">
        <v>3</v>
      </c>
      <c r="I574">
        <v>494000</v>
      </c>
      <c r="J574">
        <v>3406.9</v>
      </c>
      <c r="K574">
        <v>10</v>
      </c>
      <c r="L574" t="s">
        <v>20</v>
      </c>
      <c r="M574">
        <v>143</v>
      </c>
      <c r="N574" t="s">
        <v>21</v>
      </c>
      <c r="P574" t="e">
        <f t="shared" si="80"/>
        <v>#N/A</v>
      </c>
      <c r="Q574" t="e">
        <f t="shared" si="81"/>
        <v>#N/A</v>
      </c>
      <c r="R574">
        <f t="shared" si="82"/>
        <v>494000</v>
      </c>
      <c r="S574">
        <f t="shared" si="83"/>
        <v>145</v>
      </c>
      <c r="T574" t="e">
        <f t="shared" si="84"/>
        <v>#N/A</v>
      </c>
      <c r="U574" t="e">
        <f t="shared" si="85"/>
        <v>#N/A</v>
      </c>
      <c r="V574" t="e">
        <f t="shared" si="86"/>
        <v>#N/A</v>
      </c>
      <c r="W574" t="e">
        <f t="shared" si="87"/>
        <v>#N/A</v>
      </c>
      <c r="X574" t="e">
        <f t="shared" si="88"/>
        <v>#N/A</v>
      </c>
      <c r="Y574" t="e">
        <f t="shared" si="89"/>
        <v>#N/A</v>
      </c>
    </row>
    <row r="575" spans="1:25" x14ac:dyDescent="0.2">
      <c r="A575">
        <v>1573</v>
      </c>
      <c r="B575" t="s">
        <v>45</v>
      </c>
      <c r="C575" t="s">
        <v>15</v>
      </c>
      <c r="D575">
        <v>2024</v>
      </c>
      <c r="E575" t="s">
        <v>30</v>
      </c>
      <c r="F575">
        <v>110</v>
      </c>
      <c r="G575">
        <v>3</v>
      </c>
      <c r="H575">
        <v>3</v>
      </c>
      <c r="I575">
        <v>498000</v>
      </c>
      <c r="J575">
        <v>4527.3</v>
      </c>
      <c r="K575">
        <v>15</v>
      </c>
      <c r="L575" t="s">
        <v>17</v>
      </c>
      <c r="M575">
        <v>6</v>
      </c>
      <c r="N575" t="s">
        <v>21</v>
      </c>
      <c r="P575" t="e">
        <f t="shared" si="80"/>
        <v>#N/A</v>
      </c>
      <c r="Q575" t="e">
        <f t="shared" si="81"/>
        <v>#N/A</v>
      </c>
      <c r="R575">
        <f t="shared" si="82"/>
        <v>498000</v>
      </c>
      <c r="S575">
        <f t="shared" si="83"/>
        <v>110</v>
      </c>
      <c r="T575" t="e">
        <f t="shared" si="84"/>
        <v>#N/A</v>
      </c>
      <c r="U575" t="e">
        <f t="shared" si="85"/>
        <v>#N/A</v>
      </c>
      <c r="V575" t="e">
        <f t="shared" si="86"/>
        <v>#N/A</v>
      </c>
      <c r="W575" t="e">
        <f t="shared" si="87"/>
        <v>#N/A</v>
      </c>
      <c r="X575" t="e">
        <f t="shared" si="88"/>
        <v>#N/A</v>
      </c>
      <c r="Y575" t="e">
        <f t="shared" si="89"/>
        <v>#N/A</v>
      </c>
    </row>
    <row r="576" spans="1:25" x14ac:dyDescent="0.2">
      <c r="A576">
        <v>1574</v>
      </c>
      <c r="B576" t="s">
        <v>35</v>
      </c>
      <c r="C576" t="s">
        <v>29</v>
      </c>
      <c r="D576">
        <v>2021</v>
      </c>
      <c r="E576" t="s">
        <v>24</v>
      </c>
      <c r="F576">
        <v>402</v>
      </c>
      <c r="G576">
        <v>5</v>
      </c>
      <c r="H576">
        <v>5</v>
      </c>
      <c r="I576">
        <v>1859000</v>
      </c>
      <c r="J576">
        <v>4624.3999999999996</v>
      </c>
      <c r="K576">
        <v>7</v>
      </c>
      <c r="L576" t="s">
        <v>34</v>
      </c>
      <c r="M576">
        <v>148</v>
      </c>
      <c r="N576" t="s">
        <v>18</v>
      </c>
      <c r="P576">
        <f t="shared" si="80"/>
        <v>1859000</v>
      </c>
      <c r="Q576">
        <f t="shared" si="81"/>
        <v>402</v>
      </c>
      <c r="R576" t="e">
        <f t="shared" si="82"/>
        <v>#N/A</v>
      </c>
      <c r="S576" t="e">
        <f t="shared" si="83"/>
        <v>#N/A</v>
      </c>
      <c r="T576" t="e">
        <f t="shared" si="84"/>
        <v>#N/A</v>
      </c>
      <c r="U576" t="e">
        <f t="shared" si="85"/>
        <v>#N/A</v>
      </c>
      <c r="V576" t="e">
        <f t="shared" si="86"/>
        <v>#N/A</v>
      </c>
      <c r="W576" t="e">
        <f t="shared" si="87"/>
        <v>#N/A</v>
      </c>
      <c r="X576" t="e">
        <f t="shared" si="88"/>
        <v>#N/A</v>
      </c>
      <c r="Y576" t="e">
        <f t="shared" si="89"/>
        <v>#N/A</v>
      </c>
    </row>
    <row r="577" spans="1:25" x14ac:dyDescent="0.2">
      <c r="A577">
        <v>1575</v>
      </c>
      <c r="B577" t="s">
        <v>28</v>
      </c>
      <c r="C577" t="s">
        <v>29</v>
      </c>
      <c r="D577">
        <v>2021</v>
      </c>
      <c r="E577" t="s">
        <v>24</v>
      </c>
      <c r="F577">
        <v>422</v>
      </c>
      <c r="G577">
        <v>5</v>
      </c>
      <c r="H577">
        <v>5</v>
      </c>
      <c r="I577">
        <v>1678000</v>
      </c>
      <c r="J577">
        <v>3976.3</v>
      </c>
      <c r="K577">
        <v>4</v>
      </c>
      <c r="L577" t="s">
        <v>17</v>
      </c>
      <c r="M577">
        <v>65</v>
      </c>
      <c r="N577" t="s">
        <v>27</v>
      </c>
      <c r="P577">
        <f t="shared" si="80"/>
        <v>1678000</v>
      </c>
      <c r="Q577">
        <f t="shared" si="81"/>
        <v>422</v>
      </c>
      <c r="R577" t="e">
        <f t="shared" si="82"/>
        <v>#N/A</v>
      </c>
      <c r="S577" t="e">
        <f t="shared" si="83"/>
        <v>#N/A</v>
      </c>
      <c r="T577" t="e">
        <f t="shared" si="84"/>
        <v>#N/A</v>
      </c>
      <c r="U577" t="e">
        <f t="shared" si="85"/>
        <v>#N/A</v>
      </c>
      <c r="V577" t="e">
        <f t="shared" si="86"/>
        <v>#N/A</v>
      </c>
      <c r="W577" t="e">
        <f t="shared" si="87"/>
        <v>#N/A</v>
      </c>
      <c r="X577" t="e">
        <f t="shared" si="88"/>
        <v>#N/A</v>
      </c>
      <c r="Y577" t="e">
        <f t="shared" si="89"/>
        <v>#N/A</v>
      </c>
    </row>
    <row r="578" spans="1:25" x14ac:dyDescent="0.2">
      <c r="A578">
        <v>1576</v>
      </c>
      <c r="B578" t="s">
        <v>19</v>
      </c>
      <c r="C578" t="s">
        <v>15</v>
      </c>
      <c r="D578">
        <v>2024</v>
      </c>
      <c r="E578" t="s">
        <v>24</v>
      </c>
      <c r="F578">
        <v>138</v>
      </c>
      <c r="G578">
        <v>2</v>
      </c>
      <c r="H578">
        <v>2</v>
      </c>
      <c r="I578">
        <v>449000</v>
      </c>
      <c r="J578">
        <v>3253.6</v>
      </c>
      <c r="K578">
        <v>7</v>
      </c>
      <c r="L578" t="s">
        <v>20</v>
      </c>
      <c r="M578">
        <v>35</v>
      </c>
      <c r="N578" t="s">
        <v>21</v>
      </c>
      <c r="P578" t="e">
        <f t="shared" si="80"/>
        <v>#N/A</v>
      </c>
      <c r="Q578" t="e">
        <f t="shared" si="81"/>
        <v>#N/A</v>
      </c>
      <c r="R578">
        <f t="shared" si="82"/>
        <v>449000</v>
      </c>
      <c r="S578">
        <f t="shared" si="83"/>
        <v>138</v>
      </c>
      <c r="T578" t="e">
        <f t="shared" si="84"/>
        <v>#N/A</v>
      </c>
      <c r="U578" t="e">
        <f t="shared" si="85"/>
        <v>#N/A</v>
      </c>
      <c r="V578" t="e">
        <f t="shared" si="86"/>
        <v>#N/A</v>
      </c>
      <c r="W578" t="e">
        <f t="shared" si="87"/>
        <v>#N/A</v>
      </c>
      <c r="X578" t="e">
        <f t="shared" si="88"/>
        <v>#N/A</v>
      </c>
      <c r="Y578" t="e">
        <f t="shared" si="89"/>
        <v>#N/A</v>
      </c>
    </row>
    <row r="579" spans="1:25" x14ac:dyDescent="0.2">
      <c r="A579">
        <v>1577</v>
      </c>
      <c r="B579" t="s">
        <v>22</v>
      </c>
      <c r="C579" t="s">
        <v>23</v>
      </c>
      <c r="D579">
        <v>2022</v>
      </c>
      <c r="E579" t="s">
        <v>24</v>
      </c>
      <c r="F579">
        <v>246</v>
      </c>
      <c r="G579">
        <v>4</v>
      </c>
      <c r="H579">
        <v>4</v>
      </c>
      <c r="I579">
        <v>925000</v>
      </c>
      <c r="J579">
        <v>3760.2</v>
      </c>
      <c r="K579">
        <v>7</v>
      </c>
      <c r="L579" t="s">
        <v>17</v>
      </c>
      <c r="M579">
        <v>97</v>
      </c>
      <c r="N579" t="s">
        <v>18</v>
      </c>
      <c r="P579" t="e">
        <f t="shared" ref="P579:P642" si="90">IF(C579="Villa", I579, NA())</f>
        <v>#N/A</v>
      </c>
      <c r="Q579" t="e">
        <f t="shared" ref="Q579:Q642" si="91">IF(C579="Villa", F579, NA())</f>
        <v>#N/A</v>
      </c>
      <c r="R579" t="e">
        <f t="shared" ref="R579:R642" si="92">IF(C579="Apartment",I579,NA())</f>
        <v>#N/A</v>
      </c>
      <c r="S579" t="e">
        <f t="shared" ref="S579:S642" si="93">IF(C579="Apartment",F579,NA())</f>
        <v>#N/A</v>
      </c>
      <c r="T579">
        <f t="shared" ref="T579:T642" si="94">IF(C579="Duplex",I579,NA())</f>
        <v>925000</v>
      </c>
      <c r="U579">
        <f t="shared" ref="U579:U642" si="95">IF(C579="Duplex",F579,NA())</f>
        <v>246</v>
      </c>
      <c r="V579" t="e">
        <f t="shared" ref="V579:V642" si="96">IF(C579="Studio",I579,NA())</f>
        <v>#N/A</v>
      </c>
      <c r="W579" t="e">
        <f t="shared" ref="W579:W642" si="97">IF(C579="Studio",F579,NA())</f>
        <v>#N/A</v>
      </c>
      <c r="X579" t="e">
        <f t="shared" ref="X579:X642" si="98">IF(C579="Floor",I579,NA())</f>
        <v>#N/A</v>
      </c>
      <c r="Y579" t="e">
        <f t="shared" ref="Y579:Y642" si="99">IF(C579="Floor",F579,NA())</f>
        <v>#N/A</v>
      </c>
    </row>
    <row r="580" spans="1:25" x14ac:dyDescent="0.2">
      <c r="A580">
        <v>1578</v>
      </c>
      <c r="B580" t="s">
        <v>28</v>
      </c>
      <c r="C580" t="s">
        <v>38</v>
      </c>
      <c r="D580">
        <v>2021</v>
      </c>
      <c r="E580" t="s">
        <v>16</v>
      </c>
      <c r="F580">
        <v>45</v>
      </c>
      <c r="G580">
        <v>0</v>
      </c>
      <c r="H580">
        <v>1</v>
      </c>
      <c r="I580">
        <v>156000</v>
      </c>
      <c r="J580">
        <v>3466.7</v>
      </c>
      <c r="K580">
        <v>2</v>
      </c>
      <c r="L580" t="s">
        <v>34</v>
      </c>
      <c r="M580">
        <v>19</v>
      </c>
      <c r="N580" t="s">
        <v>27</v>
      </c>
      <c r="P580" t="e">
        <f t="shared" si="90"/>
        <v>#N/A</v>
      </c>
      <c r="Q580" t="e">
        <f t="shared" si="91"/>
        <v>#N/A</v>
      </c>
      <c r="R580" t="e">
        <f t="shared" si="92"/>
        <v>#N/A</v>
      </c>
      <c r="S580" t="e">
        <f t="shared" si="93"/>
        <v>#N/A</v>
      </c>
      <c r="T580" t="e">
        <f t="shared" si="94"/>
        <v>#N/A</v>
      </c>
      <c r="U580" t="e">
        <f t="shared" si="95"/>
        <v>#N/A</v>
      </c>
      <c r="V580">
        <f t="shared" si="96"/>
        <v>156000</v>
      </c>
      <c r="W580">
        <f t="shared" si="97"/>
        <v>45</v>
      </c>
      <c r="X580" t="e">
        <f t="shared" si="98"/>
        <v>#N/A</v>
      </c>
      <c r="Y580" t="e">
        <f t="shared" si="99"/>
        <v>#N/A</v>
      </c>
    </row>
    <row r="581" spans="1:25" x14ac:dyDescent="0.2">
      <c r="A581">
        <v>1579</v>
      </c>
      <c r="B581" t="s">
        <v>45</v>
      </c>
      <c r="C581" t="s">
        <v>29</v>
      </c>
      <c r="D581">
        <v>2022</v>
      </c>
      <c r="E581" t="s">
        <v>30</v>
      </c>
      <c r="F581">
        <v>398</v>
      </c>
      <c r="G581">
        <v>4</v>
      </c>
      <c r="H581">
        <v>4</v>
      </c>
      <c r="I581">
        <v>2380000</v>
      </c>
      <c r="J581">
        <v>5979.9</v>
      </c>
      <c r="K581">
        <v>10</v>
      </c>
      <c r="L581" t="s">
        <v>34</v>
      </c>
      <c r="M581">
        <v>87</v>
      </c>
      <c r="N581" t="s">
        <v>21</v>
      </c>
      <c r="P581">
        <f t="shared" si="90"/>
        <v>2380000</v>
      </c>
      <c r="Q581">
        <f t="shared" si="91"/>
        <v>398</v>
      </c>
      <c r="R581" t="e">
        <f t="shared" si="92"/>
        <v>#N/A</v>
      </c>
      <c r="S581" t="e">
        <f t="shared" si="93"/>
        <v>#N/A</v>
      </c>
      <c r="T581" t="e">
        <f t="shared" si="94"/>
        <v>#N/A</v>
      </c>
      <c r="U581" t="e">
        <f t="shared" si="95"/>
        <v>#N/A</v>
      </c>
      <c r="V581" t="e">
        <f t="shared" si="96"/>
        <v>#N/A</v>
      </c>
      <c r="W581" t="e">
        <f t="shared" si="97"/>
        <v>#N/A</v>
      </c>
      <c r="X581" t="e">
        <f t="shared" si="98"/>
        <v>#N/A</v>
      </c>
      <c r="Y581" t="e">
        <f t="shared" si="99"/>
        <v>#N/A</v>
      </c>
    </row>
    <row r="582" spans="1:25" x14ac:dyDescent="0.2">
      <c r="A582">
        <v>1580</v>
      </c>
      <c r="B582" t="s">
        <v>44</v>
      </c>
      <c r="C582" t="s">
        <v>23</v>
      </c>
      <c r="D582">
        <v>2022</v>
      </c>
      <c r="E582" t="s">
        <v>26</v>
      </c>
      <c r="F582">
        <v>251</v>
      </c>
      <c r="G582">
        <v>4</v>
      </c>
      <c r="H582">
        <v>4</v>
      </c>
      <c r="I582">
        <v>827000</v>
      </c>
      <c r="J582">
        <v>3294.8</v>
      </c>
      <c r="K582">
        <v>10</v>
      </c>
      <c r="L582" t="s">
        <v>20</v>
      </c>
      <c r="M582">
        <v>24</v>
      </c>
      <c r="N582" t="s">
        <v>18</v>
      </c>
      <c r="P582" t="e">
        <f t="shared" si="90"/>
        <v>#N/A</v>
      </c>
      <c r="Q582" t="e">
        <f t="shared" si="91"/>
        <v>#N/A</v>
      </c>
      <c r="R582" t="e">
        <f t="shared" si="92"/>
        <v>#N/A</v>
      </c>
      <c r="S582" t="e">
        <f t="shared" si="93"/>
        <v>#N/A</v>
      </c>
      <c r="T582">
        <f t="shared" si="94"/>
        <v>827000</v>
      </c>
      <c r="U582">
        <f t="shared" si="95"/>
        <v>251</v>
      </c>
      <c r="V582" t="e">
        <f t="shared" si="96"/>
        <v>#N/A</v>
      </c>
      <c r="W582" t="e">
        <f t="shared" si="97"/>
        <v>#N/A</v>
      </c>
      <c r="X582" t="e">
        <f t="shared" si="98"/>
        <v>#N/A</v>
      </c>
      <c r="Y582" t="e">
        <f t="shared" si="99"/>
        <v>#N/A</v>
      </c>
    </row>
    <row r="583" spans="1:25" x14ac:dyDescent="0.2">
      <c r="A583">
        <v>1581</v>
      </c>
      <c r="B583" t="s">
        <v>45</v>
      </c>
      <c r="C583" t="s">
        <v>23</v>
      </c>
      <c r="D583">
        <v>2023</v>
      </c>
      <c r="E583" t="s">
        <v>16</v>
      </c>
      <c r="F583">
        <v>309</v>
      </c>
      <c r="G583">
        <v>4</v>
      </c>
      <c r="H583">
        <v>4</v>
      </c>
      <c r="I583">
        <v>1402000</v>
      </c>
      <c r="J583">
        <v>4537.2</v>
      </c>
      <c r="K583">
        <v>7</v>
      </c>
      <c r="L583" t="s">
        <v>34</v>
      </c>
      <c r="M583">
        <v>14</v>
      </c>
      <c r="N583" t="s">
        <v>21</v>
      </c>
      <c r="P583" t="e">
        <f t="shared" si="90"/>
        <v>#N/A</v>
      </c>
      <c r="Q583" t="e">
        <f t="shared" si="91"/>
        <v>#N/A</v>
      </c>
      <c r="R583" t="e">
        <f t="shared" si="92"/>
        <v>#N/A</v>
      </c>
      <c r="S583" t="e">
        <f t="shared" si="93"/>
        <v>#N/A</v>
      </c>
      <c r="T583">
        <f t="shared" si="94"/>
        <v>1402000</v>
      </c>
      <c r="U583">
        <f t="shared" si="95"/>
        <v>309</v>
      </c>
      <c r="V583" t="e">
        <f t="shared" si="96"/>
        <v>#N/A</v>
      </c>
      <c r="W583" t="e">
        <f t="shared" si="97"/>
        <v>#N/A</v>
      </c>
      <c r="X583" t="e">
        <f t="shared" si="98"/>
        <v>#N/A</v>
      </c>
      <c r="Y583" t="e">
        <f t="shared" si="99"/>
        <v>#N/A</v>
      </c>
    </row>
    <row r="584" spans="1:25" x14ac:dyDescent="0.2">
      <c r="A584">
        <v>1582</v>
      </c>
      <c r="B584" t="s">
        <v>43</v>
      </c>
      <c r="C584" t="s">
        <v>23</v>
      </c>
      <c r="D584">
        <v>2021</v>
      </c>
      <c r="E584" t="s">
        <v>16</v>
      </c>
      <c r="F584">
        <v>350</v>
      </c>
      <c r="G584">
        <v>3</v>
      </c>
      <c r="H584">
        <v>3</v>
      </c>
      <c r="I584">
        <v>1428000</v>
      </c>
      <c r="J584">
        <v>4080</v>
      </c>
      <c r="K584">
        <v>0</v>
      </c>
      <c r="L584" t="s">
        <v>20</v>
      </c>
      <c r="M584">
        <v>12</v>
      </c>
      <c r="N584" t="s">
        <v>27</v>
      </c>
      <c r="P584" t="e">
        <f t="shared" si="90"/>
        <v>#N/A</v>
      </c>
      <c r="Q584" t="e">
        <f t="shared" si="91"/>
        <v>#N/A</v>
      </c>
      <c r="R584" t="e">
        <f t="shared" si="92"/>
        <v>#N/A</v>
      </c>
      <c r="S584" t="e">
        <f t="shared" si="93"/>
        <v>#N/A</v>
      </c>
      <c r="T584">
        <f t="shared" si="94"/>
        <v>1428000</v>
      </c>
      <c r="U584">
        <f t="shared" si="95"/>
        <v>350</v>
      </c>
      <c r="V584" t="e">
        <f t="shared" si="96"/>
        <v>#N/A</v>
      </c>
      <c r="W584" t="e">
        <f t="shared" si="97"/>
        <v>#N/A</v>
      </c>
      <c r="X584" t="e">
        <f t="shared" si="98"/>
        <v>#N/A</v>
      </c>
      <c r="Y584" t="e">
        <f t="shared" si="99"/>
        <v>#N/A</v>
      </c>
    </row>
    <row r="585" spans="1:25" x14ac:dyDescent="0.2">
      <c r="A585">
        <v>1583</v>
      </c>
      <c r="B585" t="s">
        <v>41</v>
      </c>
      <c r="C585" t="s">
        <v>23</v>
      </c>
      <c r="D585">
        <v>2021</v>
      </c>
      <c r="E585" t="s">
        <v>16</v>
      </c>
      <c r="F585">
        <v>326</v>
      </c>
      <c r="G585">
        <v>4</v>
      </c>
      <c r="H585">
        <v>4</v>
      </c>
      <c r="I585">
        <v>1716000</v>
      </c>
      <c r="J585">
        <v>5263.8</v>
      </c>
      <c r="K585">
        <v>0</v>
      </c>
      <c r="L585" t="s">
        <v>34</v>
      </c>
      <c r="M585">
        <v>170</v>
      </c>
      <c r="N585" t="s">
        <v>21</v>
      </c>
      <c r="P585" t="e">
        <f t="shared" si="90"/>
        <v>#N/A</v>
      </c>
      <c r="Q585" t="e">
        <f t="shared" si="91"/>
        <v>#N/A</v>
      </c>
      <c r="R585" t="e">
        <f t="shared" si="92"/>
        <v>#N/A</v>
      </c>
      <c r="S585" t="e">
        <f t="shared" si="93"/>
        <v>#N/A</v>
      </c>
      <c r="T585">
        <f t="shared" si="94"/>
        <v>1716000</v>
      </c>
      <c r="U585">
        <f t="shared" si="95"/>
        <v>326</v>
      </c>
      <c r="V585" t="e">
        <f t="shared" si="96"/>
        <v>#N/A</v>
      </c>
      <c r="W585" t="e">
        <f t="shared" si="97"/>
        <v>#N/A</v>
      </c>
      <c r="X585" t="e">
        <f t="shared" si="98"/>
        <v>#N/A</v>
      </c>
      <c r="Y585" t="e">
        <f t="shared" si="99"/>
        <v>#N/A</v>
      </c>
    </row>
    <row r="586" spans="1:25" x14ac:dyDescent="0.2">
      <c r="A586">
        <v>1584</v>
      </c>
      <c r="B586" t="s">
        <v>33</v>
      </c>
      <c r="C586" t="s">
        <v>15</v>
      </c>
      <c r="D586">
        <v>2022</v>
      </c>
      <c r="E586" t="s">
        <v>16</v>
      </c>
      <c r="F586">
        <v>147</v>
      </c>
      <c r="G586">
        <v>2</v>
      </c>
      <c r="H586">
        <v>2</v>
      </c>
      <c r="I586">
        <v>380000</v>
      </c>
      <c r="J586">
        <v>2585</v>
      </c>
      <c r="K586">
        <v>1</v>
      </c>
      <c r="L586" t="s">
        <v>20</v>
      </c>
      <c r="M586">
        <v>51</v>
      </c>
      <c r="N586" t="s">
        <v>27</v>
      </c>
      <c r="P586" t="e">
        <f t="shared" si="90"/>
        <v>#N/A</v>
      </c>
      <c r="Q586" t="e">
        <f t="shared" si="91"/>
        <v>#N/A</v>
      </c>
      <c r="R586">
        <f t="shared" si="92"/>
        <v>380000</v>
      </c>
      <c r="S586">
        <f t="shared" si="93"/>
        <v>147</v>
      </c>
      <c r="T586" t="e">
        <f t="shared" si="94"/>
        <v>#N/A</v>
      </c>
      <c r="U586" t="e">
        <f t="shared" si="95"/>
        <v>#N/A</v>
      </c>
      <c r="V586" t="e">
        <f t="shared" si="96"/>
        <v>#N/A</v>
      </c>
      <c r="W586" t="e">
        <f t="shared" si="97"/>
        <v>#N/A</v>
      </c>
      <c r="X586" t="e">
        <f t="shared" si="98"/>
        <v>#N/A</v>
      </c>
      <c r="Y586" t="e">
        <f t="shared" si="99"/>
        <v>#N/A</v>
      </c>
    </row>
    <row r="587" spans="1:25" x14ac:dyDescent="0.2">
      <c r="A587">
        <v>1585</v>
      </c>
      <c r="B587" t="s">
        <v>31</v>
      </c>
      <c r="C587" t="s">
        <v>15</v>
      </c>
      <c r="D587">
        <v>2021</v>
      </c>
      <c r="E587" t="s">
        <v>16</v>
      </c>
      <c r="F587">
        <v>126</v>
      </c>
      <c r="G587">
        <v>4</v>
      </c>
      <c r="H587">
        <v>4</v>
      </c>
      <c r="I587">
        <v>329000</v>
      </c>
      <c r="J587">
        <v>2611.1</v>
      </c>
      <c r="K587">
        <v>7</v>
      </c>
      <c r="L587" t="s">
        <v>20</v>
      </c>
      <c r="M587">
        <v>151</v>
      </c>
      <c r="N587" t="s">
        <v>21</v>
      </c>
      <c r="P587" t="e">
        <f t="shared" si="90"/>
        <v>#N/A</v>
      </c>
      <c r="Q587" t="e">
        <f t="shared" si="91"/>
        <v>#N/A</v>
      </c>
      <c r="R587">
        <f t="shared" si="92"/>
        <v>329000</v>
      </c>
      <c r="S587">
        <f t="shared" si="93"/>
        <v>126</v>
      </c>
      <c r="T587" t="e">
        <f t="shared" si="94"/>
        <v>#N/A</v>
      </c>
      <c r="U587" t="e">
        <f t="shared" si="95"/>
        <v>#N/A</v>
      </c>
      <c r="V587" t="e">
        <f t="shared" si="96"/>
        <v>#N/A</v>
      </c>
      <c r="W587" t="e">
        <f t="shared" si="97"/>
        <v>#N/A</v>
      </c>
      <c r="X587" t="e">
        <f t="shared" si="98"/>
        <v>#N/A</v>
      </c>
      <c r="Y587" t="e">
        <f t="shared" si="99"/>
        <v>#N/A</v>
      </c>
    </row>
    <row r="588" spans="1:25" x14ac:dyDescent="0.2">
      <c r="A588">
        <v>1586</v>
      </c>
      <c r="B588" t="s">
        <v>47</v>
      </c>
      <c r="C588" t="s">
        <v>29</v>
      </c>
      <c r="D588">
        <v>2022</v>
      </c>
      <c r="E588" t="s">
        <v>26</v>
      </c>
      <c r="F588">
        <v>492</v>
      </c>
      <c r="G588">
        <v>4</v>
      </c>
      <c r="H588">
        <v>4</v>
      </c>
      <c r="I588">
        <v>2121000</v>
      </c>
      <c r="J588">
        <v>4311</v>
      </c>
      <c r="K588">
        <v>0</v>
      </c>
      <c r="L588" t="s">
        <v>20</v>
      </c>
      <c r="M588">
        <v>138</v>
      </c>
      <c r="N588" t="s">
        <v>21</v>
      </c>
      <c r="P588">
        <f t="shared" si="90"/>
        <v>2121000</v>
      </c>
      <c r="Q588">
        <f t="shared" si="91"/>
        <v>492</v>
      </c>
      <c r="R588" t="e">
        <f t="shared" si="92"/>
        <v>#N/A</v>
      </c>
      <c r="S588" t="e">
        <f t="shared" si="93"/>
        <v>#N/A</v>
      </c>
      <c r="T588" t="e">
        <f t="shared" si="94"/>
        <v>#N/A</v>
      </c>
      <c r="U588" t="e">
        <f t="shared" si="95"/>
        <v>#N/A</v>
      </c>
      <c r="V588" t="e">
        <f t="shared" si="96"/>
        <v>#N/A</v>
      </c>
      <c r="W588" t="e">
        <f t="shared" si="97"/>
        <v>#N/A</v>
      </c>
      <c r="X588" t="e">
        <f t="shared" si="98"/>
        <v>#N/A</v>
      </c>
      <c r="Y588" t="e">
        <f t="shared" si="99"/>
        <v>#N/A</v>
      </c>
    </row>
    <row r="589" spans="1:25" x14ac:dyDescent="0.2">
      <c r="A589">
        <v>1587</v>
      </c>
      <c r="B589" t="s">
        <v>44</v>
      </c>
      <c r="C589" t="s">
        <v>29</v>
      </c>
      <c r="D589">
        <v>2021</v>
      </c>
      <c r="E589" t="s">
        <v>30</v>
      </c>
      <c r="F589">
        <v>471</v>
      </c>
      <c r="G589">
        <v>4</v>
      </c>
      <c r="H589">
        <v>4</v>
      </c>
      <c r="I589">
        <v>2070000</v>
      </c>
      <c r="J589">
        <v>4394.8999999999996</v>
      </c>
      <c r="K589">
        <v>2</v>
      </c>
      <c r="L589" t="s">
        <v>17</v>
      </c>
      <c r="M589">
        <v>57</v>
      </c>
      <c r="N589" t="s">
        <v>18</v>
      </c>
      <c r="P589">
        <f t="shared" si="90"/>
        <v>2070000</v>
      </c>
      <c r="Q589">
        <f t="shared" si="91"/>
        <v>471</v>
      </c>
      <c r="R589" t="e">
        <f t="shared" si="92"/>
        <v>#N/A</v>
      </c>
      <c r="S589" t="e">
        <f t="shared" si="93"/>
        <v>#N/A</v>
      </c>
      <c r="T589" t="e">
        <f t="shared" si="94"/>
        <v>#N/A</v>
      </c>
      <c r="U589" t="e">
        <f t="shared" si="95"/>
        <v>#N/A</v>
      </c>
      <c r="V589" t="e">
        <f t="shared" si="96"/>
        <v>#N/A</v>
      </c>
      <c r="W589" t="e">
        <f t="shared" si="97"/>
        <v>#N/A</v>
      </c>
      <c r="X589" t="e">
        <f t="shared" si="98"/>
        <v>#N/A</v>
      </c>
      <c r="Y589" t="e">
        <f t="shared" si="99"/>
        <v>#N/A</v>
      </c>
    </row>
    <row r="590" spans="1:25" x14ac:dyDescent="0.2">
      <c r="A590">
        <v>1588</v>
      </c>
      <c r="B590" t="s">
        <v>48</v>
      </c>
      <c r="C590" t="s">
        <v>15</v>
      </c>
      <c r="D590">
        <v>2024</v>
      </c>
      <c r="E590" t="s">
        <v>24</v>
      </c>
      <c r="F590">
        <v>185</v>
      </c>
      <c r="G590">
        <v>4</v>
      </c>
      <c r="H590">
        <v>4</v>
      </c>
      <c r="I590">
        <v>607000</v>
      </c>
      <c r="J590">
        <v>3281.1</v>
      </c>
      <c r="K590">
        <v>20</v>
      </c>
      <c r="L590" t="s">
        <v>17</v>
      </c>
      <c r="M590">
        <v>3</v>
      </c>
      <c r="N590" t="s">
        <v>27</v>
      </c>
      <c r="P590" t="e">
        <f t="shared" si="90"/>
        <v>#N/A</v>
      </c>
      <c r="Q590" t="e">
        <f t="shared" si="91"/>
        <v>#N/A</v>
      </c>
      <c r="R590">
        <f t="shared" si="92"/>
        <v>607000</v>
      </c>
      <c r="S590">
        <f t="shared" si="93"/>
        <v>185</v>
      </c>
      <c r="T590" t="e">
        <f t="shared" si="94"/>
        <v>#N/A</v>
      </c>
      <c r="U590" t="e">
        <f t="shared" si="95"/>
        <v>#N/A</v>
      </c>
      <c r="V590" t="e">
        <f t="shared" si="96"/>
        <v>#N/A</v>
      </c>
      <c r="W590" t="e">
        <f t="shared" si="97"/>
        <v>#N/A</v>
      </c>
      <c r="X590" t="e">
        <f t="shared" si="98"/>
        <v>#N/A</v>
      </c>
      <c r="Y590" t="e">
        <f t="shared" si="99"/>
        <v>#N/A</v>
      </c>
    </row>
    <row r="591" spans="1:25" x14ac:dyDescent="0.2">
      <c r="A591">
        <v>1589</v>
      </c>
      <c r="B591" t="s">
        <v>43</v>
      </c>
      <c r="C591" t="s">
        <v>23</v>
      </c>
      <c r="D591">
        <v>2024</v>
      </c>
      <c r="E591" t="s">
        <v>26</v>
      </c>
      <c r="F591">
        <v>290</v>
      </c>
      <c r="G591">
        <v>3</v>
      </c>
      <c r="H591">
        <v>3</v>
      </c>
      <c r="I591">
        <v>1623000</v>
      </c>
      <c r="J591">
        <v>5596.6</v>
      </c>
      <c r="K591">
        <v>3</v>
      </c>
      <c r="L591" t="s">
        <v>17</v>
      </c>
      <c r="M591">
        <v>19</v>
      </c>
      <c r="N591" t="s">
        <v>27</v>
      </c>
      <c r="P591" t="e">
        <f t="shared" si="90"/>
        <v>#N/A</v>
      </c>
      <c r="Q591" t="e">
        <f t="shared" si="91"/>
        <v>#N/A</v>
      </c>
      <c r="R591" t="e">
        <f t="shared" si="92"/>
        <v>#N/A</v>
      </c>
      <c r="S591" t="e">
        <f t="shared" si="93"/>
        <v>#N/A</v>
      </c>
      <c r="T591">
        <f t="shared" si="94"/>
        <v>1623000</v>
      </c>
      <c r="U591">
        <f t="shared" si="95"/>
        <v>290</v>
      </c>
      <c r="V591" t="e">
        <f t="shared" si="96"/>
        <v>#N/A</v>
      </c>
      <c r="W591" t="e">
        <f t="shared" si="97"/>
        <v>#N/A</v>
      </c>
      <c r="X591" t="e">
        <f t="shared" si="98"/>
        <v>#N/A</v>
      </c>
      <c r="Y591" t="e">
        <f t="shared" si="99"/>
        <v>#N/A</v>
      </c>
    </row>
    <row r="592" spans="1:25" x14ac:dyDescent="0.2">
      <c r="A592">
        <v>1590</v>
      </c>
      <c r="B592" t="s">
        <v>22</v>
      </c>
      <c r="C592" t="s">
        <v>15</v>
      </c>
      <c r="D592">
        <v>2022</v>
      </c>
      <c r="E592" t="s">
        <v>24</v>
      </c>
      <c r="F592">
        <v>197</v>
      </c>
      <c r="G592">
        <v>3</v>
      </c>
      <c r="H592">
        <v>3</v>
      </c>
      <c r="I592">
        <v>633000</v>
      </c>
      <c r="J592">
        <v>3213.2</v>
      </c>
      <c r="K592">
        <v>15</v>
      </c>
      <c r="L592" t="s">
        <v>17</v>
      </c>
      <c r="M592">
        <v>51</v>
      </c>
      <c r="N592" t="s">
        <v>18</v>
      </c>
      <c r="P592" t="e">
        <f t="shared" si="90"/>
        <v>#N/A</v>
      </c>
      <c r="Q592" t="e">
        <f t="shared" si="91"/>
        <v>#N/A</v>
      </c>
      <c r="R592">
        <f t="shared" si="92"/>
        <v>633000</v>
      </c>
      <c r="S592">
        <f t="shared" si="93"/>
        <v>197</v>
      </c>
      <c r="T592" t="e">
        <f t="shared" si="94"/>
        <v>#N/A</v>
      </c>
      <c r="U592" t="e">
        <f t="shared" si="95"/>
        <v>#N/A</v>
      </c>
      <c r="V592" t="e">
        <f t="shared" si="96"/>
        <v>#N/A</v>
      </c>
      <c r="W592" t="e">
        <f t="shared" si="97"/>
        <v>#N/A</v>
      </c>
      <c r="X592" t="e">
        <f t="shared" si="98"/>
        <v>#N/A</v>
      </c>
      <c r="Y592" t="e">
        <f t="shared" si="99"/>
        <v>#N/A</v>
      </c>
    </row>
    <row r="593" spans="1:25" x14ac:dyDescent="0.2">
      <c r="A593">
        <v>1591</v>
      </c>
      <c r="B593" t="s">
        <v>33</v>
      </c>
      <c r="C593" t="s">
        <v>29</v>
      </c>
      <c r="D593">
        <v>2024</v>
      </c>
      <c r="E593" t="s">
        <v>24</v>
      </c>
      <c r="F593">
        <v>436</v>
      </c>
      <c r="G593">
        <v>6</v>
      </c>
      <c r="H593">
        <v>6</v>
      </c>
      <c r="I593">
        <v>1771000</v>
      </c>
      <c r="J593">
        <v>4061.9</v>
      </c>
      <c r="K593">
        <v>2</v>
      </c>
      <c r="L593" t="s">
        <v>34</v>
      </c>
      <c r="M593">
        <v>20</v>
      </c>
      <c r="N593" t="s">
        <v>27</v>
      </c>
      <c r="P593">
        <f t="shared" si="90"/>
        <v>1771000</v>
      </c>
      <c r="Q593">
        <f t="shared" si="91"/>
        <v>436</v>
      </c>
      <c r="R593" t="e">
        <f t="shared" si="92"/>
        <v>#N/A</v>
      </c>
      <c r="S593" t="e">
        <f t="shared" si="93"/>
        <v>#N/A</v>
      </c>
      <c r="T593" t="e">
        <f t="shared" si="94"/>
        <v>#N/A</v>
      </c>
      <c r="U593" t="e">
        <f t="shared" si="95"/>
        <v>#N/A</v>
      </c>
      <c r="V593" t="e">
        <f t="shared" si="96"/>
        <v>#N/A</v>
      </c>
      <c r="W593" t="e">
        <f t="shared" si="97"/>
        <v>#N/A</v>
      </c>
      <c r="X593" t="e">
        <f t="shared" si="98"/>
        <v>#N/A</v>
      </c>
      <c r="Y593" t="e">
        <f t="shared" si="99"/>
        <v>#N/A</v>
      </c>
    </row>
    <row r="594" spans="1:25" x14ac:dyDescent="0.2">
      <c r="A594">
        <v>1592</v>
      </c>
      <c r="B594" t="s">
        <v>35</v>
      </c>
      <c r="C594" t="s">
        <v>29</v>
      </c>
      <c r="D594">
        <v>2022</v>
      </c>
      <c r="E594" t="s">
        <v>16</v>
      </c>
      <c r="F594">
        <v>368</v>
      </c>
      <c r="G594">
        <v>4</v>
      </c>
      <c r="H594">
        <v>4</v>
      </c>
      <c r="I594">
        <v>2003000</v>
      </c>
      <c r="J594">
        <v>5442.9</v>
      </c>
      <c r="K594">
        <v>4</v>
      </c>
      <c r="L594" t="s">
        <v>20</v>
      </c>
      <c r="M594">
        <v>33</v>
      </c>
      <c r="N594" t="s">
        <v>18</v>
      </c>
      <c r="P594">
        <f t="shared" si="90"/>
        <v>2003000</v>
      </c>
      <c r="Q594">
        <f t="shared" si="91"/>
        <v>368</v>
      </c>
      <c r="R594" t="e">
        <f t="shared" si="92"/>
        <v>#N/A</v>
      </c>
      <c r="S594" t="e">
        <f t="shared" si="93"/>
        <v>#N/A</v>
      </c>
      <c r="T594" t="e">
        <f t="shared" si="94"/>
        <v>#N/A</v>
      </c>
      <c r="U594" t="e">
        <f t="shared" si="95"/>
        <v>#N/A</v>
      </c>
      <c r="V594" t="e">
        <f t="shared" si="96"/>
        <v>#N/A</v>
      </c>
      <c r="W594" t="e">
        <f t="shared" si="97"/>
        <v>#N/A</v>
      </c>
      <c r="X594" t="e">
        <f t="shared" si="98"/>
        <v>#N/A</v>
      </c>
      <c r="Y594" t="e">
        <f t="shared" si="99"/>
        <v>#N/A</v>
      </c>
    </row>
    <row r="595" spans="1:25" x14ac:dyDescent="0.2">
      <c r="A595">
        <v>1593</v>
      </c>
      <c r="B595" t="s">
        <v>25</v>
      </c>
      <c r="C595" t="s">
        <v>23</v>
      </c>
      <c r="D595">
        <v>2022</v>
      </c>
      <c r="E595" t="s">
        <v>24</v>
      </c>
      <c r="F595">
        <v>256</v>
      </c>
      <c r="G595">
        <v>3</v>
      </c>
      <c r="H595">
        <v>3</v>
      </c>
      <c r="I595">
        <v>699000</v>
      </c>
      <c r="J595">
        <v>2730.5</v>
      </c>
      <c r="K595">
        <v>1</v>
      </c>
      <c r="L595" t="s">
        <v>17</v>
      </c>
      <c r="M595">
        <v>89</v>
      </c>
      <c r="N595" t="s">
        <v>27</v>
      </c>
      <c r="P595" t="e">
        <f t="shared" si="90"/>
        <v>#N/A</v>
      </c>
      <c r="Q595" t="e">
        <f t="shared" si="91"/>
        <v>#N/A</v>
      </c>
      <c r="R595" t="e">
        <f t="shared" si="92"/>
        <v>#N/A</v>
      </c>
      <c r="S595" t="e">
        <f t="shared" si="93"/>
        <v>#N/A</v>
      </c>
      <c r="T595">
        <f t="shared" si="94"/>
        <v>699000</v>
      </c>
      <c r="U595">
        <f t="shared" si="95"/>
        <v>256</v>
      </c>
      <c r="V595" t="e">
        <f t="shared" si="96"/>
        <v>#N/A</v>
      </c>
      <c r="W595" t="e">
        <f t="shared" si="97"/>
        <v>#N/A</v>
      </c>
      <c r="X595" t="e">
        <f t="shared" si="98"/>
        <v>#N/A</v>
      </c>
      <c r="Y595" t="e">
        <f t="shared" si="99"/>
        <v>#N/A</v>
      </c>
    </row>
    <row r="596" spans="1:25" x14ac:dyDescent="0.2">
      <c r="A596">
        <v>1594</v>
      </c>
      <c r="B596" t="s">
        <v>35</v>
      </c>
      <c r="C596" t="s">
        <v>29</v>
      </c>
      <c r="D596">
        <v>2021</v>
      </c>
      <c r="E596" t="s">
        <v>30</v>
      </c>
      <c r="F596">
        <v>462</v>
      </c>
      <c r="G596">
        <v>6</v>
      </c>
      <c r="H596">
        <v>6</v>
      </c>
      <c r="I596">
        <v>2254000</v>
      </c>
      <c r="J596">
        <v>4878.8</v>
      </c>
      <c r="K596">
        <v>2</v>
      </c>
      <c r="L596" t="s">
        <v>17</v>
      </c>
      <c r="M596">
        <v>83</v>
      </c>
      <c r="N596" t="s">
        <v>18</v>
      </c>
      <c r="P596">
        <f t="shared" si="90"/>
        <v>2254000</v>
      </c>
      <c r="Q596">
        <f t="shared" si="91"/>
        <v>462</v>
      </c>
      <c r="R596" t="e">
        <f t="shared" si="92"/>
        <v>#N/A</v>
      </c>
      <c r="S596" t="e">
        <f t="shared" si="93"/>
        <v>#N/A</v>
      </c>
      <c r="T596" t="e">
        <f t="shared" si="94"/>
        <v>#N/A</v>
      </c>
      <c r="U596" t="e">
        <f t="shared" si="95"/>
        <v>#N/A</v>
      </c>
      <c r="V596" t="e">
        <f t="shared" si="96"/>
        <v>#N/A</v>
      </c>
      <c r="W596" t="e">
        <f t="shared" si="97"/>
        <v>#N/A</v>
      </c>
      <c r="X596" t="e">
        <f t="shared" si="98"/>
        <v>#N/A</v>
      </c>
      <c r="Y596" t="e">
        <f t="shared" si="99"/>
        <v>#N/A</v>
      </c>
    </row>
    <row r="597" spans="1:25" x14ac:dyDescent="0.2">
      <c r="A597">
        <v>1595</v>
      </c>
      <c r="B597" t="s">
        <v>19</v>
      </c>
      <c r="C597" t="s">
        <v>15</v>
      </c>
      <c r="D597">
        <v>2023</v>
      </c>
      <c r="E597" t="s">
        <v>16</v>
      </c>
      <c r="F597">
        <v>128</v>
      </c>
      <c r="G597">
        <v>4</v>
      </c>
      <c r="H597">
        <v>4</v>
      </c>
      <c r="I597">
        <v>425000</v>
      </c>
      <c r="J597">
        <v>3320.3</v>
      </c>
      <c r="K597">
        <v>7</v>
      </c>
      <c r="L597" t="s">
        <v>17</v>
      </c>
      <c r="M597">
        <v>20</v>
      </c>
      <c r="N597" t="s">
        <v>21</v>
      </c>
      <c r="P597" t="e">
        <f t="shared" si="90"/>
        <v>#N/A</v>
      </c>
      <c r="Q597" t="e">
        <f t="shared" si="91"/>
        <v>#N/A</v>
      </c>
      <c r="R597">
        <f t="shared" si="92"/>
        <v>425000</v>
      </c>
      <c r="S597">
        <f t="shared" si="93"/>
        <v>128</v>
      </c>
      <c r="T597" t="e">
        <f t="shared" si="94"/>
        <v>#N/A</v>
      </c>
      <c r="U597" t="e">
        <f t="shared" si="95"/>
        <v>#N/A</v>
      </c>
      <c r="V597" t="e">
        <f t="shared" si="96"/>
        <v>#N/A</v>
      </c>
      <c r="W597" t="e">
        <f t="shared" si="97"/>
        <v>#N/A</v>
      </c>
      <c r="X597" t="e">
        <f t="shared" si="98"/>
        <v>#N/A</v>
      </c>
      <c r="Y597" t="e">
        <f t="shared" si="99"/>
        <v>#N/A</v>
      </c>
    </row>
    <row r="598" spans="1:25" x14ac:dyDescent="0.2">
      <c r="A598">
        <v>1596</v>
      </c>
      <c r="B598" t="s">
        <v>43</v>
      </c>
      <c r="C598" t="s">
        <v>23</v>
      </c>
      <c r="D598">
        <v>2024</v>
      </c>
      <c r="E598" t="s">
        <v>26</v>
      </c>
      <c r="F598">
        <v>366</v>
      </c>
      <c r="G598">
        <v>3</v>
      </c>
      <c r="H598">
        <v>3</v>
      </c>
      <c r="I598">
        <v>1915000</v>
      </c>
      <c r="J598">
        <v>5232.2</v>
      </c>
      <c r="K598">
        <v>4</v>
      </c>
      <c r="L598" t="s">
        <v>34</v>
      </c>
      <c r="M598">
        <v>112</v>
      </c>
      <c r="N598" t="s">
        <v>27</v>
      </c>
      <c r="P598" t="e">
        <f t="shared" si="90"/>
        <v>#N/A</v>
      </c>
      <c r="Q598" t="e">
        <f t="shared" si="91"/>
        <v>#N/A</v>
      </c>
      <c r="R598" t="e">
        <f t="shared" si="92"/>
        <v>#N/A</v>
      </c>
      <c r="S598" t="e">
        <f t="shared" si="93"/>
        <v>#N/A</v>
      </c>
      <c r="T598">
        <f t="shared" si="94"/>
        <v>1915000</v>
      </c>
      <c r="U598">
        <f t="shared" si="95"/>
        <v>366</v>
      </c>
      <c r="V598" t="e">
        <f t="shared" si="96"/>
        <v>#N/A</v>
      </c>
      <c r="W598" t="e">
        <f t="shared" si="97"/>
        <v>#N/A</v>
      </c>
      <c r="X598" t="e">
        <f t="shared" si="98"/>
        <v>#N/A</v>
      </c>
      <c r="Y598" t="e">
        <f t="shared" si="99"/>
        <v>#N/A</v>
      </c>
    </row>
    <row r="599" spans="1:25" x14ac:dyDescent="0.2">
      <c r="A599">
        <v>1597</v>
      </c>
      <c r="B599" t="s">
        <v>28</v>
      </c>
      <c r="C599" t="s">
        <v>23</v>
      </c>
      <c r="D599">
        <v>2023</v>
      </c>
      <c r="E599" t="s">
        <v>24</v>
      </c>
      <c r="F599">
        <v>302</v>
      </c>
      <c r="G599">
        <v>3</v>
      </c>
      <c r="H599">
        <v>3</v>
      </c>
      <c r="I599">
        <v>1165000</v>
      </c>
      <c r="J599">
        <v>3857.6</v>
      </c>
      <c r="K599">
        <v>15</v>
      </c>
      <c r="L599" t="s">
        <v>17</v>
      </c>
      <c r="M599">
        <v>134</v>
      </c>
      <c r="N599" t="s">
        <v>27</v>
      </c>
      <c r="P599" t="e">
        <f t="shared" si="90"/>
        <v>#N/A</v>
      </c>
      <c r="Q599" t="e">
        <f t="shared" si="91"/>
        <v>#N/A</v>
      </c>
      <c r="R599" t="e">
        <f t="shared" si="92"/>
        <v>#N/A</v>
      </c>
      <c r="S599" t="e">
        <f t="shared" si="93"/>
        <v>#N/A</v>
      </c>
      <c r="T599">
        <f t="shared" si="94"/>
        <v>1165000</v>
      </c>
      <c r="U599">
        <f t="shared" si="95"/>
        <v>302</v>
      </c>
      <c r="V599" t="e">
        <f t="shared" si="96"/>
        <v>#N/A</v>
      </c>
      <c r="W599" t="e">
        <f t="shared" si="97"/>
        <v>#N/A</v>
      </c>
      <c r="X599" t="e">
        <f t="shared" si="98"/>
        <v>#N/A</v>
      </c>
      <c r="Y599" t="e">
        <f t="shared" si="99"/>
        <v>#N/A</v>
      </c>
    </row>
    <row r="600" spans="1:25" x14ac:dyDescent="0.2">
      <c r="A600">
        <v>1598</v>
      </c>
      <c r="B600" t="s">
        <v>41</v>
      </c>
      <c r="C600" t="s">
        <v>23</v>
      </c>
      <c r="D600">
        <v>2023</v>
      </c>
      <c r="E600" t="s">
        <v>26</v>
      </c>
      <c r="F600">
        <v>282</v>
      </c>
      <c r="G600">
        <v>5</v>
      </c>
      <c r="H600">
        <v>5</v>
      </c>
      <c r="I600">
        <v>1545000</v>
      </c>
      <c r="J600">
        <v>5478.7</v>
      </c>
      <c r="K600">
        <v>3</v>
      </c>
      <c r="L600" t="s">
        <v>20</v>
      </c>
      <c r="M600">
        <v>44</v>
      </c>
      <c r="N600" t="s">
        <v>21</v>
      </c>
      <c r="P600" t="e">
        <f t="shared" si="90"/>
        <v>#N/A</v>
      </c>
      <c r="Q600" t="e">
        <f t="shared" si="91"/>
        <v>#N/A</v>
      </c>
      <c r="R600" t="e">
        <f t="shared" si="92"/>
        <v>#N/A</v>
      </c>
      <c r="S600" t="e">
        <f t="shared" si="93"/>
        <v>#N/A</v>
      </c>
      <c r="T600">
        <f t="shared" si="94"/>
        <v>1545000</v>
      </c>
      <c r="U600">
        <f t="shared" si="95"/>
        <v>282</v>
      </c>
      <c r="V600" t="e">
        <f t="shared" si="96"/>
        <v>#N/A</v>
      </c>
      <c r="W600" t="e">
        <f t="shared" si="97"/>
        <v>#N/A</v>
      </c>
      <c r="X600" t="e">
        <f t="shared" si="98"/>
        <v>#N/A</v>
      </c>
      <c r="Y600" t="e">
        <f t="shared" si="99"/>
        <v>#N/A</v>
      </c>
    </row>
    <row r="601" spans="1:25" x14ac:dyDescent="0.2">
      <c r="A601">
        <v>1599</v>
      </c>
      <c r="B601" t="s">
        <v>46</v>
      </c>
      <c r="C601" t="s">
        <v>29</v>
      </c>
      <c r="D601">
        <v>2021</v>
      </c>
      <c r="E601" t="s">
        <v>30</v>
      </c>
      <c r="F601">
        <v>430</v>
      </c>
      <c r="G601">
        <v>5</v>
      </c>
      <c r="H601">
        <v>5</v>
      </c>
      <c r="I601">
        <v>1988000</v>
      </c>
      <c r="J601">
        <v>4623.3</v>
      </c>
      <c r="K601">
        <v>0</v>
      </c>
      <c r="L601" t="s">
        <v>17</v>
      </c>
      <c r="M601">
        <v>83</v>
      </c>
      <c r="N601" t="s">
        <v>18</v>
      </c>
      <c r="P601">
        <f t="shared" si="90"/>
        <v>1988000</v>
      </c>
      <c r="Q601">
        <f t="shared" si="91"/>
        <v>430</v>
      </c>
      <c r="R601" t="e">
        <f t="shared" si="92"/>
        <v>#N/A</v>
      </c>
      <c r="S601" t="e">
        <f t="shared" si="93"/>
        <v>#N/A</v>
      </c>
      <c r="T601" t="e">
        <f t="shared" si="94"/>
        <v>#N/A</v>
      </c>
      <c r="U601" t="e">
        <f t="shared" si="95"/>
        <v>#N/A</v>
      </c>
      <c r="V601" t="e">
        <f t="shared" si="96"/>
        <v>#N/A</v>
      </c>
      <c r="W601" t="e">
        <f t="shared" si="97"/>
        <v>#N/A</v>
      </c>
      <c r="X601" t="e">
        <f t="shared" si="98"/>
        <v>#N/A</v>
      </c>
      <c r="Y601" t="e">
        <f t="shared" si="99"/>
        <v>#N/A</v>
      </c>
    </row>
    <row r="602" spans="1:25" x14ac:dyDescent="0.2">
      <c r="A602">
        <v>1600</v>
      </c>
      <c r="B602" t="s">
        <v>42</v>
      </c>
      <c r="C602" t="s">
        <v>29</v>
      </c>
      <c r="D602">
        <v>2024</v>
      </c>
      <c r="E602" t="s">
        <v>24</v>
      </c>
      <c r="F602">
        <v>399</v>
      </c>
      <c r="G602">
        <v>4</v>
      </c>
      <c r="H602">
        <v>4</v>
      </c>
      <c r="I602">
        <v>3185000</v>
      </c>
      <c r="J602">
        <v>7982.5</v>
      </c>
      <c r="K602">
        <v>3</v>
      </c>
      <c r="L602" t="s">
        <v>17</v>
      </c>
      <c r="M602">
        <v>104</v>
      </c>
      <c r="N602" t="s">
        <v>21</v>
      </c>
      <c r="P602">
        <f t="shared" si="90"/>
        <v>3185000</v>
      </c>
      <c r="Q602">
        <f t="shared" si="91"/>
        <v>399</v>
      </c>
      <c r="R602" t="e">
        <f t="shared" si="92"/>
        <v>#N/A</v>
      </c>
      <c r="S602" t="e">
        <f t="shared" si="93"/>
        <v>#N/A</v>
      </c>
      <c r="T602" t="e">
        <f t="shared" si="94"/>
        <v>#N/A</v>
      </c>
      <c r="U602" t="e">
        <f t="shared" si="95"/>
        <v>#N/A</v>
      </c>
      <c r="V602" t="e">
        <f t="shared" si="96"/>
        <v>#N/A</v>
      </c>
      <c r="W602" t="e">
        <f t="shared" si="97"/>
        <v>#N/A</v>
      </c>
      <c r="X602" t="e">
        <f t="shared" si="98"/>
        <v>#N/A</v>
      </c>
      <c r="Y602" t="e">
        <f t="shared" si="99"/>
        <v>#N/A</v>
      </c>
    </row>
    <row r="603" spans="1:25" x14ac:dyDescent="0.2">
      <c r="A603">
        <v>1601</v>
      </c>
      <c r="B603" t="s">
        <v>43</v>
      </c>
      <c r="C603" t="s">
        <v>15</v>
      </c>
      <c r="D603">
        <v>2022</v>
      </c>
      <c r="E603" t="s">
        <v>24</v>
      </c>
      <c r="F603">
        <v>95</v>
      </c>
      <c r="G603">
        <v>4</v>
      </c>
      <c r="H603">
        <v>4</v>
      </c>
      <c r="I603">
        <v>400000</v>
      </c>
      <c r="J603">
        <v>4210.5</v>
      </c>
      <c r="K603">
        <v>2</v>
      </c>
      <c r="L603" t="s">
        <v>34</v>
      </c>
      <c r="M603">
        <v>37</v>
      </c>
      <c r="N603" t="s">
        <v>27</v>
      </c>
      <c r="P603" t="e">
        <f t="shared" si="90"/>
        <v>#N/A</v>
      </c>
      <c r="Q603" t="e">
        <f t="shared" si="91"/>
        <v>#N/A</v>
      </c>
      <c r="R603">
        <f t="shared" si="92"/>
        <v>400000</v>
      </c>
      <c r="S603">
        <f t="shared" si="93"/>
        <v>95</v>
      </c>
      <c r="T603" t="e">
        <f t="shared" si="94"/>
        <v>#N/A</v>
      </c>
      <c r="U603" t="e">
        <f t="shared" si="95"/>
        <v>#N/A</v>
      </c>
      <c r="V603" t="e">
        <f t="shared" si="96"/>
        <v>#N/A</v>
      </c>
      <c r="W603" t="e">
        <f t="shared" si="97"/>
        <v>#N/A</v>
      </c>
      <c r="X603" t="e">
        <f t="shared" si="98"/>
        <v>#N/A</v>
      </c>
      <c r="Y603" t="e">
        <f t="shared" si="99"/>
        <v>#N/A</v>
      </c>
    </row>
    <row r="604" spans="1:25" x14ac:dyDescent="0.2">
      <c r="A604">
        <v>1602</v>
      </c>
      <c r="B604" t="s">
        <v>39</v>
      </c>
      <c r="C604" t="s">
        <v>38</v>
      </c>
      <c r="D604">
        <v>2022</v>
      </c>
      <c r="E604" t="s">
        <v>24</v>
      </c>
      <c r="F604">
        <v>50</v>
      </c>
      <c r="G604">
        <v>0</v>
      </c>
      <c r="H604">
        <v>1</v>
      </c>
      <c r="I604">
        <v>237000</v>
      </c>
      <c r="J604">
        <v>4740</v>
      </c>
      <c r="K604">
        <v>3</v>
      </c>
      <c r="L604" t="s">
        <v>20</v>
      </c>
      <c r="M604">
        <v>134</v>
      </c>
      <c r="N604" t="s">
        <v>21</v>
      </c>
      <c r="P604" t="e">
        <f t="shared" si="90"/>
        <v>#N/A</v>
      </c>
      <c r="Q604" t="e">
        <f t="shared" si="91"/>
        <v>#N/A</v>
      </c>
      <c r="R604" t="e">
        <f t="shared" si="92"/>
        <v>#N/A</v>
      </c>
      <c r="S604" t="e">
        <f t="shared" si="93"/>
        <v>#N/A</v>
      </c>
      <c r="T604" t="e">
        <f t="shared" si="94"/>
        <v>#N/A</v>
      </c>
      <c r="U604" t="e">
        <f t="shared" si="95"/>
        <v>#N/A</v>
      </c>
      <c r="V604">
        <f t="shared" si="96"/>
        <v>237000</v>
      </c>
      <c r="W604">
        <f t="shared" si="97"/>
        <v>50</v>
      </c>
      <c r="X604" t="e">
        <f t="shared" si="98"/>
        <v>#N/A</v>
      </c>
      <c r="Y604" t="e">
        <f t="shared" si="99"/>
        <v>#N/A</v>
      </c>
    </row>
    <row r="605" spans="1:25" x14ac:dyDescent="0.2">
      <c r="A605">
        <v>1603</v>
      </c>
      <c r="B605" t="s">
        <v>39</v>
      </c>
      <c r="C605" t="s">
        <v>23</v>
      </c>
      <c r="D605">
        <v>2021</v>
      </c>
      <c r="E605" t="s">
        <v>24</v>
      </c>
      <c r="F605">
        <v>359</v>
      </c>
      <c r="G605">
        <v>3</v>
      </c>
      <c r="H605">
        <v>3</v>
      </c>
      <c r="I605">
        <v>1408000</v>
      </c>
      <c r="J605">
        <v>3922</v>
      </c>
      <c r="K605">
        <v>1</v>
      </c>
      <c r="L605" t="s">
        <v>34</v>
      </c>
      <c r="M605">
        <v>118</v>
      </c>
      <c r="N605" t="s">
        <v>21</v>
      </c>
      <c r="P605" t="e">
        <f t="shared" si="90"/>
        <v>#N/A</v>
      </c>
      <c r="Q605" t="e">
        <f t="shared" si="91"/>
        <v>#N/A</v>
      </c>
      <c r="R605" t="e">
        <f t="shared" si="92"/>
        <v>#N/A</v>
      </c>
      <c r="S605" t="e">
        <f t="shared" si="93"/>
        <v>#N/A</v>
      </c>
      <c r="T605">
        <f t="shared" si="94"/>
        <v>1408000</v>
      </c>
      <c r="U605">
        <f t="shared" si="95"/>
        <v>359</v>
      </c>
      <c r="V605" t="e">
        <f t="shared" si="96"/>
        <v>#N/A</v>
      </c>
      <c r="W605" t="e">
        <f t="shared" si="97"/>
        <v>#N/A</v>
      </c>
      <c r="X605" t="e">
        <f t="shared" si="98"/>
        <v>#N/A</v>
      </c>
      <c r="Y605" t="e">
        <f t="shared" si="99"/>
        <v>#N/A</v>
      </c>
    </row>
    <row r="606" spans="1:25" x14ac:dyDescent="0.2">
      <c r="A606">
        <v>1604</v>
      </c>
      <c r="B606" t="s">
        <v>44</v>
      </c>
      <c r="C606" t="s">
        <v>29</v>
      </c>
      <c r="D606">
        <v>2023</v>
      </c>
      <c r="E606" t="s">
        <v>26</v>
      </c>
      <c r="F606">
        <v>438</v>
      </c>
      <c r="G606">
        <v>6</v>
      </c>
      <c r="H606">
        <v>6</v>
      </c>
      <c r="I606">
        <v>2123000</v>
      </c>
      <c r="J606">
        <v>4847</v>
      </c>
      <c r="K606">
        <v>1</v>
      </c>
      <c r="L606" t="s">
        <v>17</v>
      </c>
      <c r="M606">
        <v>121</v>
      </c>
      <c r="N606" t="s">
        <v>18</v>
      </c>
      <c r="P606">
        <f t="shared" si="90"/>
        <v>2123000</v>
      </c>
      <c r="Q606">
        <f t="shared" si="91"/>
        <v>438</v>
      </c>
      <c r="R606" t="e">
        <f t="shared" si="92"/>
        <v>#N/A</v>
      </c>
      <c r="S606" t="e">
        <f t="shared" si="93"/>
        <v>#N/A</v>
      </c>
      <c r="T606" t="e">
        <f t="shared" si="94"/>
        <v>#N/A</v>
      </c>
      <c r="U606" t="e">
        <f t="shared" si="95"/>
        <v>#N/A</v>
      </c>
      <c r="V606" t="e">
        <f t="shared" si="96"/>
        <v>#N/A</v>
      </c>
      <c r="W606" t="e">
        <f t="shared" si="97"/>
        <v>#N/A</v>
      </c>
      <c r="X606" t="e">
        <f t="shared" si="98"/>
        <v>#N/A</v>
      </c>
      <c r="Y606" t="e">
        <f t="shared" si="99"/>
        <v>#N/A</v>
      </c>
    </row>
    <row r="607" spans="1:25" x14ac:dyDescent="0.2">
      <c r="A607">
        <v>1605</v>
      </c>
      <c r="B607" t="s">
        <v>31</v>
      </c>
      <c r="C607" t="s">
        <v>15</v>
      </c>
      <c r="D607">
        <v>2021</v>
      </c>
      <c r="E607" t="s">
        <v>16</v>
      </c>
      <c r="F607">
        <v>176</v>
      </c>
      <c r="G607">
        <v>4</v>
      </c>
      <c r="H607">
        <v>4</v>
      </c>
      <c r="I607">
        <v>449000</v>
      </c>
      <c r="J607">
        <v>2551.1</v>
      </c>
      <c r="K607">
        <v>20</v>
      </c>
      <c r="L607" t="s">
        <v>17</v>
      </c>
      <c r="M607">
        <v>111</v>
      </c>
      <c r="N607" t="s">
        <v>21</v>
      </c>
      <c r="P607" t="e">
        <f t="shared" si="90"/>
        <v>#N/A</v>
      </c>
      <c r="Q607" t="e">
        <f t="shared" si="91"/>
        <v>#N/A</v>
      </c>
      <c r="R607">
        <f t="shared" si="92"/>
        <v>449000</v>
      </c>
      <c r="S607">
        <f t="shared" si="93"/>
        <v>176</v>
      </c>
      <c r="T607" t="e">
        <f t="shared" si="94"/>
        <v>#N/A</v>
      </c>
      <c r="U607" t="e">
        <f t="shared" si="95"/>
        <v>#N/A</v>
      </c>
      <c r="V607" t="e">
        <f t="shared" si="96"/>
        <v>#N/A</v>
      </c>
      <c r="W607" t="e">
        <f t="shared" si="97"/>
        <v>#N/A</v>
      </c>
      <c r="X607" t="e">
        <f t="shared" si="98"/>
        <v>#N/A</v>
      </c>
      <c r="Y607" t="e">
        <f t="shared" si="99"/>
        <v>#N/A</v>
      </c>
    </row>
    <row r="608" spans="1:25" x14ac:dyDescent="0.2">
      <c r="A608">
        <v>1606</v>
      </c>
      <c r="B608" t="s">
        <v>42</v>
      </c>
      <c r="C608" t="s">
        <v>36</v>
      </c>
      <c r="D608">
        <v>2021</v>
      </c>
      <c r="E608" t="s">
        <v>16</v>
      </c>
      <c r="F608">
        <v>415</v>
      </c>
      <c r="G608">
        <v>3</v>
      </c>
      <c r="H608">
        <v>3</v>
      </c>
      <c r="I608">
        <v>1358000</v>
      </c>
      <c r="J608">
        <v>3272.3</v>
      </c>
      <c r="K608">
        <v>1</v>
      </c>
      <c r="L608" t="s">
        <v>17</v>
      </c>
      <c r="M608">
        <v>55</v>
      </c>
      <c r="N608" t="s">
        <v>21</v>
      </c>
      <c r="P608" t="e">
        <f t="shared" si="90"/>
        <v>#N/A</v>
      </c>
      <c r="Q608" t="e">
        <f t="shared" si="91"/>
        <v>#N/A</v>
      </c>
      <c r="R608" t="e">
        <f t="shared" si="92"/>
        <v>#N/A</v>
      </c>
      <c r="S608" t="e">
        <f t="shared" si="93"/>
        <v>#N/A</v>
      </c>
      <c r="T608" t="e">
        <f t="shared" si="94"/>
        <v>#N/A</v>
      </c>
      <c r="U608" t="e">
        <f t="shared" si="95"/>
        <v>#N/A</v>
      </c>
      <c r="V608" t="e">
        <f t="shared" si="96"/>
        <v>#N/A</v>
      </c>
      <c r="W608" t="e">
        <f t="shared" si="97"/>
        <v>#N/A</v>
      </c>
      <c r="X608">
        <f t="shared" si="98"/>
        <v>1358000</v>
      </c>
      <c r="Y608">
        <f t="shared" si="99"/>
        <v>415</v>
      </c>
    </row>
    <row r="609" spans="1:25" x14ac:dyDescent="0.2">
      <c r="A609">
        <v>1607</v>
      </c>
      <c r="B609" t="s">
        <v>42</v>
      </c>
      <c r="C609" t="s">
        <v>29</v>
      </c>
      <c r="D609">
        <v>2021</v>
      </c>
      <c r="E609" t="s">
        <v>16</v>
      </c>
      <c r="F609">
        <v>417</v>
      </c>
      <c r="G609">
        <v>5</v>
      </c>
      <c r="H609">
        <v>5</v>
      </c>
      <c r="I609">
        <v>2503000</v>
      </c>
      <c r="J609">
        <v>6002.4</v>
      </c>
      <c r="K609">
        <v>1</v>
      </c>
      <c r="L609" t="s">
        <v>17</v>
      </c>
      <c r="M609">
        <v>43</v>
      </c>
      <c r="N609" t="s">
        <v>21</v>
      </c>
      <c r="P609">
        <f t="shared" si="90"/>
        <v>2503000</v>
      </c>
      <c r="Q609">
        <f t="shared" si="91"/>
        <v>417</v>
      </c>
      <c r="R609" t="e">
        <f t="shared" si="92"/>
        <v>#N/A</v>
      </c>
      <c r="S609" t="e">
        <f t="shared" si="93"/>
        <v>#N/A</v>
      </c>
      <c r="T609" t="e">
        <f t="shared" si="94"/>
        <v>#N/A</v>
      </c>
      <c r="U609" t="e">
        <f t="shared" si="95"/>
        <v>#N/A</v>
      </c>
      <c r="V609" t="e">
        <f t="shared" si="96"/>
        <v>#N/A</v>
      </c>
      <c r="W609" t="e">
        <f t="shared" si="97"/>
        <v>#N/A</v>
      </c>
      <c r="X609" t="e">
        <f t="shared" si="98"/>
        <v>#N/A</v>
      </c>
      <c r="Y609" t="e">
        <f t="shared" si="99"/>
        <v>#N/A</v>
      </c>
    </row>
    <row r="610" spans="1:25" x14ac:dyDescent="0.2">
      <c r="A610">
        <v>1608</v>
      </c>
      <c r="B610" t="s">
        <v>46</v>
      </c>
      <c r="C610" t="s">
        <v>15</v>
      </c>
      <c r="D610">
        <v>2022</v>
      </c>
      <c r="E610" t="s">
        <v>30</v>
      </c>
      <c r="F610">
        <v>165</v>
      </c>
      <c r="G610">
        <v>3</v>
      </c>
      <c r="H610">
        <v>3</v>
      </c>
      <c r="I610">
        <v>561000</v>
      </c>
      <c r="J610">
        <v>3400</v>
      </c>
      <c r="K610">
        <v>5</v>
      </c>
      <c r="L610" t="s">
        <v>17</v>
      </c>
      <c r="M610">
        <v>117</v>
      </c>
      <c r="N610" t="s">
        <v>18</v>
      </c>
      <c r="P610" t="e">
        <f t="shared" si="90"/>
        <v>#N/A</v>
      </c>
      <c r="Q610" t="e">
        <f t="shared" si="91"/>
        <v>#N/A</v>
      </c>
      <c r="R610">
        <f t="shared" si="92"/>
        <v>561000</v>
      </c>
      <c r="S610">
        <f t="shared" si="93"/>
        <v>165</v>
      </c>
      <c r="T610" t="e">
        <f t="shared" si="94"/>
        <v>#N/A</v>
      </c>
      <c r="U610" t="e">
        <f t="shared" si="95"/>
        <v>#N/A</v>
      </c>
      <c r="V610" t="e">
        <f t="shared" si="96"/>
        <v>#N/A</v>
      </c>
      <c r="W610" t="e">
        <f t="shared" si="97"/>
        <v>#N/A</v>
      </c>
      <c r="X610" t="e">
        <f t="shared" si="98"/>
        <v>#N/A</v>
      </c>
      <c r="Y610" t="e">
        <f t="shared" si="99"/>
        <v>#N/A</v>
      </c>
    </row>
    <row r="611" spans="1:25" x14ac:dyDescent="0.2">
      <c r="A611">
        <v>1609</v>
      </c>
      <c r="B611" t="s">
        <v>19</v>
      </c>
      <c r="C611" t="s">
        <v>15</v>
      </c>
      <c r="D611">
        <v>2023</v>
      </c>
      <c r="E611" t="s">
        <v>16</v>
      </c>
      <c r="F611">
        <v>98</v>
      </c>
      <c r="G611">
        <v>2</v>
      </c>
      <c r="H611">
        <v>2</v>
      </c>
      <c r="I611">
        <v>310000</v>
      </c>
      <c r="J611">
        <v>3163.3</v>
      </c>
      <c r="K611">
        <v>5</v>
      </c>
      <c r="L611" t="s">
        <v>17</v>
      </c>
      <c r="M611">
        <v>8</v>
      </c>
      <c r="N611" t="s">
        <v>21</v>
      </c>
      <c r="P611" t="e">
        <f t="shared" si="90"/>
        <v>#N/A</v>
      </c>
      <c r="Q611" t="e">
        <f t="shared" si="91"/>
        <v>#N/A</v>
      </c>
      <c r="R611">
        <f t="shared" si="92"/>
        <v>310000</v>
      </c>
      <c r="S611">
        <f t="shared" si="93"/>
        <v>98</v>
      </c>
      <c r="T611" t="e">
        <f t="shared" si="94"/>
        <v>#N/A</v>
      </c>
      <c r="U611" t="e">
        <f t="shared" si="95"/>
        <v>#N/A</v>
      </c>
      <c r="V611" t="e">
        <f t="shared" si="96"/>
        <v>#N/A</v>
      </c>
      <c r="W611" t="e">
        <f t="shared" si="97"/>
        <v>#N/A</v>
      </c>
      <c r="X611" t="e">
        <f t="shared" si="98"/>
        <v>#N/A</v>
      </c>
      <c r="Y611" t="e">
        <f t="shared" si="99"/>
        <v>#N/A</v>
      </c>
    </row>
    <row r="612" spans="1:25" x14ac:dyDescent="0.2">
      <c r="A612">
        <v>1610</v>
      </c>
      <c r="B612" t="s">
        <v>43</v>
      </c>
      <c r="C612" t="s">
        <v>23</v>
      </c>
      <c r="D612">
        <v>2021</v>
      </c>
      <c r="E612" t="s">
        <v>30</v>
      </c>
      <c r="F612">
        <v>354</v>
      </c>
      <c r="G612">
        <v>4</v>
      </c>
      <c r="H612">
        <v>4</v>
      </c>
      <c r="I612">
        <v>1620000</v>
      </c>
      <c r="J612">
        <v>4576.3</v>
      </c>
      <c r="K612">
        <v>15</v>
      </c>
      <c r="L612" t="s">
        <v>17</v>
      </c>
      <c r="M612">
        <v>160</v>
      </c>
      <c r="N612" t="s">
        <v>27</v>
      </c>
      <c r="P612" t="e">
        <f t="shared" si="90"/>
        <v>#N/A</v>
      </c>
      <c r="Q612" t="e">
        <f t="shared" si="91"/>
        <v>#N/A</v>
      </c>
      <c r="R612" t="e">
        <f t="shared" si="92"/>
        <v>#N/A</v>
      </c>
      <c r="S612" t="e">
        <f t="shared" si="93"/>
        <v>#N/A</v>
      </c>
      <c r="T612">
        <f t="shared" si="94"/>
        <v>1620000</v>
      </c>
      <c r="U612">
        <f t="shared" si="95"/>
        <v>354</v>
      </c>
      <c r="V612" t="e">
        <f t="shared" si="96"/>
        <v>#N/A</v>
      </c>
      <c r="W612" t="e">
        <f t="shared" si="97"/>
        <v>#N/A</v>
      </c>
      <c r="X612" t="e">
        <f t="shared" si="98"/>
        <v>#N/A</v>
      </c>
      <c r="Y612" t="e">
        <f t="shared" si="99"/>
        <v>#N/A</v>
      </c>
    </row>
    <row r="613" spans="1:25" x14ac:dyDescent="0.2">
      <c r="A613">
        <v>1611</v>
      </c>
      <c r="B613" t="s">
        <v>47</v>
      </c>
      <c r="C613" t="s">
        <v>36</v>
      </c>
      <c r="D613">
        <v>2022</v>
      </c>
      <c r="E613" t="s">
        <v>16</v>
      </c>
      <c r="F613">
        <v>433</v>
      </c>
      <c r="G613">
        <v>4</v>
      </c>
      <c r="H613">
        <v>4</v>
      </c>
      <c r="I613">
        <v>912000</v>
      </c>
      <c r="J613">
        <v>2106.1999999999998</v>
      </c>
      <c r="K613">
        <v>15</v>
      </c>
      <c r="L613" t="s">
        <v>20</v>
      </c>
      <c r="M613">
        <v>23</v>
      </c>
      <c r="N613" t="s">
        <v>21</v>
      </c>
      <c r="P613" t="e">
        <f t="shared" si="90"/>
        <v>#N/A</v>
      </c>
      <c r="Q613" t="e">
        <f t="shared" si="91"/>
        <v>#N/A</v>
      </c>
      <c r="R613" t="e">
        <f t="shared" si="92"/>
        <v>#N/A</v>
      </c>
      <c r="S613" t="e">
        <f t="shared" si="93"/>
        <v>#N/A</v>
      </c>
      <c r="T613" t="e">
        <f t="shared" si="94"/>
        <v>#N/A</v>
      </c>
      <c r="U613" t="e">
        <f t="shared" si="95"/>
        <v>#N/A</v>
      </c>
      <c r="V613" t="e">
        <f t="shared" si="96"/>
        <v>#N/A</v>
      </c>
      <c r="W613" t="e">
        <f t="shared" si="97"/>
        <v>#N/A</v>
      </c>
      <c r="X613">
        <f t="shared" si="98"/>
        <v>912000</v>
      </c>
      <c r="Y613">
        <f t="shared" si="99"/>
        <v>433</v>
      </c>
    </row>
    <row r="614" spans="1:25" x14ac:dyDescent="0.2">
      <c r="A614">
        <v>1612</v>
      </c>
      <c r="B614" t="s">
        <v>32</v>
      </c>
      <c r="C614" t="s">
        <v>15</v>
      </c>
      <c r="D614">
        <v>2024</v>
      </c>
      <c r="E614" t="s">
        <v>16</v>
      </c>
      <c r="F614">
        <v>160</v>
      </c>
      <c r="G614">
        <v>4</v>
      </c>
      <c r="H614">
        <v>4</v>
      </c>
      <c r="I614">
        <v>474000</v>
      </c>
      <c r="J614">
        <v>2962.5</v>
      </c>
      <c r="K614">
        <v>1</v>
      </c>
      <c r="L614" t="s">
        <v>34</v>
      </c>
      <c r="M614">
        <v>80</v>
      </c>
      <c r="N614" t="s">
        <v>18</v>
      </c>
      <c r="P614" t="e">
        <f t="shared" si="90"/>
        <v>#N/A</v>
      </c>
      <c r="Q614" t="e">
        <f t="shared" si="91"/>
        <v>#N/A</v>
      </c>
      <c r="R614">
        <f t="shared" si="92"/>
        <v>474000</v>
      </c>
      <c r="S614">
        <f t="shared" si="93"/>
        <v>160</v>
      </c>
      <c r="T614" t="e">
        <f t="shared" si="94"/>
        <v>#N/A</v>
      </c>
      <c r="U614" t="e">
        <f t="shared" si="95"/>
        <v>#N/A</v>
      </c>
      <c r="V614" t="e">
        <f t="shared" si="96"/>
        <v>#N/A</v>
      </c>
      <c r="W614" t="e">
        <f t="shared" si="97"/>
        <v>#N/A</v>
      </c>
      <c r="X614" t="e">
        <f t="shared" si="98"/>
        <v>#N/A</v>
      </c>
      <c r="Y614" t="e">
        <f t="shared" si="99"/>
        <v>#N/A</v>
      </c>
    </row>
    <row r="615" spans="1:25" x14ac:dyDescent="0.2">
      <c r="A615">
        <v>1613</v>
      </c>
      <c r="B615" t="s">
        <v>35</v>
      </c>
      <c r="C615" t="s">
        <v>38</v>
      </c>
      <c r="D615">
        <v>2021</v>
      </c>
      <c r="E615" t="s">
        <v>26</v>
      </c>
      <c r="F615">
        <v>58</v>
      </c>
      <c r="G615">
        <v>0</v>
      </c>
      <c r="H615">
        <v>1</v>
      </c>
      <c r="I615">
        <v>229000</v>
      </c>
      <c r="J615">
        <v>3948.3</v>
      </c>
      <c r="K615">
        <v>3</v>
      </c>
      <c r="L615" t="s">
        <v>17</v>
      </c>
      <c r="M615">
        <v>174</v>
      </c>
      <c r="N615" t="s">
        <v>18</v>
      </c>
      <c r="P615" t="e">
        <f t="shared" si="90"/>
        <v>#N/A</v>
      </c>
      <c r="Q615" t="e">
        <f t="shared" si="91"/>
        <v>#N/A</v>
      </c>
      <c r="R615" t="e">
        <f t="shared" si="92"/>
        <v>#N/A</v>
      </c>
      <c r="S615" t="e">
        <f t="shared" si="93"/>
        <v>#N/A</v>
      </c>
      <c r="T615" t="e">
        <f t="shared" si="94"/>
        <v>#N/A</v>
      </c>
      <c r="U615" t="e">
        <f t="shared" si="95"/>
        <v>#N/A</v>
      </c>
      <c r="V615">
        <f t="shared" si="96"/>
        <v>229000</v>
      </c>
      <c r="W615">
        <f t="shared" si="97"/>
        <v>58</v>
      </c>
      <c r="X615" t="e">
        <f t="shared" si="98"/>
        <v>#N/A</v>
      </c>
      <c r="Y615" t="e">
        <f t="shared" si="99"/>
        <v>#N/A</v>
      </c>
    </row>
    <row r="616" spans="1:25" x14ac:dyDescent="0.2">
      <c r="A616">
        <v>1614</v>
      </c>
      <c r="B616" t="s">
        <v>45</v>
      </c>
      <c r="C616" t="s">
        <v>15</v>
      </c>
      <c r="D616">
        <v>2023</v>
      </c>
      <c r="E616" t="s">
        <v>24</v>
      </c>
      <c r="F616">
        <v>144</v>
      </c>
      <c r="G616">
        <v>2</v>
      </c>
      <c r="H616">
        <v>2</v>
      </c>
      <c r="I616">
        <v>571000</v>
      </c>
      <c r="J616">
        <v>3965.3</v>
      </c>
      <c r="K616">
        <v>15</v>
      </c>
      <c r="L616" t="s">
        <v>17</v>
      </c>
      <c r="M616">
        <v>46</v>
      </c>
      <c r="N616" t="s">
        <v>21</v>
      </c>
      <c r="P616" t="e">
        <f t="shared" si="90"/>
        <v>#N/A</v>
      </c>
      <c r="Q616" t="e">
        <f t="shared" si="91"/>
        <v>#N/A</v>
      </c>
      <c r="R616">
        <f t="shared" si="92"/>
        <v>571000</v>
      </c>
      <c r="S616">
        <f t="shared" si="93"/>
        <v>144</v>
      </c>
      <c r="T616" t="e">
        <f t="shared" si="94"/>
        <v>#N/A</v>
      </c>
      <c r="U616" t="e">
        <f t="shared" si="95"/>
        <v>#N/A</v>
      </c>
      <c r="V616" t="e">
        <f t="shared" si="96"/>
        <v>#N/A</v>
      </c>
      <c r="W616" t="e">
        <f t="shared" si="97"/>
        <v>#N/A</v>
      </c>
      <c r="X616" t="e">
        <f t="shared" si="98"/>
        <v>#N/A</v>
      </c>
      <c r="Y616" t="e">
        <f t="shared" si="99"/>
        <v>#N/A</v>
      </c>
    </row>
    <row r="617" spans="1:25" x14ac:dyDescent="0.2">
      <c r="A617">
        <v>1615</v>
      </c>
      <c r="B617" t="s">
        <v>47</v>
      </c>
      <c r="C617" t="s">
        <v>15</v>
      </c>
      <c r="D617">
        <v>2023</v>
      </c>
      <c r="E617" t="s">
        <v>30</v>
      </c>
      <c r="F617">
        <v>180</v>
      </c>
      <c r="G617">
        <v>3</v>
      </c>
      <c r="H617">
        <v>3</v>
      </c>
      <c r="I617">
        <v>601000</v>
      </c>
      <c r="J617">
        <v>3338.9</v>
      </c>
      <c r="K617">
        <v>15</v>
      </c>
      <c r="L617" t="s">
        <v>17</v>
      </c>
      <c r="M617">
        <v>177</v>
      </c>
      <c r="N617" t="s">
        <v>21</v>
      </c>
      <c r="P617" t="e">
        <f t="shared" si="90"/>
        <v>#N/A</v>
      </c>
      <c r="Q617" t="e">
        <f t="shared" si="91"/>
        <v>#N/A</v>
      </c>
      <c r="R617">
        <f t="shared" si="92"/>
        <v>601000</v>
      </c>
      <c r="S617">
        <f t="shared" si="93"/>
        <v>180</v>
      </c>
      <c r="T617" t="e">
        <f t="shared" si="94"/>
        <v>#N/A</v>
      </c>
      <c r="U617" t="e">
        <f t="shared" si="95"/>
        <v>#N/A</v>
      </c>
      <c r="V617" t="e">
        <f t="shared" si="96"/>
        <v>#N/A</v>
      </c>
      <c r="W617" t="e">
        <f t="shared" si="97"/>
        <v>#N/A</v>
      </c>
      <c r="X617" t="e">
        <f t="shared" si="98"/>
        <v>#N/A</v>
      </c>
      <c r="Y617" t="e">
        <f t="shared" si="99"/>
        <v>#N/A</v>
      </c>
    </row>
    <row r="618" spans="1:25" x14ac:dyDescent="0.2">
      <c r="A618">
        <v>1616</v>
      </c>
      <c r="B618" t="s">
        <v>35</v>
      </c>
      <c r="C618" t="s">
        <v>15</v>
      </c>
      <c r="D618">
        <v>2022</v>
      </c>
      <c r="E618" t="s">
        <v>24</v>
      </c>
      <c r="F618">
        <v>168</v>
      </c>
      <c r="G618">
        <v>3</v>
      </c>
      <c r="H618">
        <v>3</v>
      </c>
      <c r="I618">
        <v>555000</v>
      </c>
      <c r="J618">
        <v>3303.6</v>
      </c>
      <c r="K618">
        <v>2</v>
      </c>
      <c r="L618" t="s">
        <v>34</v>
      </c>
      <c r="M618">
        <v>116</v>
      </c>
      <c r="N618" t="s">
        <v>18</v>
      </c>
      <c r="P618" t="e">
        <f t="shared" si="90"/>
        <v>#N/A</v>
      </c>
      <c r="Q618" t="e">
        <f t="shared" si="91"/>
        <v>#N/A</v>
      </c>
      <c r="R618">
        <f t="shared" si="92"/>
        <v>555000</v>
      </c>
      <c r="S618">
        <f t="shared" si="93"/>
        <v>168</v>
      </c>
      <c r="T618" t="e">
        <f t="shared" si="94"/>
        <v>#N/A</v>
      </c>
      <c r="U618" t="e">
        <f t="shared" si="95"/>
        <v>#N/A</v>
      </c>
      <c r="V618" t="e">
        <f t="shared" si="96"/>
        <v>#N/A</v>
      </c>
      <c r="W618" t="e">
        <f t="shared" si="97"/>
        <v>#N/A</v>
      </c>
      <c r="X618" t="e">
        <f t="shared" si="98"/>
        <v>#N/A</v>
      </c>
      <c r="Y618" t="e">
        <f t="shared" si="99"/>
        <v>#N/A</v>
      </c>
    </row>
    <row r="619" spans="1:25" x14ac:dyDescent="0.2">
      <c r="A619">
        <v>1617</v>
      </c>
      <c r="B619" t="s">
        <v>19</v>
      </c>
      <c r="C619" t="s">
        <v>15</v>
      </c>
      <c r="D619">
        <v>2021</v>
      </c>
      <c r="E619" t="s">
        <v>26</v>
      </c>
      <c r="F619">
        <v>60</v>
      </c>
      <c r="G619">
        <v>4</v>
      </c>
      <c r="H619">
        <v>4</v>
      </c>
      <c r="I619">
        <v>173000</v>
      </c>
      <c r="J619">
        <v>2883.3</v>
      </c>
      <c r="K619">
        <v>3</v>
      </c>
      <c r="L619" t="s">
        <v>34</v>
      </c>
      <c r="M619">
        <v>19</v>
      </c>
      <c r="N619" t="s">
        <v>21</v>
      </c>
      <c r="P619" t="e">
        <f t="shared" si="90"/>
        <v>#N/A</v>
      </c>
      <c r="Q619" t="e">
        <f t="shared" si="91"/>
        <v>#N/A</v>
      </c>
      <c r="R619">
        <f t="shared" si="92"/>
        <v>173000</v>
      </c>
      <c r="S619">
        <f t="shared" si="93"/>
        <v>60</v>
      </c>
      <c r="T619" t="e">
        <f t="shared" si="94"/>
        <v>#N/A</v>
      </c>
      <c r="U619" t="e">
        <f t="shared" si="95"/>
        <v>#N/A</v>
      </c>
      <c r="V619" t="e">
        <f t="shared" si="96"/>
        <v>#N/A</v>
      </c>
      <c r="W619" t="e">
        <f t="shared" si="97"/>
        <v>#N/A</v>
      </c>
      <c r="X619" t="e">
        <f t="shared" si="98"/>
        <v>#N/A</v>
      </c>
      <c r="Y619" t="e">
        <f t="shared" si="99"/>
        <v>#N/A</v>
      </c>
    </row>
    <row r="620" spans="1:25" x14ac:dyDescent="0.2">
      <c r="A620">
        <v>1618</v>
      </c>
      <c r="B620" t="s">
        <v>22</v>
      </c>
      <c r="C620" t="s">
        <v>23</v>
      </c>
      <c r="D620">
        <v>2021</v>
      </c>
      <c r="E620" t="s">
        <v>24</v>
      </c>
      <c r="F620">
        <v>262</v>
      </c>
      <c r="G620">
        <v>4</v>
      </c>
      <c r="H620">
        <v>4</v>
      </c>
      <c r="I620">
        <v>1051000</v>
      </c>
      <c r="J620">
        <v>4011.5</v>
      </c>
      <c r="K620">
        <v>0</v>
      </c>
      <c r="L620" t="s">
        <v>20</v>
      </c>
      <c r="M620">
        <v>116</v>
      </c>
      <c r="N620" t="s">
        <v>18</v>
      </c>
      <c r="P620" t="e">
        <f t="shared" si="90"/>
        <v>#N/A</v>
      </c>
      <c r="Q620" t="e">
        <f t="shared" si="91"/>
        <v>#N/A</v>
      </c>
      <c r="R620" t="e">
        <f t="shared" si="92"/>
        <v>#N/A</v>
      </c>
      <c r="S620" t="e">
        <f t="shared" si="93"/>
        <v>#N/A</v>
      </c>
      <c r="T620">
        <f t="shared" si="94"/>
        <v>1051000</v>
      </c>
      <c r="U620">
        <f t="shared" si="95"/>
        <v>262</v>
      </c>
      <c r="V620" t="e">
        <f t="shared" si="96"/>
        <v>#N/A</v>
      </c>
      <c r="W620" t="e">
        <f t="shared" si="97"/>
        <v>#N/A</v>
      </c>
      <c r="X620" t="e">
        <f t="shared" si="98"/>
        <v>#N/A</v>
      </c>
      <c r="Y620" t="e">
        <f t="shared" si="99"/>
        <v>#N/A</v>
      </c>
    </row>
    <row r="621" spans="1:25" x14ac:dyDescent="0.2">
      <c r="A621">
        <v>1619</v>
      </c>
      <c r="B621" t="s">
        <v>48</v>
      </c>
      <c r="C621" t="s">
        <v>23</v>
      </c>
      <c r="D621">
        <v>2022</v>
      </c>
      <c r="E621" t="s">
        <v>30</v>
      </c>
      <c r="F621">
        <v>224</v>
      </c>
      <c r="G621">
        <v>4</v>
      </c>
      <c r="H621">
        <v>4</v>
      </c>
      <c r="I621">
        <v>726000</v>
      </c>
      <c r="J621">
        <v>3241.1</v>
      </c>
      <c r="K621">
        <v>5</v>
      </c>
      <c r="L621" t="s">
        <v>20</v>
      </c>
      <c r="M621">
        <v>45</v>
      </c>
      <c r="N621" t="s">
        <v>27</v>
      </c>
      <c r="P621" t="e">
        <f t="shared" si="90"/>
        <v>#N/A</v>
      </c>
      <c r="Q621" t="e">
        <f t="shared" si="91"/>
        <v>#N/A</v>
      </c>
      <c r="R621" t="e">
        <f t="shared" si="92"/>
        <v>#N/A</v>
      </c>
      <c r="S621" t="e">
        <f t="shared" si="93"/>
        <v>#N/A</v>
      </c>
      <c r="T621">
        <f t="shared" si="94"/>
        <v>726000</v>
      </c>
      <c r="U621">
        <f t="shared" si="95"/>
        <v>224</v>
      </c>
      <c r="V621" t="e">
        <f t="shared" si="96"/>
        <v>#N/A</v>
      </c>
      <c r="W621" t="e">
        <f t="shared" si="97"/>
        <v>#N/A</v>
      </c>
      <c r="X621" t="e">
        <f t="shared" si="98"/>
        <v>#N/A</v>
      </c>
      <c r="Y621" t="e">
        <f t="shared" si="99"/>
        <v>#N/A</v>
      </c>
    </row>
    <row r="622" spans="1:25" x14ac:dyDescent="0.2">
      <c r="A622">
        <v>1620</v>
      </c>
      <c r="B622" t="s">
        <v>45</v>
      </c>
      <c r="C622" t="s">
        <v>38</v>
      </c>
      <c r="D622">
        <v>2024</v>
      </c>
      <c r="E622" t="s">
        <v>24</v>
      </c>
      <c r="F622">
        <v>42</v>
      </c>
      <c r="G622">
        <v>0</v>
      </c>
      <c r="H622">
        <v>1</v>
      </c>
      <c r="I622">
        <v>253000</v>
      </c>
      <c r="J622">
        <v>6023.8</v>
      </c>
      <c r="K622">
        <v>1</v>
      </c>
      <c r="L622" t="s">
        <v>17</v>
      </c>
      <c r="M622">
        <v>59</v>
      </c>
      <c r="N622" t="s">
        <v>21</v>
      </c>
      <c r="P622" t="e">
        <f t="shared" si="90"/>
        <v>#N/A</v>
      </c>
      <c r="Q622" t="e">
        <f t="shared" si="91"/>
        <v>#N/A</v>
      </c>
      <c r="R622" t="e">
        <f t="shared" si="92"/>
        <v>#N/A</v>
      </c>
      <c r="S622" t="e">
        <f t="shared" si="93"/>
        <v>#N/A</v>
      </c>
      <c r="T622" t="e">
        <f t="shared" si="94"/>
        <v>#N/A</v>
      </c>
      <c r="U622" t="e">
        <f t="shared" si="95"/>
        <v>#N/A</v>
      </c>
      <c r="V622">
        <f t="shared" si="96"/>
        <v>253000</v>
      </c>
      <c r="W622">
        <f t="shared" si="97"/>
        <v>42</v>
      </c>
      <c r="X622" t="e">
        <f t="shared" si="98"/>
        <v>#N/A</v>
      </c>
      <c r="Y622" t="e">
        <f t="shared" si="99"/>
        <v>#N/A</v>
      </c>
    </row>
    <row r="623" spans="1:25" x14ac:dyDescent="0.2">
      <c r="A623">
        <v>1621</v>
      </c>
      <c r="B623" t="s">
        <v>44</v>
      </c>
      <c r="C623" t="s">
        <v>15</v>
      </c>
      <c r="D623">
        <v>2024</v>
      </c>
      <c r="E623" t="s">
        <v>24</v>
      </c>
      <c r="F623">
        <v>180</v>
      </c>
      <c r="G623">
        <v>3</v>
      </c>
      <c r="H623">
        <v>3</v>
      </c>
      <c r="I623">
        <v>578000</v>
      </c>
      <c r="J623">
        <v>3211.1</v>
      </c>
      <c r="K623">
        <v>1</v>
      </c>
      <c r="L623" t="s">
        <v>34</v>
      </c>
      <c r="M623">
        <v>167</v>
      </c>
      <c r="N623" t="s">
        <v>18</v>
      </c>
      <c r="P623" t="e">
        <f t="shared" si="90"/>
        <v>#N/A</v>
      </c>
      <c r="Q623" t="e">
        <f t="shared" si="91"/>
        <v>#N/A</v>
      </c>
      <c r="R623">
        <f t="shared" si="92"/>
        <v>578000</v>
      </c>
      <c r="S623">
        <f t="shared" si="93"/>
        <v>180</v>
      </c>
      <c r="T623" t="e">
        <f t="shared" si="94"/>
        <v>#N/A</v>
      </c>
      <c r="U623" t="e">
        <f t="shared" si="95"/>
        <v>#N/A</v>
      </c>
      <c r="V623" t="e">
        <f t="shared" si="96"/>
        <v>#N/A</v>
      </c>
      <c r="W623" t="e">
        <f t="shared" si="97"/>
        <v>#N/A</v>
      </c>
      <c r="X623" t="e">
        <f t="shared" si="98"/>
        <v>#N/A</v>
      </c>
      <c r="Y623" t="e">
        <f t="shared" si="99"/>
        <v>#N/A</v>
      </c>
    </row>
    <row r="624" spans="1:25" x14ac:dyDescent="0.2">
      <c r="A624">
        <v>1622</v>
      </c>
      <c r="B624" t="s">
        <v>25</v>
      </c>
      <c r="C624" t="s">
        <v>29</v>
      </c>
      <c r="D624">
        <v>2021</v>
      </c>
      <c r="E624" t="s">
        <v>26</v>
      </c>
      <c r="F624">
        <v>416</v>
      </c>
      <c r="G624">
        <v>5</v>
      </c>
      <c r="H624">
        <v>5</v>
      </c>
      <c r="I624">
        <v>1369000</v>
      </c>
      <c r="J624">
        <v>3290.9</v>
      </c>
      <c r="K624">
        <v>3</v>
      </c>
      <c r="L624" t="s">
        <v>17</v>
      </c>
      <c r="M624">
        <v>47</v>
      </c>
      <c r="N624" t="s">
        <v>27</v>
      </c>
      <c r="P624">
        <f t="shared" si="90"/>
        <v>1369000</v>
      </c>
      <c r="Q624">
        <f t="shared" si="91"/>
        <v>416</v>
      </c>
      <c r="R624" t="e">
        <f t="shared" si="92"/>
        <v>#N/A</v>
      </c>
      <c r="S624" t="e">
        <f t="shared" si="93"/>
        <v>#N/A</v>
      </c>
      <c r="T624" t="e">
        <f t="shared" si="94"/>
        <v>#N/A</v>
      </c>
      <c r="U624" t="e">
        <f t="shared" si="95"/>
        <v>#N/A</v>
      </c>
      <c r="V624" t="e">
        <f t="shared" si="96"/>
        <v>#N/A</v>
      </c>
      <c r="W624" t="e">
        <f t="shared" si="97"/>
        <v>#N/A</v>
      </c>
      <c r="X624" t="e">
        <f t="shared" si="98"/>
        <v>#N/A</v>
      </c>
      <c r="Y624" t="e">
        <f t="shared" si="99"/>
        <v>#N/A</v>
      </c>
    </row>
    <row r="625" spans="1:25" x14ac:dyDescent="0.2">
      <c r="A625">
        <v>1623</v>
      </c>
      <c r="B625" t="s">
        <v>39</v>
      </c>
      <c r="C625" t="s">
        <v>36</v>
      </c>
      <c r="D625">
        <v>2022</v>
      </c>
      <c r="E625" t="s">
        <v>30</v>
      </c>
      <c r="F625">
        <v>379</v>
      </c>
      <c r="G625">
        <v>5</v>
      </c>
      <c r="H625">
        <v>5</v>
      </c>
      <c r="I625">
        <v>1003000</v>
      </c>
      <c r="J625">
        <v>2646.4</v>
      </c>
      <c r="K625">
        <v>4</v>
      </c>
      <c r="L625" t="s">
        <v>20</v>
      </c>
      <c r="M625">
        <v>37</v>
      </c>
      <c r="N625" t="s">
        <v>21</v>
      </c>
      <c r="P625" t="e">
        <f t="shared" si="90"/>
        <v>#N/A</v>
      </c>
      <c r="Q625" t="e">
        <f t="shared" si="91"/>
        <v>#N/A</v>
      </c>
      <c r="R625" t="e">
        <f t="shared" si="92"/>
        <v>#N/A</v>
      </c>
      <c r="S625" t="e">
        <f t="shared" si="93"/>
        <v>#N/A</v>
      </c>
      <c r="T625" t="e">
        <f t="shared" si="94"/>
        <v>#N/A</v>
      </c>
      <c r="U625" t="e">
        <f t="shared" si="95"/>
        <v>#N/A</v>
      </c>
      <c r="V625" t="e">
        <f t="shared" si="96"/>
        <v>#N/A</v>
      </c>
      <c r="W625" t="e">
        <f t="shared" si="97"/>
        <v>#N/A</v>
      </c>
      <c r="X625">
        <f t="shared" si="98"/>
        <v>1003000</v>
      </c>
      <c r="Y625">
        <f t="shared" si="99"/>
        <v>379</v>
      </c>
    </row>
    <row r="626" spans="1:25" x14ac:dyDescent="0.2">
      <c r="A626">
        <v>1624</v>
      </c>
      <c r="B626" t="s">
        <v>35</v>
      </c>
      <c r="C626" t="s">
        <v>15</v>
      </c>
      <c r="D626">
        <v>2024</v>
      </c>
      <c r="E626" t="s">
        <v>26</v>
      </c>
      <c r="F626">
        <v>147</v>
      </c>
      <c r="G626">
        <v>3</v>
      </c>
      <c r="H626">
        <v>3</v>
      </c>
      <c r="I626">
        <v>555000</v>
      </c>
      <c r="J626">
        <v>3775.5</v>
      </c>
      <c r="K626">
        <v>1</v>
      </c>
      <c r="L626" t="s">
        <v>34</v>
      </c>
      <c r="M626">
        <v>131</v>
      </c>
      <c r="N626" t="s">
        <v>18</v>
      </c>
      <c r="P626" t="e">
        <f t="shared" si="90"/>
        <v>#N/A</v>
      </c>
      <c r="Q626" t="e">
        <f t="shared" si="91"/>
        <v>#N/A</v>
      </c>
      <c r="R626">
        <f t="shared" si="92"/>
        <v>555000</v>
      </c>
      <c r="S626">
        <f t="shared" si="93"/>
        <v>147</v>
      </c>
      <c r="T626" t="e">
        <f t="shared" si="94"/>
        <v>#N/A</v>
      </c>
      <c r="U626" t="e">
        <f t="shared" si="95"/>
        <v>#N/A</v>
      </c>
      <c r="V626" t="e">
        <f t="shared" si="96"/>
        <v>#N/A</v>
      </c>
      <c r="W626" t="e">
        <f t="shared" si="97"/>
        <v>#N/A</v>
      </c>
      <c r="X626" t="e">
        <f t="shared" si="98"/>
        <v>#N/A</v>
      </c>
      <c r="Y626" t="e">
        <f t="shared" si="99"/>
        <v>#N/A</v>
      </c>
    </row>
    <row r="627" spans="1:25" x14ac:dyDescent="0.2">
      <c r="A627">
        <v>1625</v>
      </c>
      <c r="B627" t="s">
        <v>40</v>
      </c>
      <c r="C627" t="s">
        <v>29</v>
      </c>
      <c r="D627">
        <v>2024</v>
      </c>
      <c r="E627" t="s">
        <v>16</v>
      </c>
      <c r="F627">
        <v>317</v>
      </c>
      <c r="G627">
        <v>5</v>
      </c>
      <c r="H627">
        <v>5</v>
      </c>
      <c r="I627">
        <v>1914000</v>
      </c>
      <c r="J627">
        <v>6037.9</v>
      </c>
      <c r="K627">
        <v>5</v>
      </c>
      <c r="L627" t="s">
        <v>34</v>
      </c>
      <c r="M627">
        <v>67</v>
      </c>
      <c r="N627" t="s">
        <v>18</v>
      </c>
      <c r="P627">
        <f t="shared" si="90"/>
        <v>1914000</v>
      </c>
      <c r="Q627">
        <f t="shared" si="91"/>
        <v>317</v>
      </c>
      <c r="R627" t="e">
        <f t="shared" si="92"/>
        <v>#N/A</v>
      </c>
      <c r="S627" t="e">
        <f t="shared" si="93"/>
        <v>#N/A</v>
      </c>
      <c r="T627" t="e">
        <f t="shared" si="94"/>
        <v>#N/A</v>
      </c>
      <c r="U627" t="e">
        <f t="shared" si="95"/>
        <v>#N/A</v>
      </c>
      <c r="V627" t="e">
        <f t="shared" si="96"/>
        <v>#N/A</v>
      </c>
      <c r="W627" t="e">
        <f t="shared" si="97"/>
        <v>#N/A</v>
      </c>
      <c r="X627" t="e">
        <f t="shared" si="98"/>
        <v>#N/A</v>
      </c>
      <c r="Y627" t="e">
        <f t="shared" si="99"/>
        <v>#N/A</v>
      </c>
    </row>
    <row r="628" spans="1:25" x14ac:dyDescent="0.2">
      <c r="A628">
        <v>1626</v>
      </c>
      <c r="B628" t="s">
        <v>48</v>
      </c>
      <c r="C628" t="s">
        <v>15</v>
      </c>
      <c r="D628">
        <v>2024</v>
      </c>
      <c r="E628" t="s">
        <v>16</v>
      </c>
      <c r="F628">
        <v>98</v>
      </c>
      <c r="G628">
        <v>3</v>
      </c>
      <c r="H628">
        <v>3</v>
      </c>
      <c r="I628">
        <v>330000</v>
      </c>
      <c r="J628">
        <v>3367.3</v>
      </c>
      <c r="K628">
        <v>3</v>
      </c>
      <c r="L628" t="s">
        <v>17</v>
      </c>
      <c r="M628">
        <v>108</v>
      </c>
      <c r="N628" t="s">
        <v>27</v>
      </c>
      <c r="P628" t="e">
        <f t="shared" si="90"/>
        <v>#N/A</v>
      </c>
      <c r="Q628" t="e">
        <f t="shared" si="91"/>
        <v>#N/A</v>
      </c>
      <c r="R628">
        <f t="shared" si="92"/>
        <v>330000</v>
      </c>
      <c r="S628">
        <f t="shared" si="93"/>
        <v>98</v>
      </c>
      <c r="T628" t="e">
        <f t="shared" si="94"/>
        <v>#N/A</v>
      </c>
      <c r="U628" t="e">
        <f t="shared" si="95"/>
        <v>#N/A</v>
      </c>
      <c r="V628" t="e">
        <f t="shared" si="96"/>
        <v>#N/A</v>
      </c>
      <c r="W628" t="e">
        <f t="shared" si="97"/>
        <v>#N/A</v>
      </c>
      <c r="X628" t="e">
        <f t="shared" si="98"/>
        <v>#N/A</v>
      </c>
      <c r="Y628" t="e">
        <f t="shared" si="99"/>
        <v>#N/A</v>
      </c>
    </row>
    <row r="629" spans="1:25" x14ac:dyDescent="0.2">
      <c r="A629">
        <v>1627</v>
      </c>
      <c r="B629" t="s">
        <v>39</v>
      </c>
      <c r="C629" t="s">
        <v>15</v>
      </c>
      <c r="D629">
        <v>2021</v>
      </c>
      <c r="E629" t="s">
        <v>30</v>
      </c>
      <c r="F629">
        <v>132</v>
      </c>
      <c r="G629">
        <v>3</v>
      </c>
      <c r="H629">
        <v>3</v>
      </c>
      <c r="I629">
        <v>466000</v>
      </c>
      <c r="J629">
        <v>3530.3</v>
      </c>
      <c r="K629">
        <v>20</v>
      </c>
      <c r="L629" t="s">
        <v>34</v>
      </c>
      <c r="M629">
        <v>175</v>
      </c>
      <c r="N629" t="s">
        <v>21</v>
      </c>
      <c r="P629" t="e">
        <f t="shared" si="90"/>
        <v>#N/A</v>
      </c>
      <c r="Q629" t="e">
        <f t="shared" si="91"/>
        <v>#N/A</v>
      </c>
      <c r="R629">
        <f t="shared" si="92"/>
        <v>466000</v>
      </c>
      <c r="S629">
        <f t="shared" si="93"/>
        <v>132</v>
      </c>
      <c r="T629" t="e">
        <f t="shared" si="94"/>
        <v>#N/A</v>
      </c>
      <c r="U629" t="e">
        <f t="shared" si="95"/>
        <v>#N/A</v>
      </c>
      <c r="V629" t="e">
        <f t="shared" si="96"/>
        <v>#N/A</v>
      </c>
      <c r="W629" t="e">
        <f t="shared" si="97"/>
        <v>#N/A</v>
      </c>
      <c r="X629" t="e">
        <f t="shared" si="98"/>
        <v>#N/A</v>
      </c>
      <c r="Y629" t="e">
        <f t="shared" si="99"/>
        <v>#N/A</v>
      </c>
    </row>
    <row r="630" spans="1:25" x14ac:dyDescent="0.2">
      <c r="A630">
        <v>1628</v>
      </c>
      <c r="B630" t="s">
        <v>25</v>
      </c>
      <c r="C630" t="s">
        <v>23</v>
      </c>
      <c r="D630">
        <v>2021</v>
      </c>
      <c r="E630" t="s">
        <v>30</v>
      </c>
      <c r="F630">
        <v>263</v>
      </c>
      <c r="G630">
        <v>5</v>
      </c>
      <c r="H630">
        <v>5</v>
      </c>
      <c r="I630">
        <v>644000</v>
      </c>
      <c r="J630">
        <v>2448.6999999999998</v>
      </c>
      <c r="K630">
        <v>7</v>
      </c>
      <c r="L630" t="s">
        <v>20</v>
      </c>
      <c r="M630">
        <v>161</v>
      </c>
      <c r="N630" t="s">
        <v>27</v>
      </c>
      <c r="P630" t="e">
        <f t="shared" si="90"/>
        <v>#N/A</v>
      </c>
      <c r="Q630" t="e">
        <f t="shared" si="91"/>
        <v>#N/A</v>
      </c>
      <c r="R630" t="e">
        <f t="shared" si="92"/>
        <v>#N/A</v>
      </c>
      <c r="S630" t="e">
        <f t="shared" si="93"/>
        <v>#N/A</v>
      </c>
      <c r="T630">
        <f t="shared" si="94"/>
        <v>644000</v>
      </c>
      <c r="U630">
        <f t="shared" si="95"/>
        <v>263</v>
      </c>
      <c r="V630" t="e">
        <f t="shared" si="96"/>
        <v>#N/A</v>
      </c>
      <c r="W630" t="e">
        <f t="shared" si="97"/>
        <v>#N/A</v>
      </c>
      <c r="X630" t="e">
        <f t="shared" si="98"/>
        <v>#N/A</v>
      </c>
      <c r="Y630" t="e">
        <f t="shared" si="99"/>
        <v>#N/A</v>
      </c>
    </row>
    <row r="631" spans="1:25" x14ac:dyDescent="0.2">
      <c r="A631">
        <v>1629</v>
      </c>
      <c r="B631" t="s">
        <v>19</v>
      </c>
      <c r="C631" t="s">
        <v>29</v>
      </c>
      <c r="D631">
        <v>2023</v>
      </c>
      <c r="E631" t="s">
        <v>16</v>
      </c>
      <c r="F631">
        <v>392</v>
      </c>
      <c r="G631">
        <v>6</v>
      </c>
      <c r="H631">
        <v>6</v>
      </c>
      <c r="I631">
        <v>2055000</v>
      </c>
      <c r="J631">
        <v>5242.3</v>
      </c>
      <c r="K631">
        <v>0</v>
      </c>
      <c r="L631" t="s">
        <v>17</v>
      </c>
      <c r="M631">
        <v>78</v>
      </c>
      <c r="N631" t="s">
        <v>21</v>
      </c>
      <c r="P631">
        <f t="shared" si="90"/>
        <v>2055000</v>
      </c>
      <c r="Q631">
        <f t="shared" si="91"/>
        <v>392</v>
      </c>
      <c r="R631" t="e">
        <f t="shared" si="92"/>
        <v>#N/A</v>
      </c>
      <c r="S631" t="e">
        <f t="shared" si="93"/>
        <v>#N/A</v>
      </c>
      <c r="T631" t="e">
        <f t="shared" si="94"/>
        <v>#N/A</v>
      </c>
      <c r="U631" t="e">
        <f t="shared" si="95"/>
        <v>#N/A</v>
      </c>
      <c r="V631" t="e">
        <f t="shared" si="96"/>
        <v>#N/A</v>
      </c>
      <c r="W631" t="e">
        <f t="shared" si="97"/>
        <v>#N/A</v>
      </c>
      <c r="X631" t="e">
        <f t="shared" si="98"/>
        <v>#N/A</v>
      </c>
      <c r="Y631" t="e">
        <f t="shared" si="99"/>
        <v>#N/A</v>
      </c>
    </row>
    <row r="632" spans="1:25" x14ac:dyDescent="0.2">
      <c r="A632">
        <v>1630</v>
      </c>
      <c r="B632" t="s">
        <v>35</v>
      </c>
      <c r="C632" t="s">
        <v>15</v>
      </c>
      <c r="D632">
        <v>2021</v>
      </c>
      <c r="E632" t="s">
        <v>16</v>
      </c>
      <c r="F632">
        <v>135</v>
      </c>
      <c r="G632">
        <v>4</v>
      </c>
      <c r="H632">
        <v>4</v>
      </c>
      <c r="I632">
        <v>446000</v>
      </c>
      <c r="J632">
        <v>3303.7</v>
      </c>
      <c r="K632">
        <v>2</v>
      </c>
      <c r="L632" t="s">
        <v>34</v>
      </c>
      <c r="M632">
        <v>111</v>
      </c>
      <c r="N632" t="s">
        <v>18</v>
      </c>
      <c r="P632" t="e">
        <f t="shared" si="90"/>
        <v>#N/A</v>
      </c>
      <c r="Q632" t="e">
        <f t="shared" si="91"/>
        <v>#N/A</v>
      </c>
      <c r="R632">
        <f t="shared" si="92"/>
        <v>446000</v>
      </c>
      <c r="S632">
        <f t="shared" si="93"/>
        <v>135</v>
      </c>
      <c r="T632" t="e">
        <f t="shared" si="94"/>
        <v>#N/A</v>
      </c>
      <c r="U632" t="e">
        <f t="shared" si="95"/>
        <v>#N/A</v>
      </c>
      <c r="V632" t="e">
        <f t="shared" si="96"/>
        <v>#N/A</v>
      </c>
      <c r="W632" t="e">
        <f t="shared" si="97"/>
        <v>#N/A</v>
      </c>
      <c r="X632" t="e">
        <f t="shared" si="98"/>
        <v>#N/A</v>
      </c>
      <c r="Y632" t="e">
        <f t="shared" si="99"/>
        <v>#N/A</v>
      </c>
    </row>
    <row r="633" spans="1:25" x14ac:dyDescent="0.2">
      <c r="A633">
        <v>1631</v>
      </c>
      <c r="B633" t="s">
        <v>35</v>
      </c>
      <c r="C633" t="s">
        <v>29</v>
      </c>
      <c r="D633">
        <v>2024</v>
      </c>
      <c r="E633" t="s">
        <v>16</v>
      </c>
      <c r="F633">
        <v>586</v>
      </c>
      <c r="G633">
        <v>5</v>
      </c>
      <c r="H633">
        <v>5</v>
      </c>
      <c r="I633">
        <v>3626000</v>
      </c>
      <c r="J633">
        <v>6187.7</v>
      </c>
      <c r="K633">
        <v>15</v>
      </c>
      <c r="L633" t="s">
        <v>17</v>
      </c>
      <c r="M633">
        <v>144</v>
      </c>
      <c r="N633" t="s">
        <v>18</v>
      </c>
      <c r="P633">
        <f t="shared" si="90"/>
        <v>3626000</v>
      </c>
      <c r="Q633">
        <f t="shared" si="91"/>
        <v>586</v>
      </c>
      <c r="R633" t="e">
        <f t="shared" si="92"/>
        <v>#N/A</v>
      </c>
      <c r="S633" t="e">
        <f t="shared" si="93"/>
        <v>#N/A</v>
      </c>
      <c r="T633" t="e">
        <f t="shared" si="94"/>
        <v>#N/A</v>
      </c>
      <c r="U633" t="e">
        <f t="shared" si="95"/>
        <v>#N/A</v>
      </c>
      <c r="V633" t="e">
        <f t="shared" si="96"/>
        <v>#N/A</v>
      </c>
      <c r="W633" t="e">
        <f t="shared" si="97"/>
        <v>#N/A</v>
      </c>
      <c r="X633" t="e">
        <f t="shared" si="98"/>
        <v>#N/A</v>
      </c>
      <c r="Y633" t="e">
        <f t="shared" si="99"/>
        <v>#N/A</v>
      </c>
    </row>
    <row r="634" spans="1:25" x14ac:dyDescent="0.2">
      <c r="A634">
        <v>1632</v>
      </c>
      <c r="B634" t="s">
        <v>19</v>
      </c>
      <c r="C634" t="s">
        <v>15</v>
      </c>
      <c r="D634">
        <v>2021</v>
      </c>
      <c r="E634" t="s">
        <v>16</v>
      </c>
      <c r="F634">
        <v>176</v>
      </c>
      <c r="G634">
        <v>3</v>
      </c>
      <c r="H634">
        <v>3</v>
      </c>
      <c r="I634">
        <v>476000</v>
      </c>
      <c r="J634">
        <v>2704.5</v>
      </c>
      <c r="K634">
        <v>1</v>
      </c>
      <c r="L634" t="s">
        <v>17</v>
      </c>
      <c r="M634">
        <v>21</v>
      </c>
      <c r="N634" t="s">
        <v>21</v>
      </c>
      <c r="P634" t="e">
        <f t="shared" si="90"/>
        <v>#N/A</v>
      </c>
      <c r="Q634" t="e">
        <f t="shared" si="91"/>
        <v>#N/A</v>
      </c>
      <c r="R634">
        <f t="shared" si="92"/>
        <v>476000</v>
      </c>
      <c r="S634">
        <f t="shared" si="93"/>
        <v>176</v>
      </c>
      <c r="T634" t="e">
        <f t="shared" si="94"/>
        <v>#N/A</v>
      </c>
      <c r="U634" t="e">
        <f t="shared" si="95"/>
        <v>#N/A</v>
      </c>
      <c r="V634" t="e">
        <f t="shared" si="96"/>
        <v>#N/A</v>
      </c>
      <c r="W634" t="e">
        <f t="shared" si="97"/>
        <v>#N/A</v>
      </c>
      <c r="X634" t="e">
        <f t="shared" si="98"/>
        <v>#N/A</v>
      </c>
      <c r="Y634" t="e">
        <f t="shared" si="99"/>
        <v>#N/A</v>
      </c>
    </row>
    <row r="635" spans="1:25" x14ac:dyDescent="0.2">
      <c r="A635">
        <v>1633</v>
      </c>
      <c r="B635" t="s">
        <v>43</v>
      </c>
      <c r="C635" t="s">
        <v>15</v>
      </c>
      <c r="D635">
        <v>2023</v>
      </c>
      <c r="E635" t="s">
        <v>26</v>
      </c>
      <c r="F635">
        <v>152</v>
      </c>
      <c r="G635">
        <v>4</v>
      </c>
      <c r="H635">
        <v>4</v>
      </c>
      <c r="I635">
        <v>628000</v>
      </c>
      <c r="J635">
        <v>4131.6000000000004</v>
      </c>
      <c r="K635">
        <v>15</v>
      </c>
      <c r="L635" t="s">
        <v>20</v>
      </c>
      <c r="M635">
        <v>17</v>
      </c>
      <c r="N635" t="s">
        <v>27</v>
      </c>
      <c r="P635" t="e">
        <f t="shared" si="90"/>
        <v>#N/A</v>
      </c>
      <c r="Q635" t="e">
        <f t="shared" si="91"/>
        <v>#N/A</v>
      </c>
      <c r="R635">
        <f t="shared" si="92"/>
        <v>628000</v>
      </c>
      <c r="S635">
        <f t="shared" si="93"/>
        <v>152</v>
      </c>
      <c r="T635" t="e">
        <f t="shared" si="94"/>
        <v>#N/A</v>
      </c>
      <c r="U635" t="e">
        <f t="shared" si="95"/>
        <v>#N/A</v>
      </c>
      <c r="V635" t="e">
        <f t="shared" si="96"/>
        <v>#N/A</v>
      </c>
      <c r="W635" t="e">
        <f t="shared" si="97"/>
        <v>#N/A</v>
      </c>
      <c r="X635" t="e">
        <f t="shared" si="98"/>
        <v>#N/A</v>
      </c>
      <c r="Y635" t="e">
        <f t="shared" si="99"/>
        <v>#N/A</v>
      </c>
    </row>
    <row r="636" spans="1:25" x14ac:dyDescent="0.2">
      <c r="A636">
        <v>1634</v>
      </c>
      <c r="B636" t="s">
        <v>44</v>
      </c>
      <c r="C636" t="s">
        <v>15</v>
      </c>
      <c r="D636">
        <v>2022</v>
      </c>
      <c r="E636" t="s">
        <v>24</v>
      </c>
      <c r="F636">
        <v>143</v>
      </c>
      <c r="G636">
        <v>3</v>
      </c>
      <c r="H636">
        <v>3</v>
      </c>
      <c r="I636">
        <v>427000</v>
      </c>
      <c r="J636">
        <v>2986</v>
      </c>
      <c r="K636">
        <v>20</v>
      </c>
      <c r="L636" t="s">
        <v>20</v>
      </c>
      <c r="M636">
        <v>90</v>
      </c>
      <c r="N636" t="s">
        <v>18</v>
      </c>
      <c r="P636" t="e">
        <f t="shared" si="90"/>
        <v>#N/A</v>
      </c>
      <c r="Q636" t="e">
        <f t="shared" si="91"/>
        <v>#N/A</v>
      </c>
      <c r="R636">
        <f t="shared" si="92"/>
        <v>427000</v>
      </c>
      <c r="S636">
        <f t="shared" si="93"/>
        <v>143</v>
      </c>
      <c r="T636" t="e">
        <f t="shared" si="94"/>
        <v>#N/A</v>
      </c>
      <c r="U636" t="e">
        <f t="shared" si="95"/>
        <v>#N/A</v>
      </c>
      <c r="V636" t="e">
        <f t="shared" si="96"/>
        <v>#N/A</v>
      </c>
      <c r="W636" t="e">
        <f t="shared" si="97"/>
        <v>#N/A</v>
      </c>
      <c r="X636" t="e">
        <f t="shared" si="98"/>
        <v>#N/A</v>
      </c>
      <c r="Y636" t="e">
        <f t="shared" si="99"/>
        <v>#N/A</v>
      </c>
    </row>
    <row r="637" spans="1:25" x14ac:dyDescent="0.2">
      <c r="A637">
        <v>1635</v>
      </c>
      <c r="B637" t="s">
        <v>14</v>
      </c>
      <c r="C637" t="s">
        <v>38</v>
      </c>
      <c r="D637">
        <v>2021</v>
      </c>
      <c r="E637" t="s">
        <v>24</v>
      </c>
      <c r="F637">
        <v>55</v>
      </c>
      <c r="G637">
        <v>0</v>
      </c>
      <c r="H637">
        <v>1</v>
      </c>
      <c r="I637">
        <v>258000</v>
      </c>
      <c r="J637">
        <v>4690.8999999999996</v>
      </c>
      <c r="K637">
        <v>20</v>
      </c>
      <c r="L637" t="s">
        <v>20</v>
      </c>
      <c r="M637">
        <v>59</v>
      </c>
      <c r="N637" t="s">
        <v>18</v>
      </c>
      <c r="P637" t="e">
        <f t="shared" si="90"/>
        <v>#N/A</v>
      </c>
      <c r="Q637" t="e">
        <f t="shared" si="91"/>
        <v>#N/A</v>
      </c>
      <c r="R637" t="e">
        <f t="shared" si="92"/>
        <v>#N/A</v>
      </c>
      <c r="S637" t="e">
        <f t="shared" si="93"/>
        <v>#N/A</v>
      </c>
      <c r="T637" t="e">
        <f t="shared" si="94"/>
        <v>#N/A</v>
      </c>
      <c r="U637" t="e">
        <f t="shared" si="95"/>
        <v>#N/A</v>
      </c>
      <c r="V637">
        <f t="shared" si="96"/>
        <v>258000</v>
      </c>
      <c r="W637">
        <f t="shared" si="97"/>
        <v>55</v>
      </c>
      <c r="X637" t="e">
        <f t="shared" si="98"/>
        <v>#N/A</v>
      </c>
      <c r="Y637" t="e">
        <f t="shared" si="99"/>
        <v>#N/A</v>
      </c>
    </row>
    <row r="638" spans="1:25" x14ac:dyDescent="0.2">
      <c r="A638">
        <v>1636</v>
      </c>
      <c r="B638" t="s">
        <v>41</v>
      </c>
      <c r="C638" t="s">
        <v>15</v>
      </c>
      <c r="D638">
        <v>2024</v>
      </c>
      <c r="E638" t="s">
        <v>26</v>
      </c>
      <c r="F638">
        <v>167</v>
      </c>
      <c r="G638">
        <v>3</v>
      </c>
      <c r="H638">
        <v>3</v>
      </c>
      <c r="I638">
        <v>844000</v>
      </c>
      <c r="J638">
        <v>5053.8999999999996</v>
      </c>
      <c r="K638">
        <v>7</v>
      </c>
      <c r="L638" t="s">
        <v>34</v>
      </c>
      <c r="M638">
        <v>59</v>
      </c>
      <c r="N638" t="s">
        <v>21</v>
      </c>
      <c r="P638" t="e">
        <f t="shared" si="90"/>
        <v>#N/A</v>
      </c>
      <c r="Q638" t="e">
        <f t="shared" si="91"/>
        <v>#N/A</v>
      </c>
      <c r="R638">
        <f t="shared" si="92"/>
        <v>844000</v>
      </c>
      <c r="S638">
        <f t="shared" si="93"/>
        <v>167</v>
      </c>
      <c r="T638" t="e">
        <f t="shared" si="94"/>
        <v>#N/A</v>
      </c>
      <c r="U638" t="e">
        <f t="shared" si="95"/>
        <v>#N/A</v>
      </c>
      <c r="V638" t="e">
        <f t="shared" si="96"/>
        <v>#N/A</v>
      </c>
      <c r="W638" t="e">
        <f t="shared" si="97"/>
        <v>#N/A</v>
      </c>
      <c r="X638" t="e">
        <f t="shared" si="98"/>
        <v>#N/A</v>
      </c>
      <c r="Y638" t="e">
        <f t="shared" si="99"/>
        <v>#N/A</v>
      </c>
    </row>
    <row r="639" spans="1:25" x14ac:dyDescent="0.2">
      <c r="A639">
        <v>1637</v>
      </c>
      <c r="B639" t="s">
        <v>33</v>
      </c>
      <c r="C639" t="s">
        <v>15</v>
      </c>
      <c r="D639">
        <v>2021</v>
      </c>
      <c r="E639" t="s">
        <v>24</v>
      </c>
      <c r="F639">
        <v>143</v>
      </c>
      <c r="G639">
        <v>3</v>
      </c>
      <c r="H639">
        <v>3</v>
      </c>
      <c r="I639">
        <v>332000</v>
      </c>
      <c r="J639">
        <v>2321.6999999999998</v>
      </c>
      <c r="K639">
        <v>20</v>
      </c>
      <c r="L639" t="s">
        <v>17</v>
      </c>
      <c r="M639">
        <v>72</v>
      </c>
      <c r="N639" t="s">
        <v>27</v>
      </c>
      <c r="P639" t="e">
        <f t="shared" si="90"/>
        <v>#N/A</v>
      </c>
      <c r="Q639" t="e">
        <f t="shared" si="91"/>
        <v>#N/A</v>
      </c>
      <c r="R639">
        <f t="shared" si="92"/>
        <v>332000</v>
      </c>
      <c r="S639">
        <f t="shared" si="93"/>
        <v>143</v>
      </c>
      <c r="T639" t="e">
        <f t="shared" si="94"/>
        <v>#N/A</v>
      </c>
      <c r="U639" t="e">
        <f t="shared" si="95"/>
        <v>#N/A</v>
      </c>
      <c r="V639" t="e">
        <f t="shared" si="96"/>
        <v>#N/A</v>
      </c>
      <c r="W639" t="e">
        <f t="shared" si="97"/>
        <v>#N/A</v>
      </c>
      <c r="X639" t="e">
        <f t="shared" si="98"/>
        <v>#N/A</v>
      </c>
      <c r="Y639" t="e">
        <f t="shared" si="99"/>
        <v>#N/A</v>
      </c>
    </row>
    <row r="640" spans="1:25" x14ac:dyDescent="0.2">
      <c r="A640">
        <v>1638</v>
      </c>
      <c r="B640" t="s">
        <v>22</v>
      </c>
      <c r="C640" t="s">
        <v>15</v>
      </c>
      <c r="D640">
        <v>2024</v>
      </c>
      <c r="E640" t="s">
        <v>30</v>
      </c>
      <c r="F640">
        <v>172</v>
      </c>
      <c r="G640">
        <v>2</v>
      </c>
      <c r="H640">
        <v>2</v>
      </c>
      <c r="I640">
        <v>675000</v>
      </c>
      <c r="J640">
        <v>3924.4</v>
      </c>
      <c r="K640">
        <v>10</v>
      </c>
      <c r="L640" t="s">
        <v>20</v>
      </c>
      <c r="M640">
        <v>136</v>
      </c>
      <c r="N640" t="s">
        <v>18</v>
      </c>
      <c r="P640" t="e">
        <f t="shared" si="90"/>
        <v>#N/A</v>
      </c>
      <c r="Q640" t="e">
        <f t="shared" si="91"/>
        <v>#N/A</v>
      </c>
      <c r="R640">
        <f t="shared" si="92"/>
        <v>675000</v>
      </c>
      <c r="S640">
        <f t="shared" si="93"/>
        <v>172</v>
      </c>
      <c r="T640" t="e">
        <f t="shared" si="94"/>
        <v>#N/A</v>
      </c>
      <c r="U640" t="e">
        <f t="shared" si="95"/>
        <v>#N/A</v>
      </c>
      <c r="V640" t="e">
        <f t="shared" si="96"/>
        <v>#N/A</v>
      </c>
      <c r="W640" t="e">
        <f t="shared" si="97"/>
        <v>#N/A</v>
      </c>
      <c r="X640" t="e">
        <f t="shared" si="98"/>
        <v>#N/A</v>
      </c>
      <c r="Y640" t="e">
        <f t="shared" si="99"/>
        <v>#N/A</v>
      </c>
    </row>
    <row r="641" spans="1:25" x14ac:dyDescent="0.2">
      <c r="A641">
        <v>1639</v>
      </c>
      <c r="B641" t="s">
        <v>45</v>
      </c>
      <c r="C641" t="s">
        <v>15</v>
      </c>
      <c r="D641">
        <v>2024</v>
      </c>
      <c r="E641" t="s">
        <v>26</v>
      </c>
      <c r="F641">
        <v>155</v>
      </c>
      <c r="G641">
        <v>3</v>
      </c>
      <c r="H641">
        <v>3</v>
      </c>
      <c r="I641">
        <v>681000</v>
      </c>
      <c r="J641">
        <v>4393.5</v>
      </c>
      <c r="K641">
        <v>0</v>
      </c>
      <c r="L641" t="s">
        <v>17</v>
      </c>
      <c r="M641">
        <v>36</v>
      </c>
      <c r="N641" t="s">
        <v>21</v>
      </c>
      <c r="P641" t="e">
        <f t="shared" si="90"/>
        <v>#N/A</v>
      </c>
      <c r="Q641" t="e">
        <f t="shared" si="91"/>
        <v>#N/A</v>
      </c>
      <c r="R641">
        <f t="shared" si="92"/>
        <v>681000</v>
      </c>
      <c r="S641">
        <f t="shared" si="93"/>
        <v>155</v>
      </c>
      <c r="T641" t="e">
        <f t="shared" si="94"/>
        <v>#N/A</v>
      </c>
      <c r="U641" t="e">
        <f t="shared" si="95"/>
        <v>#N/A</v>
      </c>
      <c r="V641" t="e">
        <f t="shared" si="96"/>
        <v>#N/A</v>
      </c>
      <c r="W641" t="e">
        <f t="shared" si="97"/>
        <v>#N/A</v>
      </c>
      <c r="X641" t="e">
        <f t="shared" si="98"/>
        <v>#N/A</v>
      </c>
      <c r="Y641" t="e">
        <f t="shared" si="99"/>
        <v>#N/A</v>
      </c>
    </row>
    <row r="642" spans="1:25" x14ac:dyDescent="0.2">
      <c r="A642">
        <v>1640</v>
      </c>
      <c r="B642" t="s">
        <v>48</v>
      </c>
      <c r="C642" t="s">
        <v>38</v>
      </c>
      <c r="D642">
        <v>2024</v>
      </c>
      <c r="E642" t="s">
        <v>24</v>
      </c>
      <c r="F642">
        <v>76</v>
      </c>
      <c r="G642">
        <v>0</v>
      </c>
      <c r="H642">
        <v>1</v>
      </c>
      <c r="I642">
        <v>312000</v>
      </c>
      <c r="J642">
        <v>4105.3</v>
      </c>
      <c r="K642">
        <v>5</v>
      </c>
      <c r="L642" t="s">
        <v>17</v>
      </c>
      <c r="M642">
        <v>77</v>
      </c>
      <c r="N642" t="s">
        <v>27</v>
      </c>
      <c r="P642" t="e">
        <f t="shared" si="90"/>
        <v>#N/A</v>
      </c>
      <c r="Q642" t="e">
        <f t="shared" si="91"/>
        <v>#N/A</v>
      </c>
      <c r="R642" t="e">
        <f t="shared" si="92"/>
        <v>#N/A</v>
      </c>
      <c r="S642" t="e">
        <f t="shared" si="93"/>
        <v>#N/A</v>
      </c>
      <c r="T642" t="e">
        <f t="shared" si="94"/>
        <v>#N/A</v>
      </c>
      <c r="U642" t="e">
        <f t="shared" si="95"/>
        <v>#N/A</v>
      </c>
      <c r="V642">
        <f t="shared" si="96"/>
        <v>312000</v>
      </c>
      <c r="W642">
        <f t="shared" si="97"/>
        <v>76</v>
      </c>
      <c r="X642" t="e">
        <f t="shared" si="98"/>
        <v>#N/A</v>
      </c>
      <c r="Y642" t="e">
        <f t="shared" si="99"/>
        <v>#N/A</v>
      </c>
    </row>
    <row r="643" spans="1:25" x14ac:dyDescent="0.2">
      <c r="A643">
        <v>1641</v>
      </c>
      <c r="B643" t="s">
        <v>19</v>
      </c>
      <c r="C643" t="s">
        <v>29</v>
      </c>
      <c r="D643">
        <v>2024</v>
      </c>
      <c r="E643" t="s">
        <v>16</v>
      </c>
      <c r="F643">
        <v>409</v>
      </c>
      <c r="G643">
        <v>4</v>
      </c>
      <c r="H643">
        <v>4</v>
      </c>
      <c r="I643">
        <v>2025000</v>
      </c>
      <c r="J643">
        <v>4951.1000000000004</v>
      </c>
      <c r="K643">
        <v>4</v>
      </c>
      <c r="L643" t="s">
        <v>20</v>
      </c>
      <c r="M643">
        <v>145</v>
      </c>
      <c r="N643" t="s">
        <v>21</v>
      </c>
      <c r="P643">
        <f t="shared" ref="P643:P706" si="100">IF(C643="Villa", I643, NA())</f>
        <v>2025000</v>
      </c>
      <c r="Q643">
        <f t="shared" ref="Q643:Q706" si="101">IF(C643="Villa", F643, NA())</f>
        <v>409</v>
      </c>
      <c r="R643" t="e">
        <f t="shared" ref="R643:R706" si="102">IF(C643="Apartment",I643,NA())</f>
        <v>#N/A</v>
      </c>
      <c r="S643" t="e">
        <f t="shared" ref="S643:S706" si="103">IF(C643="Apartment",F643,NA())</f>
        <v>#N/A</v>
      </c>
      <c r="T643" t="e">
        <f t="shared" ref="T643:T706" si="104">IF(C643="Duplex",I643,NA())</f>
        <v>#N/A</v>
      </c>
      <c r="U643" t="e">
        <f t="shared" ref="U643:U706" si="105">IF(C643="Duplex",F643,NA())</f>
        <v>#N/A</v>
      </c>
      <c r="V643" t="e">
        <f t="shared" ref="V643:V706" si="106">IF(C643="Studio",I643,NA())</f>
        <v>#N/A</v>
      </c>
      <c r="W643" t="e">
        <f t="shared" ref="W643:W706" si="107">IF(C643="Studio",F643,NA())</f>
        <v>#N/A</v>
      </c>
      <c r="X643" t="e">
        <f t="shared" ref="X643:X706" si="108">IF(C643="Floor",I643,NA())</f>
        <v>#N/A</v>
      </c>
      <c r="Y643" t="e">
        <f t="shared" ref="Y643:Y706" si="109">IF(C643="Floor",F643,NA())</f>
        <v>#N/A</v>
      </c>
    </row>
    <row r="644" spans="1:25" x14ac:dyDescent="0.2">
      <c r="A644">
        <v>1642</v>
      </c>
      <c r="B644" t="s">
        <v>44</v>
      </c>
      <c r="C644" t="s">
        <v>15</v>
      </c>
      <c r="D644">
        <v>2022</v>
      </c>
      <c r="E644" t="s">
        <v>24</v>
      </c>
      <c r="F644">
        <v>178</v>
      </c>
      <c r="G644">
        <v>3</v>
      </c>
      <c r="H644">
        <v>3</v>
      </c>
      <c r="I644">
        <v>504000</v>
      </c>
      <c r="J644">
        <v>2831.5</v>
      </c>
      <c r="K644">
        <v>0</v>
      </c>
      <c r="L644" t="s">
        <v>20</v>
      </c>
      <c r="M644">
        <v>9</v>
      </c>
      <c r="N644" t="s">
        <v>18</v>
      </c>
      <c r="P644" t="e">
        <f t="shared" si="100"/>
        <v>#N/A</v>
      </c>
      <c r="Q644" t="e">
        <f t="shared" si="101"/>
        <v>#N/A</v>
      </c>
      <c r="R644">
        <f t="shared" si="102"/>
        <v>504000</v>
      </c>
      <c r="S644">
        <f t="shared" si="103"/>
        <v>178</v>
      </c>
      <c r="T644" t="e">
        <f t="shared" si="104"/>
        <v>#N/A</v>
      </c>
      <c r="U644" t="e">
        <f t="shared" si="105"/>
        <v>#N/A</v>
      </c>
      <c r="V644" t="e">
        <f t="shared" si="106"/>
        <v>#N/A</v>
      </c>
      <c r="W644" t="e">
        <f t="shared" si="107"/>
        <v>#N/A</v>
      </c>
      <c r="X644" t="e">
        <f t="shared" si="108"/>
        <v>#N/A</v>
      </c>
      <c r="Y644" t="e">
        <f t="shared" si="109"/>
        <v>#N/A</v>
      </c>
    </row>
    <row r="645" spans="1:25" x14ac:dyDescent="0.2">
      <c r="A645">
        <v>1643</v>
      </c>
      <c r="B645" t="s">
        <v>14</v>
      </c>
      <c r="C645" t="s">
        <v>29</v>
      </c>
      <c r="D645">
        <v>2024</v>
      </c>
      <c r="E645" t="s">
        <v>30</v>
      </c>
      <c r="F645">
        <v>337</v>
      </c>
      <c r="G645">
        <v>5</v>
      </c>
      <c r="H645">
        <v>5</v>
      </c>
      <c r="I645">
        <v>2175000</v>
      </c>
      <c r="J645">
        <v>6454</v>
      </c>
      <c r="K645">
        <v>5</v>
      </c>
      <c r="L645" t="s">
        <v>34</v>
      </c>
      <c r="M645">
        <v>3</v>
      </c>
      <c r="N645" t="s">
        <v>18</v>
      </c>
      <c r="P645">
        <f t="shared" si="100"/>
        <v>2175000</v>
      </c>
      <c r="Q645">
        <f t="shared" si="101"/>
        <v>337</v>
      </c>
      <c r="R645" t="e">
        <f t="shared" si="102"/>
        <v>#N/A</v>
      </c>
      <c r="S645" t="e">
        <f t="shared" si="103"/>
        <v>#N/A</v>
      </c>
      <c r="T645" t="e">
        <f t="shared" si="104"/>
        <v>#N/A</v>
      </c>
      <c r="U645" t="e">
        <f t="shared" si="105"/>
        <v>#N/A</v>
      </c>
      <c r="V645" t="e">
        <f t="shared" si="106"/>
        <v>#N/A</v>
      </c>
      <c r="W645" t="e">
        <f t="shared" si="107"/>
        <v>#N/A</v>
      </c>
      <c r="X645" t="e">
        <f t="shared" si="108"/>
        <v>#N/A</v>
      </c>
      <c r="Y645" t="e">
        <f t="shared" si="109"/>
        <v>#N/A</v>
      </c>
    </row>
    <row r="646" spans="1:25" x14ac:dyDescent="0.2">
      <c r="A646">
        <v>1644</v>
      </c>
      <c r="B646" t="s">
        <v>48</v>
      </c>
      <c r="C646" t="s">
        <v>15</v>
      </c>
      <c r="D646">
        <v>2022</v>
      </c>
      <c r="E646" t="s">
        <v>26</v>
      </c>
      <c r="F646">
        <v>126</v>
      </c>
      <c r="G646">
        <v>2</v>
      </c>
      <c r="H646">
        <v>2</v>
      </c>
      <c r="I646">
        <v>384000</v>
      </c>
      <c r="J646">
        <v>3047.6</v>
      </c>
      <c r="K646">
        <v>2</v>
      </c>
      <c r="L646" t="s">
        <v>17</v>
      </c>
      <c r="M646">
        <v>82</v>
      </c>
      <c r="N646" t="s">
        <v>27</v>
      </c>
      <c r="P646" t="e">
        <f t="shared" si="100"/>
        <v>#N/A</v>
      </c>
      <c r="Q646" t="e">
        <f t="shared" si="101"/>
        <v>#N/A</v>
      </c>
      <c r="R646">
        <f t="shared" si="102"/>
        <v>384000</v>
      </c>
      <c r="S646">
        <f t="shared" si="103"/>
        <v>126</v>
      </c>
      <c r="T646" t="e">
        <f t="shared" si="104"/>
        <v>#N/A</v>
      </c>
      <c r="U646" t="e">
        <f t="shared" si="105"/>
        <v>#N/A</v>
      </c>
      <c r="V646" t="e">
        <f t="shared" si="106"/>
        <v>#N/A</v>
      </c>
      <c r="W646" t="e">
        <f t="shared" si="107"/>
        <v>#N/A</v>
      </c>
      <c r="X646" t="e">
        <f t="shared" si="108"/>
        <v>#N/A</v>
      </c>
      <c r="Y646" t="e">
        <f t="shared" si="109"/>
        <v>#N/A</v>
      </c>
    </row>
    <row r="647" spans="1:25" x14ac:dyDescent="0.2">
      <c r="A647">
        <v>1645</v>
      </c>
      <c r="B647" t="s">
        <v>48</v>
      </c>
      <c r="C647" t="s">
        <v>29</v>
      </c>
      <c r="D647">
        <v>2023</v>
      </c>
      <c r="E647" t="s">
        <v>24</v>
      </c>
      <c r="F647">
        <v>573</v>
      </c>
      <c r="G647">
        <v>5</v>
      </c>
      <c r="H647">
        <v>5</v>
      </c>
      <c r="I647">
        <v>2576000</v>
      </c>
      <c r="J647">
        <v>4495.6000000000004</v>
      </c>
      <c r="K647">
        <v>10</v>
      </c>
      <c r="L647" t="s">
        <v>17</v>
      </c>
      <c r="M647">
        <v>157</v>
      </c>
      <c r="N647" t="s">
        <v>27</v>
      </c>
      <c r="P647">
        <f t="shared" si="100"/>
        <v>2576000</v>
      </c>
      <c r="Q647">
        <f t="shared" si="101"/>
        <v>573</v>
      </c>
      <c r="R647" t="e">
        <f t="shared" si="102"/>
        <v>#N/A</v>
      </c>
      <c r="S647" t="e">
        <f t="shared" si="103"/>
        <v>#N/A</v>
      </c>
      <c r="T647" t="e">
        <f t="shared" si="104"/>
        <v>#N/A</v>
      </c>
      <c r="U647" t="e">
        <f t="shared" si="105"/>
        <v>#N/A</v>
      </c>
      <c r="V647" t="e">
        <f t="shared" si="106"/>
        <v>#N/A</v>
      </c>
      <c r="W647" t="e">
        <f t="shared" si="107"/>
        <v>#N/A</v>
      </c>
      <c r="X647" t="e">
        <f t="shared" si="108"/>
        <v>#N/A</v>
      </c>
      <c r="Y647" t="e">
        <f t="shared" si="109"/>
        <v>#N/A</v>
      </c>
    </row>
    <row r="648" spans="1:25" x14ac:dyDescent="0.2">
      <c r="A648">
        <v>1646</v>
      </c>
      <c r="B648" t="s">
        <v>14</v>
      </c>
      <c r="C648" t="s">
        <v>29</v>
      </c>
      <c r="D648">
        <v>2021</v>
      </c>
      <c r="E648" t="s">
        <v>30</v>
      </c>
      <c r="F648">
        <v>490</v>
      </c>
      <c r="G648">
        <v>4</v>
      </c>
      <c r="H648">
        <v>4</v>
      </c>
      <c r="I648">
        <v>2659000</v>
      </c>
      <c r="J648">
        <v>5426.5</v>
      </c>
      <c r="K648">
        <v>7</v>
      </c>
      <c r="L648" t="s">
        <v>17</v>
      </c>
      <c r="M648">
        <v>73</v>
      </c>
      <c r="N648" t="s">
        <v>18</v>
      </c>
      <c r="P648">
        <f t="shared" si="100"/>
        <v>2659000</v>
      </c>
      <c r="Q648">
        <f t="shared" si="101"/>
        <v>490</v>
      </c>
      <c r="R648" t="e">
        <f t="shared" si="102"/>
        <v>#N/A</v>
      </c>
      <c r="S648" t="e">
        <f t="shared" si="103"/>
        <v>#N/A</v>
      </c>
      <c r="T648" t="e">
        <f t="shared" si="104"/>
        <v>#N/A</v>
      </c>
      <c r="U648" t="e">
        <f t="shared" si="105"/>
        <v>#N/A</v>
      </c>
      <c r="V648" t="e">
        <f t="shared" si="106"/>
        <v>#N/A</v>
      </c>
      <c r="W648" t="e">
        <f t="shared" si="107"/>
        <v>#N/A</v>
      </c>
      <c r="X648" t="e">
        <f t="shared" si="108"/>
        <v>#N/A</v>
      </c>
      <c r="Y648" t="e">
        <f t="shared" si="109"/>
        <v>#N/A</v>
      </c>
    </row>
    <row r="649" spans="1:25" x14ac:dyDescent="0.2">
      <c r="A649">
        <v>1647</v>
      </c>
      <c r="B649" t="s">
        <v>25</v>
      </c>
      <c r="C649" t="s">
        <v>23</v>
      </c>
      <c r="D649">
        <v>2023</v>
      </c>
      <c r="E649" t="s">
        <v>24</v>
      </c>
      <c r="F649">
        <v>305</v>
      </c>
      <c r="G649">
        <v>4</v>
      </c>
      <c r="H649">
        <v>4</v>
      </c>
      <c r="I649">
        <v>972000</v>
      </c>
      <c r="J649">
        <v>3186.9</v>
      </c>
      <c r="K649">
        <v>0</v>
      </c>
      <c r="L649" t="s">
        <v>20</v>
      </c>
      <c r="M649">
        <v>147</v>
      </c>
      <c r="N649" t="s">
        <v>27</v>
      </c>
      <c r="P649" t="e">
        <f t="shared" si="100"/>
        <v>#N/A</v>
      </c>
      <c r="Q649" t="e">
        <f t="shared" si="101"/>
        <v>#N/A</v>
      </c>
      <c r="R649" t="e">
        <f t="shared" si="102"/>
        <v>#N/A</v>
      </c>
      <c r="S649" t="e">
        <f t="shared" si="103"/>
        <v>#N/A</v>
      </c>
      <c r="T649">
        <f t="shared" si="104"/>
        <v>972000</v>
      </c>
      <c r="U649">
        <f t="shared" si="105"/>
        <v>305</v>
      </c>
      <c r="V649" t="e">
        <f t="shared" si="106"/>
        <v>#N/A</v>
      </c>
      <c r="W649" t="e">
        <f t="shared" si="107"/>
        <v>#N/A</v>
      </c>
      <c r="X649" t="e">
        <f t="shared" si="108"/>
        <v>#N/A</v>
      </c>
      <c r="Y649" t="e">
        <f t="shared" si="109"/>
        <v>#N/A</v>
      </c>
    </row>
    <row r="650" spans="1:25" x14ac:dyDescent="0.2">
      <c r="A650">
        <v>1648</v>
      </c>
      <c r="B650" t="s">
        <v>40</v>
      </c>
      <c r="C650" t="s">
        <v>38</v>
      </c>
      <c r="D650">
        <v>2022</v>
      </c>
      <c r="E650" t="s">
        <v>26</v>
      </c>
      <c r="F650">
        <v>79</v>
      </c>
      <c r="G650">
        <v>0</v>
      </c>
      <c r="H650">
        <v>1</v>
      </c>
      <c r="I650">
        <v>362000</v>
      </c>
      <c r="J650">
        <v>4582.3</v>
      </c>
      <c r="K650">
        <v>15</v>
      </c>
      <c r="L650" t="s">
        <v>17</v>
      </c>
      <c r="M650">
        <v>16</v>
      </c>
      <c r="N650" t="s">
        <v>18</v>
      </c>
      <c r="P650" t="e">
        <f t="shared" si="100"/>
        <v>#N/A</v>
      </c>
      <c r="Q650" t="e">
        <f t="shared" si="101"/>
        <v>#N/A</v>
      </c>
      <c r="R650" t="e">
        <f t="shared" si="102"/>
        <v>#N/A</v>
      </c>
      <c r="S650" t="e">
        <f t="shared" si="103"/>
        <v>#N/A</v>
      </c>
      <c r="T650" t="e">
        <f t="shared" si="104"/>
        <v>#N/A</v>
      </c>
      <c r="U650" t="e">
        <f t="shared" si="105"/>
        <v>#N/A</v>
      </c>
      <c r="V650">
        <f t="shared" si="106"/>
        <v>362000</v>
      </c>
      <c r="W650">
        <f t="shared" si="107"/>
        <v>79</v>
      </c>
      <c r="X650" t="e">
        <f t="shared" si="108"/>
        <v>#N/A</v>
      </c>
      <c r="Y650" t="e">
        <f t="shared" si="109"/>
        <v>#N/A</v>
      </c>
    </row>
    <row r="651" spans="1:25" x14ac:dyDescent="0.2">
      <c r="A651">
        <v>1649</v>
      </c>
      <c r="B651" t="s">
        <v>48</v>
      </c>
      <c r="C651" t="s">
        <v>15</v>
      </c>
      <c r="D651">
        <v>2024</v>
      </c>
      <c r="E651" t="s">
        <v>30</v>
      </c>
      <c r="F651">
        <v>143</v>
      </c>
      <c r="G651">
        <v>2</v>
      </c>
      <c r="H651">
        <v>2</v>
      </c>
      <c r="I651">
        <v>478000</v>
      </c>
      <c r="J651">
        <v>3342.7</v>
      </c>
      <c r="K651">
        <v>7</v>
      </c>
      <c r="L651" t="s">
        <v>34</v>
      </c>
      <c r="M651">
        <v>85</v>
      </c>
      <c r="N651" t="s">
        <v>27</v>
      </c>
      <c r="P651" t="e">
        <f t="shared" si="100"/>
        <v>#N/A</v>
      </c>
      <c r="Q651" t="e">
        <f t="shared" si="101"/>
        <v>#N/A</v>
      </c>
      <c r="R651">
        <f t="shared" si="102"/>
        <v>478000</v>
      </c>
      <c r="S651">
        <f t="shared" si="103"/>
        <v>143</v>
      </c>
      <c r="T651" t="e">
        <f t="shared" si="104"/>
        <v>#N/A</v>
      </c>
      <c r="U651" t="e">
        <f t="shared" si="105"/>
        <v>#N/A</v>
      </c>
      <c r="V651" t="e">
        <f t="shared" si="106"/>
        <v>#N/A</v>
      </c>
      <c r="W651" t="e">
        <f t="shared" si="107"/>
        <v>#N/A</v>
      </c>
      <c r="X651" t="e">
        <f t="shared" si="108"/>
        <v>#N/A</v>
      </c>
      <c r="Y651" t="e">
        <f t="shared" si="109"/>
        <v>#N/A</v>
      </c>
    </row>
    <row r="652" spans="1:25" x14ac:dyDescent="0.2">
      <c r="A652">
        <v>1650</v>
      </c>
      <c r="B652" t="s">
        <v>48</v>
      </c>
      <c r="C652" t="s">
        <v>29</v>
      </c>
      <c r="D652">
        <v>2022</v>
      </c>
      <c r="E652" t="s">
        <v>24</v>
      </c>
      <c r="F652">
        <v>508</v>
      </c>
      <c r="G652">
        <v>5</v>
      </c>
      <c r="H652">
        <v>5</v>
      </c>
      <c r="I652">
        <v>2122000</v>
      </c>
      <c r="J652">
        <v>4177.2</v>
      </c>
      <c r="K652">
        <v>0</v>
      </c>
      <c r="L652" t="s">
        <v>34</v>
      </c>
      <c r="M652">
        <v>78</v>
      </c>
      <c r="N652" t="s">
        <v>27</v>
      </c>
      <c r="P652">
        <f t="shared" si="100"/>
        <v>2122000</v>
      </c>
      <c r="Q652">
        <f t="shared" si="101"/>
        <v>508</v>
      </c>
      <c r="R652" t="e">
        <f t="shared" si="102"/>
        <v>#N/A</v>
      </c>
      <c r="S652" t="e">
        <f t="shared" si="103"/>
        <v>#N/A</v>
      </c>
      <c r="T652" t="e">
        <f t="shared" si="104"/>
        <v>#N/A</v>
      </c>
      <c r="U652" t="e">
        <f t="shared" si="105"/>
        <v>#N/A</v>
      </c>
      <c r="V652" t="e">
        <f t="shared" si="106"/>
        <v>#N/A</v>
      </c>
      <c r="W652" t="e">
        <f t="shared" si="107"/>
        <v>#N/A</v>
      </c>
      <c r="X652" t="e">
        <f t="shared" si="108"/>
        <v>#N/A</v>
      </c>
      <c r="Y652" t="e">
        <f t="shared" si="109"/>
        <v>#N/A</v>
      </c>
    </row>
    <row r="653" spans="1:25" x14ac:dyDescent="0.2">
      <c r="A653">
        <v>1651</v>
      </c>
      <c r="B653" t="s">
        <v>42</v>
      </c>
      <c r="C653" t="s">
        <v>38</v>
      </c>
      <c r="D653">
        <v>2023</v>
      </c>
      <c r="E653" t="s">
        <v>30</v>
      </c>
      <c r="F653">
        <v>67</v>
      </c>
      <c r="G653">
        <v>0</v>
      </c>
      <c r="H653">
        <v>1</v>
      </c>
      <c r="I653">
        <v>424000</v>
      </c>
      <c r="J653">
        <v>6328.4</v>
      </c>
      <c r="K653">
        <v>5</v>
      </c>
      <c r="L653" t="s">
        <v>17</v>
      </c>
      <c r="M653">
        <v>123</v>
      </c>
      <c r="N653" t="s">
        <v>21</v>
      </c>
      <c r="P653" t="e">
        <f t="shared" si="100"/>
        <v>#N/A</v>
      </c>
      <c r="Q653" t="e">
        <f t="shared" si="101"/>
        <v>#N/A</v>
      </c>
      <c r="R653" t="e">
        <f t="shared" si="102"/>
        <v>#N/A</v>
      </c>
      <c r="S653" t="e">
        <f t="shared" si="103"/>
        <v>#N/A</v>
      </c>
      <c r="T653" t="e">
        <f t="shared" si="104"/>
        <v>#N/A</v>
      </c>
      <c r="U653" t="e">
        <f t="shared" si="105"/>
        <v>#N/A</v>
      </c>
      <c r="V653">
        <f t="shared" si="106"/>
        <v>424000</v>
      </c>
      <c r="W653">
        <f t="shared" si="107"/>
        <v>67</v>
      </c>
      <c r="X653" t="e">
        <f t="shared" si="108"/>
        <v>#N/A</v>
      </c>
      <c r="Y653" t="e">
        <f t="shared" si="109"/>
        <v>#N/A</v>
      </c>
    </row>
    <row r="654" spans="1:25" x14ac:dyDescent="0.2">
      <c r="A654">
        <v>1652</v>
      </c>
      <c r="B654" t="s">
        <v>43</v>
      </c>
      <c r="C654" t="s">
        <v>15</v>
      </c>
      <c r="D654">
        <v>2021</v>
      </c>
      <c r="E654" t="s">
        <v>30</v>
      </c>
      <c r="F654">
        <v>194</v>
      </c>
      <c r="G654">
        <v>4</v>
      </c>
      <c r="H654">
        <v>4</v>
      </c>
      <c r="I654">
        <v>685000</v>
      </c>
      <c r="J654">
        <v>3530.9</v>
      </c>
      <c r="K654">
        <v>15</v>
      </c>
      <c r="L654" t="s">
        <v>17</v>
      </c>
      <c r="M654">
        <v>86</v>
      </c>
      <c r="N654" t="s">
        <v>27</v>
      </c>
      <c r="P654" t="e">
        <f t="shared" si="100"/>
        <v>#N/A</v>
      </c>
      <c r="Q654" t="e">
        <f t="shared" si="101"/>
        <v>#N/A</v>
      </c>
      <c r="R654">
        <f t="shared" si="102"/>
        <v>685000</v>
      </c>
      <c r="S654">
        <f t="shared" si="103"/>
        <v>194</v>
      </c>
      <c r="T654" t="e">
        <f t="shared" si="104"/>
        <v>#N/A</v>
      </c>
      <c r="U654" t="e">
        <f t="shared" si="105"/>
        <v>#N/A</v>
      </c>
      <c r="V654" t="e">
        <f t="shared" si="106"/>
        <v>#N/A</v>
      </c>
      <c r="W654" t="e">
        <f t="shared" si="107"/>
        <v>#N/A</v>
      </c>
      <c r="X654" t="e">
        <f t="shared" si="108"/>
        <v>#N/A</v>
      </c>
      <c r="Y654" t="e">
        <f t="shared" si="109"/>
        <v>#N/A</v>
      </c>
    </row>
    <row r="655" spans="1:25" x14ac:dyDescent="0.2">
      <c r="A655">
        <v>1653</v>
      </c>
      <c r="B655" t="s">
        <v>43</v>
      </c>
      <c r="C655" t="s">
        <v>29</v>
      </c>
      <c r="D655">
        <v>2023</v>
      </c>
      <c r="E655" t="s">
        <v>26</v>
      </c>
      <c r="F655">
        <v>328</v>
      </c>
      <c r="G655">
        <v>5</v>
      </c>
      <c r="H655">
        <v>5</v>
      </c>
      <c r="I655">
        <v>2253000</v>
      </c>
      <c r="J655">
        <v>6868.9</v>
      </c>
      <c r="K655">
        <v>10</v>
      </c>
      <c r="L655" t="s">
        <v>17</v>
      </c>
      <c r="M655">
        <v>79</v>
      </c>
      <c r="N655" t="s">
        <v>27</v>
      </c>
      <c r="P655">
        <f t="shared" si="100"/>
        <v>2253000</v>
      </c>
      <c r="Q655">
        <f t="shared" si="101"/>
        <v>328</v>
      </c>
      <c r="R655" t="e">
        <f t="shared" si="102"/>
        <v>#N/A</v>
      </c>
      <c r="S655" t="e">
        <f t="shared" si="103"/>
        <v>#N/A</v>
      </c>
      <c r="T655" t="e">
        <f t="shared" si="104"/>
        <v>#N/A</v>
      </c>
      <c r="U655" t="e">
        <f t="shared" si="105"/>
        <v>#N/A</v>
      </c>
      <c r="V655" t="e">
        <f t="shared" si="106"/>
        <v>#N/A</v>
      </c>
      <c r="W655" t="e">
        <f t="shared" si="107"/>
        <v>#N/A</v>
      </c>
      <c r="X655" t="e">
        <f t="shared" si="108"/>
        <v>#N/A</v>
      </c>
      <c r="Y655" t="e">
        <f t="shared" si="109"/>
        <v>#N/A</v>
      </c>
    </row>
    <row r="656" spans="1:25" x14ac:dyDescent="0.2">
      <c r="A656">
        <v>1654</v>
      </c>
      <c r="B656" t="s">
        <v>37</v>
      </c>
      <c r="C656" t="s">
        <v>15</v>
      </c>
      <c r="D656">
        <v>2023</v>
      </c>
      <c r="E656" t="s">
        <v>26</v>
      </c>
      <c r="F656">
        <v>143</v>
      </c>
      <c r="G656">
        <v>3</v>
      </c>
      <c r="H656">
        <v>3</v>
      </c>
      <c r="I656">
        <v>657000</v>
      </c>
      <c r="J656">
        <v>4594.3999999999996</v>
      </c>
      <c r="K656">
        <v>15</v>
      </c>
      <c r="L656" t="s">
        <v>17</v>
      </c>
      <c r="M656">
        <v>133</v>
      </c>
      <c r="N656" t="s">
        <v>27</v>
      </c>
      <c r="P656" t="e">
        <f t="shared" si="100"/>
        <v>#N/A</v>
      </c>
      <c r="Q656" t="e">
        <f t="shared" si="101"/>
        <v>#N/A</v>
      </c>
      <c r="R656">
        <f t="shared" si="102"/>
        <v>657000</v>
      </c>
      <c r="S656">
        <f t="shared" si="103"/>
        <v>143</v>
      </c>
      <c r="T656" t="e">
        <f t="shared" si="104"/>
        <v>#N/A</v>
      </c>
      <c r="U656" t="e">
        <f t="shared" si="105"/>
        <v>#N/A</v>
      </c>
      <c r="V656" t="e">
        <f t="shared" si="106"/>
        <v>#N/A</v>
      </c>
      <c r="W656" t="e">
        <f t="shared" si="107"/>
        <v>#N/A</v>
      </c>
      <c r="X656" t="e">
        <f t="shared" si="108"/>
        <v>#N/A</v>
      </c>
      <c r="Y656" t="e">
        <f t="shared" si="109"/>
        <v>#N/A</v>
      </c>
    </row>
    <row r="657" spans="1:25" x14ac:dyDescent="0.2">
      <c r="A657">
        <v>1655</v>
      </c>
      <c r="B657" t="s">
        <v>43</v>
      </c>
      <c r="C657" t="s">
        <v>23</v>
      </c>
      <c r="D657">
        <v>2022</v>
      </c>
      <c r="E657" t="s">
        <v>16</v>
      </c>
      <c r="F657">
        <v>296</v>
      </c>
      <c r="G657">
        <v>3</v>
      </c>
      <c r="H657">
        <v>3</v>
      </c>
      <c r="I657">
        <v>1474000</v>
      </c>
      <c r="J657">
        <v>4979.7</v>
      </c>
      <c r="K657">
        <v>1</v>
      </c>
      <c r="L657" t="s">
        <v>20</v>
      </c>
      <c r="M657">
        <v>89</v>
      </c>
      <c r="N657" t="s">
        <v>27</v>
      </c>
      <c r="P657" t="e">
        <f t="shared" si="100"/>
        <v>#N/A</v>
      </c>
      <c r="Q657" t="e">
        <f t="shared" si="101"/>
        <v>#N/A</v>
      </c>
      <c r="R657" t="e">
        <f t="shared" si="102"/>
        <v>#N/A</v>
      </c>
      <c r="S657" t="e">
        <f t="shared" si="103"/>
        <v>#N/A</v>
      </c>
      <c r="T657">
        <f t="shared" si="104"/>
        <v>1474000</v>
      </c>
      <c r="U657">
        <f t="shared" si="105"/>
        <v>296</v>
      </c>
      <c r="V657" t="e">
        <f t="shared" si="106"/>
        <v>#N/A</v>
      </c>
      <c r="W657" t="e">
        <f t="shared" si="107"/>
        <v>#N/A</v>
      </c>
      <c r="X657" t="e">
        <f t="shared" si="108"/>
        <v>#N/A</v>
      </c>
      <c r="Y657" t="e">
        <f t="shared" si="109"/>
        <v>#N/A</v>
      </c>
    </row>
    <row r="658" spans="1:25" x14ac:dyDescent="0.2">
      <c r="A658">
        <v>1656</v>
      </c>
      <c r="B658" t="s">
        <v>42</v>
      </c>
      <c r="C658" t="s">
        <v>36</v>
      </c>
      <c r="D658">
        <v>2024</v>
      </c>
      <c r="E658" t="s">
        <v>24</v>
      </c>
      <c r="F658">
        <v>447</v>
      </c>
      <c r="G658">
        <v>3</v>
      </c>
      <c r="H658">
        <v>3</v>
      </c>
      <c r="I658">
        <v>1808000</v>
      </c>
      <c r="J658">
        <v>4044.7</v>
      </c>
      <c r="K658">
        <v>2</v>
      </c>
      <c r="L658" t="s">
        <v>20</v>
      </c>
      <c r="M658">
        <v>122</v>
      </c>
      <c r="N658" t="s">
        <v>21</v>
      </c>
      <c r="P658" t="e">
        <f t="shared" si="100"/>
        <v>#N/A</v>
      </c>
      <c r="Q658" t="e">
        <f t="shared" si="101"/>
        <v>#N/A</v>
      </c>
      <c r="R658" t="e">
        <f t="shared" si="102"/>
        <v>#N/A</v>
      </c>
      <c r="S658" t="e">
        <f t="shared" si="103"/>
        <v>#N/A</v>
      </c>
      <c r="T658" t="e">
        <f t="shared" si="104"/>
        <v>#N/A</v>
      </c>
      <c r="U658" t="e">
        <f t="shared" si="105"/>
        <v>#N/A</v>
      </c>
      <c r="V658" t="e">
        <f t="shared" si="106"/>
        <v>#N/A</v>
      </c>
      <c r="W658" t="e">
        <f t="shared" si="107"/>
        <v>#N/A</v>
      </c>
      <c r="X658">
        <f t="shared" si="108"/>
        <v>1808000</v>
      </c>
      <c r="Y658">
        <f t="shared" si="109"/>
        <v>447</v>
      </c>
    </row>
    <row r="659" spans="1:25" x14ac:dyDescent="0.2">
      <c r="A659">
        <v>1657</v>
      </c>
      <c r="B659" t="s">
        <v>22</v>
      </c>
      <c r="C659" t="s">
        <v>38</v>
      </c>
      <c r="D659">
        <v>2021</v>
      </c>
      <c r="E659" t="s">
        <v>30</v>
      </c>
      <c r="F659">
        <v>60</v>
      </c>
      <c r="G659">
        <v>0</v>
      </c>
      <c r="H659">
        <v>1</v>
      </c>
      <c r="I659">
        <v>248000</v>
      </c>
      <c r="J659">
        <v>4133.3</v>
      </c>
      <c r="K659">
        <v>1</v>
      </c>
      <c r="L659" t="s">
        <v>17</v>
      </c>
      <c r="M659">
        <v>88</v>
      </c>
      <c r="N659" t="s">
        <v>18</v>
      </c>
      <c r="P659" t="e">
        <f t="shared" si="100"/>
        <v>#N/A</v>
      </c>
      <c r="Q659" t="e">
        <f t="shared" si="101"/>
        <v>#N/A</v>
      </c>
      <c r="R659" t="e">
        <f t="shared" si="102"/>
        <v>#N/A</v>
      </c>
      <c r="S659" t="e">
        <f t="shared" si="103"/>
        <v>#N/A</v>
      </c>
      <c r="T659" t="e">
        <f t="shared" si="104"/>
        <v>#N/A</v>
      </c>
      <c r="U659" t="e">
        <f t="shared" si="105"/>
        <v>#N/A</v>
      </c>
      <c r="V659">
        <f t="shared" si="106"/>
        <v>248000</v>
      </c>
      <c r="W659">
        <f t="shared" si="107"/>
        <v>60</v>
      </c>
      <c r="X659" t="e">
        <f t="shared" si="108"/>
        <v>#N/A</v>
      </c>
      <c r="Y659" t="e">
        <f t="shared" si="109"/>
        <v>#N/A</v>
      </c>
    </row>
    <row r="660" spans="1:25" x14ac:dyDescent="0.2">
      <c r="A660">
        <v>1658</v>
      </c>
      <c r="B660" t="s">
        <v>32</v>
      </c>
      <c r="C660" t="s">
        <v>23</v>
      </c>
      <c r="D660">
        <v>2021</v>
      </c>
      <c r="E660" t="s">
        <v>24</v>
      </c>
      <c r="F660">
        <v>339</v>
      </c>
      <c r="G660">
        <v>3</v>
      </c>
      <c r="H660">
        <v>3</v>
      </c>
      <c r="I660">
        <v>1050000</v>
      </c>
      <c r="J660">
        <v>3097.3</v>
      </c>
      <c r="K660">
        <v>10</v>
      </c>
      <c r="L660" t="s">
        <v>34</v>
      </c>
      <c r="M660">
        <v>137</v>
      </c>
      <c r="N660" t="s">
        <v>18</v>
      </c>
      <c r="P660" t="e">
        <f t="shared" si="100"/>
        <v>#N/A</v>
      </c>
      <c r="Q660" t="e">
        <f t="shared" si="101"/>
        <v>#N/A</v>
      </c>
      <c r="R660" t="e">
        <f t="shared" si="102"/>
        <v>#N/A</v>
      </c>
      <c r="S660" t="e">
        <f t="shared" si="103"/>
        <v>#N/A</v>
      </c>
      <c r="T660">
        <f t="shared" si="104"/>
        <v>1050000</v>
      </c>
      <c r="U660">
        <f t="shared" si="105"/>
        <v>339</v>
      </c>
      <c r="V660" t="e">
        <f t="shared" si="106"/>
        <v>#N/A</v>
      </c>
      <c r="W660" t="e">
        <f t="shared" si="107"/>
        <v>#N/A</v>
      </c>
      <c r="X660" t="e">
        <f t="shared" si="108"/>
        <v>#N/A</v>
      </c>
      <c r="Y660" t="e">
        <f t="shared" si="109"/>
        <v>#N/A</v>
      </c>
    </row>
    <row r="661" spans="1:25" x14ac:dyDescent="0.2">
      <c r="A661">
        <v>1659</v>
      </c>
      <c r="B661" t="s">
        <v>14</v>
      </c>
      <c r="C661" t="s">
        <v>23</v>
      </c>
      <c r="D661">
        <v>2021</v>
      </c>
      <c r="E661" t="s">
        <v>30</v>
      </c>
      <c r="F661">
        <v>219</v>
      </c>
      <c r="G661">
        <v>4</v>
      </c>
      <c r="H661">
        <v>4</v>
      </c>
      <c r="I661">
        <v>890000</v>
      </c>
      <c r="J661">
        <v>4063.9</v>
      </c>
      <c r="K661">
        <v>15</v>
      </c>
      <c r="L661" t="s">
        <v>20</v>
      </c>
      <c r="M661">
        <v>53</v>
      </c>
      <c r="N661" t="s">
        <v>18</v>
      </c>
      <c r="P661" t="e">
        <f t="shared" si="100"/>
        <v>#N/A</v>
      </c>
      <c r="Q661" t="e">
        <f t="shared" si="101"/>
        <v>#N/A</v>
      </c>
      <c r="R661" t="e">
        <f t="shared" si="102"/>
        <v>#N/A</v>
      </c>
      <c r="S661" t="e">
        <f t="shared" si="103"/>
        <v>#N/A</v>
      </c>
      <c r="T661">
        <f t="shared" si="104"/>
        <v>890000</v>
      </c>
      <c r="U661">
        <f t="shared" si="105"/>
        <v>219</v>
      </c>
      <c r="V661" t="e">
        <f t="shared" si="106"/>
        <v>#N/A</v>
      </c>
      <c r="W661" t="e">
        <f t="shared" si="107"/>
        <v>#N/A</v>
      </c>
      <c r="X661" t="e">
        <f t="shared" si="108"/>
        <v>#N/A</v>
      </c>
      <c r="Y661" t="e">
        <f t="shared" si="109"/>
        <v>#N/A</v>
      </c>
    </row>
    <row r="662" spans="1:25" x14ac:dyDescent="0.2">
      <c r="A662">
        <v>1660</v>
      </c>
      <c r="B662" t="s">
        <v>48</v>
      </c>
      <c r="C662" t="s">
        <v>23</v>
      </c>
      <c r="D662">
        <v>2024</v>
      </c>
      <c r="E662" t="s">
        <v>30</v>
      </c>
      <c r="F662">
        <v>265</v>
      </c>
      <c r="G662">
        <v>4</v>
      </c>
      <c r="H662">
        <v>4</v>
      </c>
      <c r="I662">
        <v>1078000</v>
      </c>
      <c r="J662">
        <v>4067.9</v>
      </c>
      <c r="K662">
        <v>0</v>
      </c>
      <c r="L662" t="s">
        <v>20</v>
      </c>
      <c r="M662">
        <v>175</v>
      </c>
      <c r="N662" t="s">
        <v>27</v>
      </c>
      <c r="P662" t="e">
        <f t="shared" si="100"/>
        <v>#N/A</v>
      </c>
      <c r="Q662" t="e">
        <f t="shared" si="101"/>
        <v>#N/A</v>
      </c>
      <c r="R662" t="e">
        <f t="shared" si="102"/>
        <v>#N/A</v>
      </c>
      <c r="S662" t="e">
        <f t="shared" si="103"/>
        <v>#N/A</v>
      </c>
      <c r="T662">
        <f t="shared" si="104"/>
        <v>1078000</v>
      </c>
      <c r="U662">
        <f t="shared" si="105"/>
        <v>265</v>
      </c>
      <c r="V662" t="e">
        <f t="shared" si="106"/>
        <v>#N/A</v>
      </c>
      <c r="W662" t="e">
        <f t="shared" si="107"/>
        <v>#N/A</v>
      </c>
      <c r="X662" t="e">
        <f t="shared" si="108"/>
        <v>#N/A</v>
      </c>
      <c r="Y662" t="e">
        <f t="shared" si="109"/>
        <v>#N/A</v>
      </c>
    </row>
    <row r="663" spans="1:25" x14ac:dyDescent="0.2">
      <c r="A663">
        <v>1661</v>
      </c>
      <c r="B663" t="s">
        <v>41</v>
      </c>
      <c r="C663" t="s">
        <v>15</v>
      </c>
      <c r="D663">
        <v>2024</v>
      </c>
      <c r="E663" t="s">
        <v>24</v>
      </c>
      <c r="F663">
        <v>186</v>
      </c>
      <c r="G663">
        <v>3</v>
      </c>
      <c r="H663">
        <v>3</v>
      </c>
      <c r="I663">
        <v>910000</v>
      </c>
      <c r="J663">
        <v>4892.5</v>
      </c>
      <c r="K663">
        <v>3</v>
      </c>
      <c r="L663" t="s">
        <v>34</v>
      </c>
      <c r="M663">
        <v>65</v>
      </c>
      <c r="N663" t="s">
        <v>21</v>
      </c>
      <c r="P663" t="e">
        <f t="shared" si="100"/>
        <v>#N/A</v>
      </c>
      <c r="Q663" t="e">
        <f t="shared" si="101"/>
        <v>#N/A</v>
      </c>
      <c r="R663">
        <f t="shared" si="102"/>
        <v>910000</v>
      </c>
      <c r="S663">
        <f t="shared" si="103"/>
        <v>186</v>
      </c>
      <c r="T663" t="e">
        <f t="shared" si="104"/>
        <v>#N/A</v>
      </c>
      <c r="U663" t="e">
        <f t="shared" si="105"/>
        <v>#N/A</v>
      </c>
      <c r="V663" t="e">
        <f t="shared" si="106"/>
        <v>#N/A</v>
      </c>
      <c r="W663" t="e">
        <f t="shared" si="107"/>
        <v>#N/A</v>
      </c>
      <c r="X663" t="e">
        <f t="shared" si="108"/>
        <v>#N/A</v>
      </c>
      <c r="Y663" t="e">
        <f t="shared" si="109"/>
        <v>#N/A</v>
      </c>
    </row>
    <row r="664" spans="1:25" x14ac:dyDescent="0.2">
      <c r="A664">
        <v>1662</v>
      </c>
      <c r="B664" t="s">
        <v>46</v>
      </c>
      <c r="C664" t="s">
        <v>15</v>
      </c>
      <c r="D664">
        <v>2024</v>
      </c>
      <c r="E664" t="s">
        <v>16</v>
      </c>
      <c r="F664">
        <v>140</v>
      </c>
      <c r="G664">
        <v>3</v>
      </c>
      <c r="H664">
        <v>3</v>
      </c>
      <c r="I664">
        <v>499000</v>
      </c>
      <c r="J664">
        <v>3564.3</v>
      </c>
      <c r="K664">
        <v>15</v>
      </c>
      <c r="L664" t="s">
        <v>34</v>
      </c>
      <c r="M664">
        <v>93</v>
      </c>
      <c r="N664" t="s">
        <v>18</v>
      </c>
      <c r="P664" t="e">
        <f t="shared" si="100"/>
        <v>#N/A</v>
      </c>
      <c r="Q664" t="e">
        <f t="shared" si="101"/>
        <v>#N/A</v>
      </c>
      <c r="R664">
        <f t="shared" si="102"/>
        <v>499000</v>
      </c>
      <c r="S664">
        <f t="shared" si="103"/>
        <v>140</v>
      </c>
      <c r="T664" t="e">
        <f t="shared" si="104"/>
        <v>#N/A</v>
      </c>
      <c r="U664" t="e">
        <f t="shared" si="105"/>
        <v>#N/A</v>
      </c>
      <c r="V664" t="e">
        <f t="shared" si="106"/>
        <v>#N/A</v>
      </c>
      <c r="W664" t="e">
        <f t="shared" si="107"/>
        <v>#N/A</v>
      </c>
      <c r="X664" t="e">
        <f t="shared" si="108"/>
        <v>#N/A</v>
      </c>
      <c r="Y664" t="e">
        <f t="shared" si="109"/>
        <v>#N/A</v>
      </c>
    </row>
    <row r="665" spans="1:25" x14ac:dyDescent="0.2">
      <c r="A665">
        <v>1663</v>
      </c>
      <c r="B665" t="s">
        <v>28</v>
      </c>
      <c r="C665" t="s">
        <v>36</v>
      </c>
      <c r="D665">
        <v>2024</v>
      </c>
      <c r="E665" t="s">
        <v>16</v>
      </c>
      <c r="F665">
        <v>351</v>
      </c>
      <c r="G665">
        <v>4</v>
      </c>
      <c r="H665">
        <v>4</v>
      </c>
      <c r="I665">
        <v>854000</v>
      </c>
      <c r="J665">
        <v>2433</v>
      </c>
      <c r="K665">
        <v>2</v>
      </c>
      <c r="L665" t="s">
        <v>34</v>
      </c>
      <c r="M665">
        <v>30</v>
      </c>
      <c r="N665" t="s">
        <v>27</v>
      </c>
      <c r="P665" t="e">
        <f t="shared" si="100"/>
        <v>#N/A</v>
      </c>
      <c r="Q665" t="e">
        <f t="shared" si="101"/>
        <v>#N/A</v>
      </c>
      <c r="R665" t="e">
        <f t="shared" si="102"/>
        <v>#N/A</v>
      </c>
      <c r="S665" t="e">
        <f t="shared" si="103"/>
        <v>#N/A</v>
      </c>
      <c r="T665" t="e">
        <f t="shared" si="104"/>
        <v>#N/A</v>
      </c>
      <c r="U665" t="e">
        <f t="shared" si="105"/>
        <v>#N/A</v>
      </c>
      <c r="V665" t="e">
        <f t="shared" si="106"/>
        <v>#N/A</v>
      </c>
      <c r="W665" t="e">
        <f t="shared" si="107"/>
        <v>#N/A</v>
      </c>
      <c r="X665">
        <f t="shared" si="108"/>
        <v>854000</v>
      </c>
      <c r="Y665">
        <f t="shared" si="109"/>
        <v>351</v>
      </c>
    </row>
    <row r="666" spans="1:25" x14ac:dyDescent="0.2">
      <c r="A666">
        <v>1664</v>
      </c>
      <c r="B666" t="s">
        <v>19</v>
      </c>
      <c r="C666" t="s">
        <v>15</v>
      </c>
      <c r="D666">
        <v>2021</v>
      </c>
      <c r="E666" t="s">
        <v>16</v>
      </c>
      <c r="F666">
        <v>193</v>
      </c>
      <c r="G666">
        <v>2</v>
      </c>
      <c r="H666">
        <v>2</v>
      </c>
      <c r="I666">
        <v>538000</v>
      </c>
      <c r="J666">
        <v>2787.6</v>
      </c>
      <c r="K666">
        <v>15</v>
      </c>
      <c r="L666" t="s">
        <v>17</v>
      </c>
      <c r="M666">
        <v>158</v>
      </c>
      <c r="N666" t="s">
        <v>21</v>
      </c>
      <c r="P666" t="e">
        <f t="shared" si="100"/>
        <v>#N/A</v>
      </c>
      <c r="Q666" t="e">
        <f t="shared" si="101"/>
        <v>#N/A</v>
      </c>
      <c r="R666">
        <f t="shared" si="102"/>
        <v>538000</v>
      </c>
      <c r="S666">
        <f t="shared" si="103"/>
        <v>193</v>
      </c>
      <c r="T666" t="e">
        <f t="shared" si="104"/>
        <v>#N/A</v>
      </c>
      <c r="U666" t="e">
        <f t="shared" si="105"/>
        <v>#N/A</v>
      </c>
      <c r="V666" t="e">
        <f t="shared" si="106"/>
        <v>#N/A</v>
      </c>
      <c r="W666" t="e">
        <f t="shared" si="107"/>
        <v>#N/A</v>
      </c>
      <c r="X666" t="e">
        <f t="shared" si="108"/>
        <v>#N/A</v>
      </c>
      <c r="Y666" t="e">
        <f t="shared" si="109"/>
        <v>#N/A</v>
      </c>
    </row>
    <row r="667" spans="1:25" x14ac:dyDescent="0.2">
      <c r="A667">
        <v>1665</v>
      </c>
      <c r="B667" t="s">
        <v>32</v>
      </c>
      <c r="C667" t="s">
        <v>38</v>
      </c>
      <c r="D667">
        <v>2021</v>
      </c>
      <c r="E667" t="s">
        <v>24</v>
      </c>
      <c r="F667">
        <v>47</v>
      </c>
      <c r="G667">
        <v>0</v>
      </c>
      <c r="H667">
        <v>1</v>
      </c>
      <c r="I667">
        <v>155000</v>
      </c>
      <c r="J667">
        <v>3297.9</v>
      </c>
      <c r="K667">
        <v>1</v>
      </c>
      <c r="L667" t="s">
        <v>17</v>
      </c>
      <c r="M667">
        <v>142</v>
      </c>
      <c r="N667" t="s">
        <v>18</v>
      </c>
      <c r="P667" t="e">
        <f t="shared" si="100"/>
        <v>#N/A</v>
      </c>
      <c r="Q667" t="e">
        <f t="shared" si="101"/>
        <v>#N/A</v>
      </c>
      <c r="R667" t="e">
        <f t="shared" si="102"/>
        <v>#N/A</v>
      </c>
      <c r="S667" t="e">
        <f t="shared" si="103"/>
        <v>#N/A</v>
      </c>
      <c r="T667" t="e">
        <f t="shared" si="104"/>
        <v>#N/A</v>
      </c>
      <c r="U667" t="e">
        <f t="shared" si="105"/>
        <v>#N/A</v>
      </c>
      <c r="V667">
        <f t="shared" si="106"/>
        <v>155000</v>
      </c>
      <c r="W667">
        <f t="shared" si="107"/>
        <v>47</v>
      </c>
      <c r="X667" t="e">
        <f t="shared" si="108"/>
        <v>#N/A</v>
      </c>
      <c r="Y667" t="e">
        <f t="shared" si="109"/>
        <v>#N/A</v>
      </c>
    </row>
    <row r="668" spans="1:25" x14ac:dyDescent="0.2">
      <c r="A668">
        <v>1666</v>
      </c>
      <c r="B668" t="s">
        <v>48</v>
      </c>
      <c r="C668" t="s">
        <v>23</v>
      </c>
      <c r="D668">
        <v>2024</v>
      </c>
      <c r="E668" t="s">
        <v>16</v>
      </c>
      <c r="F668">
        <v>248</v>
      </c>
      <c r="G668">
        <v>3</v>
      </c>
      <c r="H668">
        <v>3</v>
      </c>
      <c r="I668">
        <v>918000</v>
      </c>
      <c r="J668">
        <v>3701.6</v>
      </c>
      <c r="K668">
        <v>2</v>
      </c>
      <c r="L668" t="s">
        <v>17</v>
      </c>
      <c r="M668">
        <v>134</v>
      </c>
      <c r="N668" t="s">
        <v>27</v>
      </c>
      <c r="P668" t="e">
        <f t="shared" si="100"/>
        <v>#N/A</v>
      </c>
      <c r="Q668" t="e">
        <f t="shared" si="101"/>
        <v>#N/A</v>
      </c>
      <c r="R668" t="e">
        <f t="shared" si="102"/>
        <v>#N/A</v>
      </c>
      <c r="S668" t="e">
        <f t="shared" si="103"/>
        <v>#N/A</v>
      </c>
      <c r="T668">
        <f t="shared" si="104"/>
        <v>918000</v>
      </c>
      <c r="U668">
        <f t="shared" si="105"/>
        <v>248</v>
      </c>
      <c r="V668" t="e">
        <f t="shared" si="106"/>
        <v>#N/A</v>
      </c>
      <c r="W668" t="e">
        <f t="shared" si="107"/>
        <v>#N/A</v>
      </c>
      <c r="X668" t="e">
        <f t="shared" si="108"/>
        <v>#N/A</v>
      </c>
      <c r="Y668" t="e">
        <f t="shared" si="109"/>
        <v>#N/A</v>
      </c>
    </row>
    <row r="669" spans="1:25" x14ac:dyDescent="0.2">
      <c r="A669">
        <v>1667</v>
      </c>
      <c r="B669" t="s">
        <v>45</v>
      </c>
      <c r="C669" t="s">
        <v>29</v>
      </c>
      <c r="D669">
        <v>2023</v>
      </c>
      <c r="E669" t="s">
        <v>16</v>
      </c>
      <c r="F669">
        <v>314</v>
      </c>
      <c r="G669">
        <v>5</v>
      </c>
      <c r="H669">
        <v>5</v>
      </c>
      <c r="I669">
        <v>1839000</v>
      </c>
      <c r="J669">
        <v>5856.7</v>
      </c>
      <c r="K669">
        <v>1</v>
      </c>
      <c r="L669" t="s">
        <v>20</v>
      </c>
      <c r="M669">
        <v>144</v>
      </c>
      <c r="N669" t="s">
        <v>21</v>
      </c>
      <c r="P669">
        <f t="shared" si="100"/>
        <v>1839000</v>
      </c>
      <c r="Q669">
        <f t="shared" si="101"/>
        <v>314</v>
      </c>
      <c r="R669" t="e">
        <f t="shared" si="102"/>
        <v>#N/A</v>
      </c>
      <c r="S669" t="e">
        <f t="shared" si="103"/>
        <v>#N/A</v>
      </c>
      <c r="T669" t="e">
        <f t="shared" si="104"/>
        <v>#N/A</v>
      </c>
      <c r="U669" t="e">
        <f t="shared" si="105"/>
        <v>#N/A</v>
      </c>
      <c r="V669" t="e">
        <f t="shared" si="106"/>
        <v>#N/A</v>
      </c>
      <c r="W669" t="e">
        <f t="shared" si="107"/>
        <v>#N/A</v>
      </c>
      <c r="X669" t="e">
        <f t="shared" si="108"/>
        <v>#N/A</v>
      </c>
      <c r="Y669" t="e">
        <f t="shared" si="109"/>
        <v>#N/A</v>
      </c>
    </row>
    <row r="670" spans="1:25" x14ac:dyDescent="0.2">
      <c r="A670">
        <v>1668</v>
      </c>
      <c r="B670" t="s">
        <v>33</v>
      </c>
      <c r="C670" t="s">
        <v>15</v>
      </c>
      <c r="D670">
        <v>2023</v>
      </c>
      <c r="E670" t="s">
        <v>26</v>
      </c>
      <c r="F670">
        <v>194</v>
      </c>
      <c r="G670">
        <v>2</v>
      </c>
      <c r="H670">
        <v>2</v>
      </c>
      <c r="I670">
        <v>536000</v>
      </c>
      <c r="J670">
        <v>2762.9</v>
      </c>
      <c r="K670">
        <v>7</v>
      </c>
      <c r="L670" t="s">
        <v>17</v>
      </c>
      <c r="M670">
        <v>9</v>
      </c>
      <c r="N670" t="s">
        <v>27</v>
      </c>
      <c r="P670" t="e">
        <f t="shared" si="100"/>
        <v>#N/A</v>
      </c>
      <c r="Q670" t="e">
        <f t="shared" si="101"/>
        <v>#N/A</v>
      </c>
      <c r="R670">
        <f t="shared" si="102"/>
        <v>536000</v>
      </c>
      <c r="S670">
        <f t="shared" si="103"/>
        <v>194</v>
      </c>
      <c r="T670" t="e">
        <f t="shared" si="104"/>
        <v>#N/A</v>
      </c>
      <c r="U670" t="e">
        <f t="shared" si="105"/>
        <v>#N/A</v>
      </c>
      <c r="V670" t="e">
        <f t="shared" si="106"/>
        <v>#N/A</v>
      </c>
      <c r="W670" t="e">
        <f t="shared" si="107"/>
        <v>#N/A</v>
      </c>
      <c r="X670" t="e">
        <f t="shared" si="108"/>
        <v>#N/A</v>
      </c>
      <c r="Y670" t="e">
        <f t="shared" si="109"/>
        <v>#N/A</v>
      </c>
    </row>
    <row r="671" spans="1:25" x14ac:dyDescent="0.2">
      <c r="A671">
        <v>1669</v>
      </c>
      <c r="B671" t="s">
        <v>14</v>
      </c>
      <c r="C671" t="s">
        <v>29</v>
      </c>
      <c r="D671">
        <v>2021</v>
      </c>
      <c r="E671" t="s">
        <v>26</v>
      </c>
      <c r="F671">
        <v>501</v>
      </c>
      <c r="G671">
        <v>5</v>
      </c>
      <c r="H671">
        <v>5</v>
      </c>
      <c r="I671">
        <v>2523000</v>
      </c>
      <c r="J671">
        <v>5035.8999999999996</v>
      </c>
      <c r="K671">
        <v>2</v>
      </c>
      <c r="L671" t="s">
        <v>17</v>
      </c>
      <c r="M671">
        <v>147</v>
      </c>
      <c r="N671" t="s">
        <v>18</v>
      </c>
      <c r="P671">
        <f t="shared" si="100"/>
        <v>2523000</v>
      </c>
      <c r="Q671">
        <f t="shared" si="101"/>
        <v>501</v>
      </c>
      <c r="R671" t="e">
        <f t="shared" si="102"/>
        <v>#N/A</v>
      </c>
      <c r="S671" t="e">
        <f t="shared" si="103"/>
        <v>#N/A</v>
      </c>
      <c r="T671" t="e">
        <f t="shared" si="104"/>
        <v>#N/A</v>
      </c>
      <c r="U671" t="e">
        <f t="shared" si="105"/>
        <v>#N/A</v>
      </c>
      <c r="V671" t="e">
        <f t="shared" si="106"/>
        <v>#N/A</v>
      </c>
      <c r="W671" t="e">
        <f t="shared" si="107"/>
        <v>#N/A</v>
      </c>
      <c r="X671" t="e">
        <f t="shared" si="108"/>
        <v>#N/A</v>
      </c>
      <c r="Y671" t="e">
        <f t="shared" si="109"/>
        <v>#N/A</v>
      </c>
    </row>
    <row r="672" spans="1:25" x14ac:dyDescent="0.2">
      <c r="A672">
        <v>1670</v>
      </c>
      <c r="B672" t="s">
        <v>33</v>
      </c>
      <c r="C672" t="s">
        <v>23</v>
      </c>
      <c r="D672">
        <v>2024</v>
      </c>
      <c r="E672" t="s">
        <v>16</v>
      </c>
      <c r="F672">
        <v>329</v>
      </c>
      <c r="G672">
        <v>4</v>
      </c>
      <c r="H672">
        <v>4</v>
      </c>
      <c r="I672">
        <v>1111000</v>
      </c>
      <c r="J672">
        <v>3376.9</v>
      </c>
      <c r="K672">
        <v>3</v>
      </c>
      <c r="L672" t="s">
        <v>20</v>
      </c>
      <c r="M672">
        <v>77</v>
      </c>
      <c r="N672" t="s">
        <v>27</v>
      </c>
      <c r="P672" t="e">
        <f t="shared" si="100"/>
        <v>#N/A</v>
      </c>
      <c r="Q672" t="e">
        <f t="shared" si="101"/>
        <v>#N/A</v>
      </c>
      <c r="R672" t="e">
        <f t="shared" si="102"/>
        <v>#N/A</v>
      </c>
      <c r="S672" t="e">
        <f t="shared" si="103"/>
        <v>#N/A</v>
      </c>
      <c r="T672">
        <f t="shared" si="104"/>
        <v>1111000</v>
      </c>
      <c r="U672">
        <f t="shared" si="105"/>
        <v>329</v>
      </c>
      <c r="V672" t="e">
        <f t="shared" si="106"/>
        <v>#N/A</v>
      </c>
      <c r="W672" t="e">
        <f t="shared" si="107"/>
        <v>#N/A</v>
      </c>
      <c r="X672" t="e">
        <f t="shared" si="108"/>
        <v>#N/A</v>
      </c>
      <c r="Y672" t="e">
        <f t="shared" si="109"/>
        <v>#N/A</v>
      </c>
    </row>
    <row r="673" spans="1:25" x14ac:dyDescent="0.2">
      <c r="A673">
        <v>1671</v>
      </c>
      <c r="B673" t="s">
        <v>42</v>
      </c>
      <c r="C673" t="s">
        <v>15</v>
      </c>
      <c r="D673">
        <v>2021</v>
      </c>
      <c r="E673" t="s">
        <v>26</v>
      </c>
      <c r="F673">
        <v>135</v>
      </c>
      <c r="G673">
        <v>3</v>
      </c>
      <c r="H673">
        <v>3</v>
      </c>
      <c r="I673">
        <v>538000</v>
      </c>
      <c r="J673">
        <v>3985.2</v>
      </c>
      <c r="K673">
        <v>0</v>
      </c>
      <c r="L673" t="s">
        <v>17</v>
      </c>
      <c r="M673">
        <v>73</v>
      </c>
      <c r="N673" t="s">
        <v>21</v>
      </c>
      <c r="P673" t="e">
        <f t="shared" si="100"/>
        <v>#N/A</v>
      </c>
      <c r="Q673" t="e">
        <f t="shared" si="101"/>
        <v>#N/A</v>
      </c>
      <c r="R673">
        <f t="shared" si="102"/>
        <v>538000</v>
      </c>
      <c r="S673">
        <f t="shared" si="103"/>
        <v>135</v>
      </c>
      <c r="T673" t="e">
        <f t="shared" si="104"/>
        <v>#N/A</v>
      </c>
      <c r="U673" t="e">
        <f t="shared" si="105"/>
        <v>#N/A</v>
      </c>
      <c r="V673" t="e">
        <f t="shared" si="106"/>
        <v>#N/A</v>
      </c>
      <c r="W673" t="e">
        <f t="shared" si="107"/>
        <v>#N/A</v>
      </c>
      <c r="X673" t="e">
        <f t="shared" si="108"/>
        <v>#N/A</v>
      </c>
      <c r="Y673" t="e">
        <f t="shared" si="109"/>
        <v>#N/A</v>
      </c>
    </row>
    <row r="674" spans="1:25" x14ac:dyDescent="0.2">
      <c r="A674">
        <v>1672</v>
      </c>
      <c r="B674" t="s">
        <v>31</v>
      </c>
      <c r="C674" t="s">
        <v>29</v>
      </c>
      <c r="D674">
        <v>2024</v>
      </c>
      <c r="E674" t="s">
        <v>24</v>
      </c>
      <c r="F674">
        <v>309</v>
      </c>
      <c r="G674">
        <v>6</v>
      </c>
      <c r="H674">
        <v>6</v>
      </c>
      <c r="I674">
        <v>1453000</v>
      </c>
      <c r="J674">
        <v>4702.3</v>
      </c>
      <c r="K674">
        <v>20</v>
      </c>
      <c r="L674" t="s">
        <v>17</v>
      </c>
      <c r="M674">
        <v>176</v>
      </c>
      <c r="N674" t="s">
        <v>21</v>
      </c>
      <c r="P674">
        <f t="shared" si="100"/>
        <v>1453000</v>
      </c>
      <c r="Q674">
        <f t="shared" si="101"/>
        <v>309</v>
      </c>
      <c r="R674" t="e">
        <f t="shared" si="102"/>
        <v>#N/A</v>
      </c>
      <c r="S674" t="e">
        <f t="shared" si="103"/>
        <v>#N/A</v>
      </c>
      <c r="T674" t="e">
        <f t="shared" si="104"/>
        <v>#N/A</v>
      </c>
      <c r="U674" t="e">
        <f t="shared" si="105"/>
        <v>#N/A</v>
      </c>
      <c r="V674" t="e">
        <f t="shared" si="106"/>
        <v>#N/A</v>
      </c>
      <c r="W674" t="e">
        <f t="shared" si="107"/>
        <v>#N/A</v>
      </c>
      <c r="X674" t="e">
        <f t="shared" si="108"/>
        <v>#N/A</v>
      </c>
      <c r="Y674" t="e">
        <f t="shared" si="109"/>
        <v>#N/A</v>
      </c>
    </row>
    <row r="675" spans="1:25" x14ac:dyDescent="0.2">
      <c r="A675">
        <v>1673</v>
      </c>
      <c r="B675" t="s">
        <v>22</v>
      </c>
      <c r="C675" t="s">
        <v>15</v>
      </c>
      <c r="D675">
        <v>2022</v>
      </c>
      <c r="E675" t="s">
        <v>26</v>
      </c>
      <c r="F675">
        <v>96</v>
      </c>
      <c r="G675">
        <v>4</v>
      </c>
      <c r="H675">
        <v>4</v>
      </c>
      <c r="I675">
        <v>332000</v>
      </c>
      <c r="J675">
        <v>3458.3</v>
      </c>
      <c r="K675">
        <v>1</v>
      </c>
      <c r="L675" t="s">
        <v>17</v>
      </c>
      <c r="M675">
        <v>135</v>
      </c>
      <c r="N675" t="s">
        <v>18</v>
      </c>
      <c r="P675" t="e">
        <f t="shared" si="100"/>
        <v>#N/A</v>
      </c>
      <c r="Q675" t="e">
        <f t="shared" si="101"/>
        <v>#N/A</v>
      </c>
      <c r="R675">
        <f t="shared" si="102"/>
        <v>332000</v>
      </c>
      <c r="S675">
        <f t="shared" si="103"/>
        <v>96</v>
      </c>
      <c r="T675" t="e">
        <f t="shared" si="104"/>
        <v>#N/A</v>
      </c>
      <c r="U675" t="e">
        <f t="shared" si="105"/>
        <v>#N/A</v>
      </c>
      <c r="V675" t="e">
        <f t="shared" si="106"/>
        <v>#N/A</v>
      </c>
      <c r="W675" t="e">
        <f t="shared" si="107"/>
        <v>#N/A</v>
      </c>
      <c r="X675" t="e">
        <f t="shared" si="108"/>
        <v>#N/A</v>
      </c>
      <c r="Y675" t="e">
        <f t="shared" si="109"/>
        <v>#N/A</v>
      </c>
    </row>
    <row r="676" spans="1:25" x14ac:dyDescent="0.2">
      <c r="A676">
        <v>1674</v>
      </c>
      <c r="B676" t="s">
        <v>31</v>
      </c>
      <c r="C676" t="s">
        <v>15</v>
      </c>
      <c r="D676">
        <v>2021</v>
      </c>
      <c r="E676" t="s">
        <v>26</v>
      </c>
      <c r="F676">
        <v>187</v>
      </c>
      <c r="G676">
        <v>2</v>
      </c>
      <c r="H676">
        <v>2</v>
      </c>
      <c r="I676">
        <v>483000</v>
      </c>
      <c r="J676">
        <v>2582.9</v>
      </c>
      <c r="K676">
        <v>2</v>
      </c>
      <c r="L676" t="s">
        <v>17</v>
      </c>
      <c r="M676">
        <v>22</v>
      </c>
      <c r="N676" t="s">
        <v>21</v>
      </c>
      <c r="P676" t="e">
        <f t="shared" si="100"/>
        <v>#N/A</v>
      </c>
      <c r="Q676" t="e">
        <f t="shared" si="101"/>
        <v>#N/A</v>
      </c>
      <c r="R676">
        <f t="shared" si="102"/>
        <v>483000</v>
      </c>
      <c r="S676">
        <f t="shared" si="103"/>
        <v>187</v>
      </c>
      <c r="T676" t="e">
        <f t="shared" si="104"/>
        <v>#N/A</v>
      </c>
      <c r="U676" t="e">
        <f t="shared" si="105"/>
        <v>#N/A</v>
      </c>
      <c r="V676" t="e">
        <f t="shared" si="106"/>
        <v>#N/A</v>
      </c>
      <c r="W676" t="e">
        <f t="shared" si="107"/>
        <v>#N/A</v>
      </c>
      <c r="X676" t="e">
        <f t="shared" si="108"/>
        <v>#N/A</v>
      </c>
      <c r="Y676" t="e">
        <f t="shared" si="109"/>
        <v>#N/A</v>
      </c>
    </row>
    <row r="677" spans="1:25" x14ac:dyDescent="0.2">
      <c r="A677">
        <v>1675</v>
      </c>
      <c r="B677" t="s">
        <v>44</v>
      </c>
      <c r="C677" t="s">
        <v>36</v>
      </c>
      <c r="D677">
        <v>2023</v>
      </c>
      <c r="E677" t="s">
        <v>24</v>
      </c>
      <c r="F677">
        <v>384</v>
      </c>
      <c r="G677">
        <v>3</v>
      </c>
      <c r="H677">
        <v>3</v>
      </c>
      <c r="I677">
        <v>984000</v>
      </c>
      <c r="J677">
        <v>2562.5</v>
      </c>
      <c r="K677">
        <v>10</v>
      </c>
      <c r="L677" t="s">
        <v>17</v>
      </c>
      <c r="M677">
        <v>169</v>
      </c>
      <c r="N677" t="s">
        <v>18</v>
      </c>
      <c r="P677" t="e">
        <f t="shared" si="100"/>
        <v>#N/A</v>
      </c>
      <c r="Q677" t="e">
        <f t="shared" si="101"/>
        <v>#N/A</v>
      </c>
      <c r="R677" t="e">
        <f t="shared" si="102"/>
        <v>#N/A</v>
      </c>
      <c r="S677" t="e">
        <f t="shared" si="103"/>
        <v>#N/A</v>
      </c>
      <c r="T677" t="e">
        <f t="shared" si="104"/>
        <v>#N/A</v>
      </c>
      <c r="U677" t="e">
        <f t="shared" si="105"/>
        <v>#N/A</v>
      </c>
      <c r="V677" t="e">
        <f t="shared" si="106"/>
        <v>#N/A</v>
      </c>
      <c r="W677" t="e">
        <f t="shared" si="107"/>
        <v>#N/A</v>
      </c>
      <c r="X677">
        <f t="shared" si="108"/>
        <v>984000</v>
      </c>
      <c r="Y677">
        <f t="shared" si="109"/>
        <v>384</v>
      </c>
    </row>
    <row r="678" spans="1:25" x14ac:dyDescent="0.2">
      <c r="A678">
        <v>1676</v>
      </c>
      <c r="B678" t="s">
        <v>44</v>
      </c>
      <c r="C678" t="s">
        <v>38</v>
      </c>
      <c r="D678">
        <v>2022</v>
      </c>
      <c r="E678" t="s">
        <v>16</v>
      </c>
      <c r="F678">
        <v>63</v>
      </c>
      <c r="G678">
        <v>0</v>
      </c>
      <c r="H678">
        <v>1</v>
      </c>
      <c r="I678">
        <v>237000</v>
      </c>
      <c r="J678">
        <v>3761.9</v>
      </c>
      <c r="K678">
        <v>2</v>
      </c>
      <c r="L678" t="s">
        <v>34</v>
      </c>
      <c r="M678">
        <v>76</v>
      </c>
      <c r="N678" t="s">
        <v>18</v>
      </c>
      <c r="P678" t="e">
        <f t="shared" si="100"/>
        <v>#N/A</v>
      </c>
      <c r="Q678" t="e">
        <f t="shared" si="101"/>
        <v>#N/A</v>
      </c>
      <c r="R678" t="e">
        <f t="shared" si="102"/>
        <v>#N/A</v>
      </c>
      <c r="S678" t="e">
        <f t="shared" si="103"/>
        <v>#N/A</v>
      </c>
      <c r="T678" t="e">
        <f t="shared" si="104"/>
        <v>#N/A</v>
      </c>
      <c r="U678" t="e">
        <f t="shared" si="105"/>
        <v>#N/A</v>
      </c>
      <c r="V678">
        <f t="shared" si="106"/>
        <v>237000</v>
      </c>
      <c r="W678">
        <f t="shared" si="107"/>
        <v>63</v>
      </c>
      <c r="X678" t="e">
        <f t="shared" si="108"/>
        <v>#N/A</v>
      </c>
      <c r="Y678" t="e">
        <f t="shared" si="109"/>
        <v>#N/A</v>
      </c>
    </row>
    <row r="679" spans="1:25" x14ac:dyDescent="0.2">
      <c r="A679">
        <v>1677</v>
      </c>
      <c r="B679" t="s">
        <v>33</v>
      </c>
      <c r="C679" t="s">
        <v>15</v>
      </c>
      <c r="D679">
        <v>2024</v>
      </c>
      <c r="E679" t="s">
        <v>24</v>
      </c>
      <c r="F679">
        <v>153</v>
      </c>
      <c r="G679">
        <v>4</v>
      </c>
      <c r="H679">
        <v>4</v>
      </c>
      <c r="I679">
        <v>470000</v>
      </c>
      <c r="J679">
        <v>3071.9</v>
      </c>
      <c r="K679">
        <v>4</v>
      </c>
      <c r="L679" t="s">
        <v>17</v>
      </c>
      <c r="M679">
        <v>81</v>
      </c>
      <c r="N679" t="s">
        <v>27</v>
      </c>
      <c r="P679" t="e">
        <f t="shared" si="100"/>
        <v>#N/A</v>
      </c>
      <c r="Q679" t="e">
        <f t="shared" si="101"/>
        <v>#N/A</v>
      </c>
      <c r="R679">
        <f t="shared" si="102"/>
        <v>470000</v>
      </c>
      <c r="S679">
        <f t="shared" si="103"/>
        <v>153</v>
      </c>
      <c r="T679" t="e">
        <f t="shared" si="104"/>
        <v>#N/A</v>
      </c>
      <c r="U679" t="e">
        <f t="shared" si="105"/>
        <v>#N/A</v>
      </c>
      <c r="V679" t="e">
        <f t="shared" si="106"/>
        <v>#N/A</v>
      </c>
      <c r="W679" t="e">
        <f t="shared" si="107"/>
        <v>#N/A</v>
      </c>
      <c r="X679" t="e">
        <f t="shared" si="108"/>
        <v>#N/A</v>
      </c>
      <c r="Y679" t="e">
        <f t="shared" si="109"/>
        <v>#N/A</v>
      </c>
    </row>
    <row r="680" spans="1:25" x14ac:dyDescent="0.2">
      <c r="A680">
        <v>1678</v>
      </c>
      <c r="B680" t="s">
        <v>48</v>
      </c>
      <c r="C680" t="s">
        <v>15</v>
      </c>
      <c r="D680">
        <v>2023</v>
      </c>
      <c r="E680" t="s">
        <v>30</v>
      </c>
      <c r="F680">
        <v>122</v>
      </c>
      <c r="G680">
        <v>4</v>
      </c>
      <c r="H680">
        <v>4</v>
      </c>
      <c r="I680">
        <v>380000</v>
      </c>
      <c r="J680">
        <v>3114.8</v>
      </c>
      <c r="K680">
        <v>2</v>
      </c>
      <c r="L680" t="s">
        <v>20</v>
      </c>
      <c r="M680">
        <v>121</v>
      </c>
      <c r="N680" t="s">
        <v>27</v>
      </c>
      <c r="P680" t="e">
        <f t="shared" si="100"/>
        <v>#N/A</v>
      </c>
      <c r="Q680" t="e">
        <f t="shared" si="101"/>
        <v>#N/A</v>
      </c>
      <c r="R680">
        <f t="shared" si="102"/>
        <v>380000</v>
      </c>
      <c r="S680">
        <f t="shared" si="103"/>
        <v>122</v>
      </c>
      <c r="T680" t="e">
        <f t="shared" si="104"/>
        <v>#N/A</v>
      </c>
      <c r="U680" t="e">
        <f t="shared" si="105"/>
        <v>#N/A</v>
      </c>
      <c r="V680" t="e">
        <f t="shared" si="106"/>
        <v>#N/A</v>
      </c>
      <c r="W680" t="e">
        <f t="shared" si="107"/>
        <v>#N/A</v>
      </c>
      <c r="X680" t="e">
        <f t="shared" si="108"/>
        <v>#N/A</v>
      </c>
      <c r="Y680" t="e">
        <f t="shared" si="109"/>
        <v>#N/A</v>
      </c>
    </row>
    <row r="681" spans="1:25" x14ac:dyDescent="0.2">
      <c r="A681">
        <v>1679</v>
      </c>
      <c r="B681" t="s">
        <v>48</v>
      </c>
      <c r="C681" t="s">
        <v>23</v>
      </c>
      <c r="D681">
        <v>2021</v>
      </c>
      <c r="E681" t="s">
        <v>16</v>
      </c>
      <c r="F681">
        <v>266</v>
      </c>
      <c r="G681">
        <v>4</v>
      </c>
      <c r="H681">
        <v>4</v>
      </c>
      <c r="I681">
        <v>798000</v>
      </c>
      <c r="J681">
        <v>3000</v>
      </c>
      <c r="K681">
        <v>5</v>
      </c>
      <c r="L681" t="s">
        <v>20</v>
      </c>
      <c r="M681">
        <v>112</v>
      </c>
      <c r="N681" t="s">
        <v>27</v>
      </c>
      <c r="P681" t="e">
        <f t="shared" si="100"/>
        <v>#N/A</v>
      </c>
      <c r="Q681" t="e">
        <f t="shared" si="101"/>
        <v>#N/A</v>
      </c>
      <c r="R681" t="e">
        <f t="shared" si="102"/>
        <v>#N/A</v>
      </c>
      <c r="S681" t="e">
        <f t="shared" si="103"/>
        <v>#N/A</v>
      </c>
      <c r="T681">
        <f t="shared" si="104"/>
        <v>798000</v>
      </c>
      <c r="U681">
        <f t="shared" si="105"/>
        <v>266</v>
      </c>
      <c r="V681" t="e">
        <f t="shared" si="106"/>
        <v>#N/A</v>
      </c>
      <c r="W681" t="e">
        <f t="shared" si="107"/>
        <v>#N/A</v>
      </c>
      <c r="X681" t="e">
        <f t="shared" si="108"/>
        <v>#N/A</v>
      </c>
      <c r="Y681" t="e">
        <f t="shared" si="109"/>
        <v>#N/A</v>
      </c>
    </row>
    <row r="682" spans="1:25" x14ac:dyDescent="0.2">
      <c r="A682">
        <v>1680</v>
      </c>
      <c r="B682" t="s">
        <v>33</v>
      </c>
      <c r="C682" t="s">
        <v>23</v>
      </c>
      <c r="D682">
        <v>2022</v>
      </c>
      <c r="E682" t="s">
        <v>26</v>
      </c>
      <c r="F682">
        <v>231</v>
      </c>
      <c r="G682">
        <v>3</v>
      </c>
      <c r="H682">
        <v>3</v>
      </c>
      <c r="I682">
        <v>710000</v>
      </c>
      <c r="J682">
        <v>3073.6</v>
      </c>
      <c r="K682">
        <v>2</v>
      </c>
      <c r="L682" t="s">
        <v>20</v>
      </c>
      <c r="M682">
        <v>150</v>
      </c>
      <c r="N682" t="s">
        <v>27</v>
      </c>
      <c r="P682" t="e">
        <f t="shared" si="100"/>
        <v>#N/A</v>
      </c>
      <c r="Q682" t="e">
        <f t="shared" si="101"/>
        <v>#N/A</v>
      </c>
      <c r="R682" t="e">
        <f t="shared" si="102"/>
        <v>#N/A</v>
      </c>
      <c r="S682" t="e">
        <f t="shared" si="103"/>
        <v>#N/A</v>
      </c>
      <c r="T682">
        <f t="shared" si="104"/>
        <v>710000</v>
      </c>
      <c r="U682">
        <f t="shared" si="105"/>
        <v>231</v>
      </c>
      <c r="V682" t="e">
        <f t="shared" si="106"/>
        <v>#N/A</v>
      </c>
      <c r="W682" t="e">
        <f t="shared" si="107"/>
        <v>#N/A</v>
      </c>
      <c r="X682" t="e">
        <f t="shared" si="108"/>
        <v>#N/A</v>
      </c>
      <c r="Y682" t="e">
        <f t="shared" si="109"/>
        <v>#N/A</v>
      </c>
    </row>
    <row r="683" spans="1:25" x14ac:dyDescent="0.2">
      <c r="A683">
        <v>1681</v>
      </c>
      <c r="B683" t="s">
        <v>33</v>
      </c>
      <c r="C683" t="s">
        <v>29</v>
      </c>
      <c r="D683">
        <v>2023</v>
      </c>
      <c r="E683" t="s">
        <v>26</v>
      </c>
      <c r="F683">
        <v>332</v>
      </c>
      <c r="G683">
        <v>4</v>
      </c>
      <c r="H683">
        <v>4</v>
      </c>
      <c r="I683">
        <v>1377000</v>
      </c>
      <c r="J683">
        <v>4147.6000000000004</v>
      </c>
      <c r="K683">
        <v>3</v>
      </c>
      <c r="L683" t="s">
        <v>17</v>
      </c>
      <c r="M683">
        <v>155</v>
      </c>
      <c r="N683" t="s">
        <v>27</v>
      </c>
      <c r="P683">
        <f t="shared" si="100"/>
        <v>1377000</v>
      </c>
      <c r="Q683">
        <f t="shared" si="101"/>
        <v>332</v>
      </c>
      <c r="R683" t="e">
        <f t="shared" si="102"/>
        <v>#N/A</v>
      </c>
      <c r="S683" t="e">
        <f t="shared" si="103"/>
        <v>#N/A</v>
      </c>
      <c r="T683" t="e">
        <f t="shared" si="104"/>
        <v>#N/A</v>
      </c>
      <c r="U683" t="e">
        <f t="shared" si="105"/>
        <v>#N/A</v>
      </c>
      <c r="V683" t="e">
        <f t="shared" si="106"/>
        <v>#N/A</v>
      </c>
      <c r="W683" t="e">
        <f t="shared" si="107"/>
        <v>#N/A</v>
      </c>
      <c r="X683" t="e">
        <f t="shared" si="108"/>
        <v>#N/A</v>
      </c>
      <c r="Y683" t="e">
        <f t="shared" si="109"/>
        <v>#N/A</v>
      </c>
    </row>
    <row r="684" spans="1:25" x14ac:dyDescent="0.2">
      <c r="A684">
        <v>1682</v>
      </c>
      <c r="B684" t="s">
        <v>32</v>
      </c>
      <c r="C684" t="s">
        <v>15</v>
      </c>
      <c r="D684">
        <v>2021</v>
      </c>
      <c r="E684" t="s">
        <v>30</v>
      </c>
      <c r="F684">
        <v>173</v>
      </c>
      <c r="G684">
        <v>2</v>
      </c>
      <c r="H684">
        <v>2</v>
      </c>
      <c r="I684">
        <v>451000</v>
      </c>
      <c r="J684">
        <v>2606.9</v>
      </c>
      <c r="K684">
        <v>1</v>
      </c>
      <c r="L684" t="s">
        <v>34</v>
      </c>
      <c r="M684">
        <v>28</v>
      </c>
      <c r="N684" t="s">
        <v>18</v>
      </c>
      <c r="P684" t="e">
        <f t="shared" si="100"/>
        <v>#N/A</v>
      </c>
      <c r="Q684" t="e">
        <f t="shared" si="101"/>
        <v>#N/A</v>
      </c>
      <c r="R684">
        <f t="shared" si="102"/>
        <v>451000</v>
      </c>
      <c r="S684">
        <f t="shared" si="103"/>
        <v>173</v>
      </c>
      <c r="T684" t="e">
        <f t="shared" si="104"/>
        <v>#N/A</v>
      </c>
      <c r="U684" t="e">
        <f t="shared" si="105"/>
        <v>#N/A</v>
      </c>
      <c r="V684" t="e">
        <f t="shared" si="106"/>
        <v>#N/A</v>
      </c>
      <c r="W684" t="e">
        <f t="shared" si="107"/>
        <v>#N/A</v>
      </c>
      <c r="X684" t="e">
        <f t="shared" si="108"/>
        <v>#N/A</v>
      </c>
      <c r="Y684" t="e">
        <f t="shared" si="109"/>
        <v>#N/A</v>
      </c>
    </row>
    <row r="685" spans="1:25" x14ac:dyDescent="0.2">
      <c r="A685">
        <v>1683</v>
      </c>
      <c r="B685" t="s">
        <v>42</v>
      </c>
      <c r="C685" t="s">
        <v>23</v>
      </c>
      <c r="D685">
        <v>2021</v>
      </c>
      <c r="E685" t="s">
        <v>24</v>
      </c>
      <c r="F685">
        <v>201</v>
      </c>
      <c r="G685">
        <v>3</v>
      </c>
      <c r="H685">
        <v>3</v>
      </c>
      <c r="I685">
        <v>907000</v>
      </c>
      <c r="J685">
        <v>4512.3999999999996</v>
      </c>
      <c r="K685">
        <v>3</v>
      </c>
      <c r="L685" t="s">
        <v>17</v>
      </c>
      <c r="M685">
        <v>75</v>
      </c>
      <c r="N685" t="s">
        <v>21</v>
      </c>
      <c r="P685" t="e">
        <f t="shared" si="100"/>
        <v>#N/A</v>
      </c>
      <c r="Q685" t="e">
        <f t="shared" si="101"/>
        <v>#N/A</v>
      </c>
      <c r="R685" t="e">
        <f t="shared" si="102"/>
        <v>#N/A</v>
      </c>
      <c r="S685" t="e">
        <f t="shared" si="103"/>
        <v>#N/A</v>
      </c>
      <c r="T685">
        <f t="shared" si="104"/>
        <v>907000</v>
      </c>
      <c r="U685">
        <f t="shared" si="105"/>
        <v>201</v>
      </c>
      <c r="V685" t="e">
        <f t="shared" si="106"/>
        <v>#N/A</v>
      </c>
      <c r="W685" t="e">
        <f t="shared" si="107"/>
        <v>#N/A</v>
      </c>
      <c r="X685" t="e">
        <f t="shared" si="108"/>
        <v>#N/A</v>
      </c>
      <c r="Y685" t="e">
        <f t="shared" si="109"/>
        <v>#N/A</v>
      </c>
    </row>
    <row r="686" spans="1:25" x14ac:dyDescent="0.2">
      <c r="A686">
        <v>1684</v>
      </c>
      <c r="B686" t="s">
        <v>32</v>
      </c>
      <c r="C686" t="s">
        <v>15</v>
      </c>
      <c r="D686">
        <v>2021</v>
      </c>
      <c r="E686" t="s">
        <v>30</v>
      </c>
      <c r="F686">
        <v>116</v>
      </c>
      <c r="G686">
        <v>3</v>
      </c>
      <c r="H686">
        <v>3</v>
      </c>
      <c r="I686">
        <v>277000</v>
      </c>
      <c r="J686">
        <v>2387.9</v>
      </c>
      <c r="K686">
        <v>4</v>
      </c>
      <c r="L686" t="s">
        <v>17</v>
      </c>
      <c r="M686">
        <v>171</v>
      </c>
      <c r="N686" t="s">
        <v>18</v>
      </c>
      <c r="P686" t="e">
        <f t="shared" si="100"/>
        <v>#N/A</v>
      </c>
      <c r="Q686" t="e">
        <f t="shared" si="101"/>
        <v>#N/A</v>
      </c>
      <c r="R686">
        <f t="shared" si="102"/>
        <v>277000</v>
      </c>
      <c r="S686">
        <f t="shared" si="103"/>
        <v>116</v>
      </c>
      <c r="T686" t="e">
        <f t="shared" si="104"/>
        <v>#N/A</v>
      </c>
      <c r="U686" t="e">
        <f t="shared" si="105"/>
        <v>#N/A</v>
      </c>
      <c r="V686" t="e">
        <f t="shared" si="106"/>
        <v>#N/A</v>
      </c>
      <c r="W686" t="e">
        <f t="shared" si="107"/>
        <v>#N/A</v>
      </c>
      <c r="X686" t="e">
        <f t="shared" si="108"/>
        <v>#N/A</v>
      </c>
      <c r="Y686" t="e">
        <f t="shared" si="109"/>
        <v>#N/A</v>
      </c>
    </row>
    <row r="687" spans="1:25" x14ac:dyDescent="0.2">
      <c r="A687">
        <v>1685</v>
      </c>
      <c r="B687" t="s">
        <v>35</v>
      </c>
      <c r="C687" t="s">
        <v>15</v>
      </c>
      <c r="D687">
        <v>2024</v>
      </c>
      <c r="E687" t="s">
        <v>26</v>
      </c>
      <c r="F687">
        <v>138</v>
      </c>
      <c r="G687">
        <v>2</v>
      </c>
      <c r="H687">
        <v>2</v>
      </c>
      <c r="I687">
        <v>551000</v>
      </c>
      <c r="J687">
        <v>3992.8</v>
      </c>
      <c r="K687">
        <v>7</v>
      </c>
      <c r="L687" t="s">
        <v>34</v>
      </c>
      <c r="M687">
        <v>4</v>
      </c>
      <c r="N687" t="s">
        <v>18</v>
      </c>
      <c r="P687" t="e">
        <f t="shared" si="100"/>
        <v>#N/A</v>
      </c>
      <c r="Q687" t="e">
        <f t="shared" si="101"/>
        <v>#N/A</v>
      </c>
      <c r="R687">
        <f t="shared" si="102"/>
        <v>551000</v>
      </c>
      <c r="S687">
        <f t="shared" si="103"/>
        <v>138</v>
      </c>
      <c r="T687" t="e">
        <f t="shared" si="104"/>
        <v>#N/A</v>
      </c>
      <c r="U687" t="e">
        <f t="shared" si="105"/>
        <v>#N/A</v>
      </c>
      <c r="V687" t="e">
        <f t="shared" si="106"/>
        <v>#N/A</v>
      </c>
      <c r="W687" t="e">
        <f t="shared" si="107"/>
        <v>#N/A</v>
      </c>
      <c r="X687" t="e">
        <f t="shared" si="108"/>
        <v>#N/A</v>
      </c>
      <c r="Y687" t="e">
        <f t="shared" si="109"/>
        <v>#N/A</v>
      </c>
    </row>
    <row r="688" spans="1:25" x14ac:dyDescent="0.2">
      <c r="A688">
        <v>1686</v>
      </c>
      <c r="B688" t="s">
        <v>31</v>
      </c>
      <c r="C688" t="s">
        <v>36</v>
      </c>
      <c r="D688">
        <v>2021</v>
      </c>
      <c r="E688" t="s">
        <v>16</v>
      </c>
      <c r="F688">
        <v>356</v>
      </c>
      <c r="G688">
        <v>4</v>
      </c>
      <c r="H688">
        <v>4</v>
      </c>
      <c r="I688">
        <v>697000</v>
      </c>
      <c r="J688">
        <v>1957.9</v>
      </c>
      <c r="K688">
        <v>0</v>
      </c>
      <c r="L688" t="s">
        <v>17</v>
      </c>
      <c r="M688">
        <v>37</v>
      </c>
      <c r="N688" t="s">
        <v>21</v>
      </c>
      <c r="P688" t="e">
        <f t="shared" si="100"/>
        <v>#N/A</v>
      </c>
      <c r="Q688" t="e">
        <f t="shared" si="101"/>
        <v>#N/A</v>
      </c>
      <c r="R688" t="e">
        <f t="shared" si="102"/>
        <v>#N/A</v>
      </c>
      <c r="S688" t="e">
        <f t="shared" si="103"/>
        <v>#N/A</v>
      </c>
      <c r="T688" t="e">
        <f t="shared" si="104"/>
        <v>#N/A</v>
      </c>
      <c r="U688" t="e">
        <f t="shared" si="105"/>
        <v>#N/A</v>
      </c>
      <c r="V688" t="e">
        <f t="shared" si="106"/>
        <v>#N/A</v>
      </c>
      <c r="W688" t="e">
        <f t="shared" si="107"/>
        <v>#N/A</v>
      </c>
      <c r="X688">
        <f t="shared" si="108"/>
        <v>697000</v>
      </c>
      <c r="Y688">
        <f t="shared" si="109"/>
        <v>356</v>
      </c>
    </row>
    <row r="689" spans="1:25" x14ac:dyDescent="0.2">
      <c r="A689">
        <v>1687</v>
      </c>
      <c r="B689" t="s">
        <v>45</v>
      </c>
      <c r="C689" t="s">
        <v>15</v>
      </c>
      <c r="D689">
        <v>2022</v>
      </c>
      <c r="E689" t="s">
        <v>16</v>
      </c>
      <c r="F689">
        <v>105</v>
      </c>
      <c r="G689">
        <v>4</v>
      </c>
      <c r="H689">
        <v>4</v>
      </c>
      <c r="I689">
        <v>376000</v>
      </c>
      <c r="J689">
        <v>3581</v>
      </c>
      <c r="K689">
        <v>10</v>
      </c>
      <c r="L689" t="s">
        <v>34</v>
      </c>
      <c r="M689">
        <v>112</v>
      </c>
      <c r="N689" t="s">
        <v>21</v>
      </c>
      <c r="P689" t="e">
        <f t="shared" si="100"/>
        <v>#N/A</v>
      </c>
      <c r="Q689" t="e">
        <f t="shared" si="101"/>
        <v>#N/A</v>
      </c>
      <c r="R689">
        <f t="shared" si="102"/>
        <v>376000</v>
      </c>
      <c r="S689">
        <f t="shared" si="103"/>
        <v>105</v>
      </c>
      <c r="T689" t="e">
        <f t="shared" si="104"/>
        <v>#N/A</v>
      </c>
      <c r="U689" t="e">
        <f t="shared" si="105"/>
        <v>#N/A</v>
      </c>
      <c r="V689" t="e">
        <f t="shared" si="106"/>
        <v>#N/A</v>
      </c>
      <c r="W689" t="e">
        <f t="shared" si="107"/>
        <v>#N/A</v>
      </c>
      <c r="X689" t="e">
        <f t="shared" si="108"/>
        <v>#N/A</v>
      </c>
      <c r="Y689" t="e">
        <f t="shared" si="109"/>
        <v>#N/A</v>
      </c>
    </row>
    <row r="690" spans="1:25" x14ac:dyDescent="0.2">
      <c r="A690">
        <v>1688</v>
      </c>
      <c r="B690" t="s">
        <v>22</v>
      </c>
      <c r="C690" t="s">
        <v>15</v>
      </c>
      <c r="D690">
        <v>2024</v>
      </c>
      <c r="E690" t="s">
        <v>24</v>
      </c>
      <c r="F690">
        <v>97</v>
      </c>
      <c r="G690">
        <v>3</v>
      </c>
      <c r="H690">
        <v>3</v>
      </c>
      <c r="I690">
        <v>412000</v>
      </c>
      <c r="J690">
        <v>4247.3999999999996</v>
      </c>
      <c r="K690">
        <v>1</v>
      </c>
      <c r="L690" t="s">
        <v>34</v>
      </c>
      <c r="M690">
        <v>51</v>
      </c>
      <c r="N690" t="s">
        <v>18</v>
      </c>
      <c r="P690" t="e">
        <f t="shared" si="100"/>
        <v>#N/A</v>
      </c>
      <c r="Q690" t="e">
        <f t="shared" si="101"/>
        <v>#N/A</v>
      </c>
      <c r="R690">
        <f t="shared" si="102"/>
        <v>412000</v>
      </c>
      <c r="S690">
        <f t="shared" si="103"/>
        <v>97</v>
      </c>
      <c r="T690" t="e">
        <f t="shared" si="104"/>
        <v>#N/A</v>
      </c>
      <c r="U690" t="e">
        <f t="shared" si="105"/>
        <v>#N/A</v>
      </c>
      <c r="V690" t="e">
        <f t="shared" si="106"/>
        <v>#N/A</v>
      </c>
      <c r="W690" t="e">
        <f t="shared" si="107"/>
        <v>#N/A</v>
      </c>
      <c r="X690" t="e">
        <f t="shared" si="108"/>
        <v>#N/A</v>
      </c>
      <c r="Y690" t="e">
        <f t="shared" si="109"/>
        <v>#N/A</v>
      </c>
    </row>
    <row r="691" spans="1:25" x14ac:dyDescent="0.2">
      <c r="A691">
        <v>1689</v>
      </c>
      <c r="B691" t="s">
        <v>22</v>
      </c>
      <c r="C691" t="s">
        <v>23</v>
      </c>
      <c r="D691">
        <v>2021</v>
      </c>
      <c r="E691" t="s">
        <v>24</v>
      </c>
      <c r="F691">
        <v>302</v>
      </c>
      <c r="G691">
        <v>5</v>
      </c>
      <c r="H691">
        <v>5</v>
      </c>
      <c r="I691">
        <v>1124000</v>
      </c>
      <c r="J691">
        <v>3721.9</v>
      </c>
      <c r="K691">
        <v>10</v>
      </c>
      <c r="L691" t="s">
        <v>34</v>
      </c>
      <c r="M691">
        <v>159</v>
      </c>
      <c r="N691" t="s">
        <v>18</v>
      </c>
      <c r="P691" t="e">
        <f t="shared" si="100"/>
        <v>#N/A</v>
      </c>
      <c r="Q691" t="e">
        <f t="shared" si="101"/>
        <v>#N/A</v>
      </c>
      <c r="R691" t="e">
        <f t="shared" si="102"/>
        <v>#N/A</v>
      </c>
      <c r="S691" t="e">
        <f t="shared" si="103"/>
        <v>#N/A</v>
      </c>
      <c r="T691">
        <f t="shared" si="104"/>
        <v>1124000</v>
      </c>
      <c r="U691">
        <f t="shared" si="105"/>
        <v>302</v>
      </c>
      <c r="V691" t="e">
        <f t="shared" si="106"/>
        <v>#N/A</v>
      </c>
      <c r="W691" t="e">
        <f t="shared" si="107"/>
        <v>#N/A</v>
      </c>
      <c r="X691" t="e">
        <f t="shared" si="108"/>
        <v>#N/A</v>
      </c>
      <c r="Y691" t="e">
        <f t="shared" si="109"/>
        <v>#N/A</v>
      </c>
    </row>
    <row r="692" spans="1:25" x14ac:dyDescent="0.2">
      <c r="A692">
        <v>1690</v>
      </c>
      <c r="B692" t="s">
        <v>40</v>
      </c>
      <c r="C692" t="s">
        <v>29</v>
      </c>
      <c r="D692">
        <v>2023</v>
      </c>
      <c r="E692" t="s">
        <v>24</v>
      </c>
      <c r="F692">
        <v>438</v>
      </c>
      <c r="G692">
        <v>5</v>
      </c>
      <c r="H692">
        <v>5</v>
      </c>
      <c r="I692">
        <v>2197000</v>
      </c>
      <c r="J692">
        <v>5016</v>
      </c>
      <c r="K692">
        <v>7</v>
      </c>
      <c r="L692" t="s">
        <v>17</v>
      </c>
      <c r="M692">
        <v>38</v>
      </c>
      <c r="N692" t="s">
        <v>18</v>
      </c>
      <c r="P692">
        <f t="shared" si="100"/>
        <v>2197000</v>
      </c>
      <c r="Q692">
        <f t="shared" si="101"/>
        <v>438</v>
      </c>
      <c r="R692" t="e">
        <f t="shared" si="102"/>
        <v>#N/A</v>
      </c>
      <c r="S692" t="e">
        <f t="shared" si="103"/>
        <v>#N/A</v>
      </c>
      <c r="T692" t="e">
        <f t="shared" si="104"/>
        <v>#N/A</v>
      </c>
      <c r="U692" t="e">
        <f t="shared" si="105"/>
        <v>#N/A</v>
      </c>
      <c r="V692" t="e">
        <f t="shared" si="106"/>
        <v>#N/A</v>
      </c>
      <c r="W692" t="e">
        <f t="shared" si="107"/>
        <v>#N/A</v>
      </c>
      <c r="X692" t="e">
        <f t="shared" si="108"/>
        <v>#N/A</v>
      </c>
      <c r="Y692" t="e">
        <f t="shared" si="109"/>
        <v>#N/A</v>
      </c>
    </row>
    <row r="693" spans="1:25" x14ac:dyDescent="0.2">
      <c r="A693">
        <v>1691</v>
      </c>
      <c r="B693" t="s">
        <v>25</v>
      </c>
      <c r="C693" t="s">
        <v>15</v>
      </c>
      <c r="D693">
        <v>2022</v>
      </c>
      <c r="E693" t="s">
        <v>30</v>
      </c>
      <c r="F693">
        <v>186</v>
      </c>
      <c r="G693">
        <v>4</v>
      </c>
      <c r="H693">
        <v>4</v>
      </c>
      <c r="I693">
        <v>464000</v>
      </c>
      <c r="J693">
        <v>2494.6</v>
      </c>
      <c r="K693">
        <v>1</v>
      </c>
      <c r="L693" t="s">
        <v>17</v>
      </c>
      <c r="M693">
        <v>126</v>
      </c>
      <c r="N693" t="s">
        <v>27</v>
      </c>
      <c r="P693" t="e">
        <f t="shared" si="100"/>
        <v>#N/A</v>
      </c>
      <c r="Q693" t="e">
        <f t="shared" si="101"/>
        <v>#N/A</v>
      </c>
      <c r="R693">
        <f t="shared" si="102"/>
        <v>464000</v>
      </c>
      <c r="S693">
        <f t="shared" si="103"/>
        <v>186</v>
      </c>
      <c r="T693" t="e">
        <f t="shared" si="104"/>
        <v>#N/A</v>
      </c>
      <c r="U693" t="e">
        <f t="shared" si="105"/>
        <v>#N/A</v>
      </c>
      <c r="V693" t="e">
        <f t="shared" si="106"/>
        <v>#N/A</v>
      </c>
      <c r="W693" t="e">
        <f t="shared" si="107"/>
        <v>#N/A</v>
      </c>
      <c r="X693" t="e">
        <f t="shared" si="108"/>
        <v>#N/A</v>
      </c>
      <c r="Y693" t="e">
        <f t="shared" si="109"/>
        <v>#N/A</v>
      </c>
    </row>
    <row r="694" spans="1:25" x14ac:dyDescent="0.2">
      <c r="A694">
        <v>1692</v>
      </c>
      <c r="B694" t="s">
        <v>43</v>
      </c>
      <c r="C694" t="s">
        <v>23</v>
      </c>
      <c r="D694">
        <v>2021</v>
      </c>
      <c r="E694" t="s">
        <v>30</v>
      </c>
      <c r="F694">
        <v>286</v>
      </c>
      <c r="G694">
        <v>5</v>
      </c>
      <c r="H694">
        <v>5</v>
      </c>
      <c r="I694">
        <v>1326000</v>
      </c>
      <c r="J694">
        <v>4636.3999999999996</v>
      </c>
      <c r="K694">
        <v>20</v>
      </c>
      <c r="L694" t="s">
        <v>17</v>
      </c>
      <c r="M694">
        <v>109</v>
      </c>
      <c r="N694" t="s">
        <v>27</v>
      </c>
      <c r="P694" t="e">
        <f t="shared" si="100"/>
        <v>#N/A</v>
      </c>
      <c r="Q694" t="e">
        <f t="shared" si="101"/>
        <v>#N/A</v>
      </c>
      <c r="R694" t="e">
        <f t="shared" si="102"/>
        <v>#N/A</v>
      </c>
      <c r="S694" t="e">
        <f t="shared" si="103"/>
        <v>#N/A</v>
      </c>
      <c r="T694">
        <f t="shared" si="104"/>
        <v>1326000</v>
      </c>
      <c r="U694">
        <f t="shared" si="105"/>
        <v>286</v>
      </c>
      <c r="V694" t="e">
        <f t="shared" si="106"/>
        <v>#N/A</v>
      </c>
      <c r="W694" t="e">
        <f t="shared" si="107"/>
        <v>#N/A</v>
      </c>
      <c r="X694" t="e">
        <f t="shared" si="108"/>
        <v>#N/A</v>
      </c>
      <c r="Y694" t="e">
        <f t="shared" si="109"/>
        <v>#N/A</v>
      </c>
    </row>
    <row r="695" spans="1:25" x14ac:dyDescent="0.2">
      <c r="A695">
        <v>1693</v>
      </c>
      <c r="B695" t="s">
        <v>47</v>
      </c>
      <c r="C695" t="s">
        <v>15</v>
      </c>
      <c r="D695">
        <v>2021</v>
      </c>
      <c r="E695" t="s">
        <v>30</v>
      </c>
      <c r="F695">
        <v>161</v>
      </c>
      <c r="G695">
        <v>4</v>
      </c>
      <c r="H695">
        <v>4</v>
      </c>
      <c r="I695">
        <v>460000</v>
      </c>
      <c r="J695">
        <v>2857.1</v>
      </c>
      <c r="K695">
        <v>0</v>
      </c>
      <c r="L695" t="s">
        <v>17</v>
      </c>
      <c r="M695">
        <v>137</v>
      </c>
      <c r="N695" t="s">
        <v>21</v>
      </c>
      <c r="P695" t="e">
        <f t="shared" si="100"/>
        <v>#N/A</v>
      </c>
      <c r="Q695" t="e">
        <f t="shared" si="101"/>
        <v>#N/A</v>
      </c>
      <c r="R695">
        <f t="shared" si="102"/>
        <v>460000</v>
      </c>
      <c r="S695">
        <f t="shared" si="103"/>
        <v>161</v>
      </c>
      <c r="T695" t="e">
        <f t="shared" si="104"/>
        <v>#N/A</v>
      </c>
      <c r="U695" t="e">
        <f t="shared" si="105"/>
        <v>#N/A</v>
      </c>
      <c r="V695" t="e">
        <f t="shared" si="106"/>
        <v>#N/A</v>
      </c>
      <c r="W695" t="e">
        <f t="shared" si="107"/>
        <v>#N/A</v>
      </c>
      <c r="X695" t="e">
        <f t="shared" si="108"/>
        <v>#N/A</v>
      </c>
      <c r="Y695" t="e">
        <f t="shared" si="109"/>
        <v>#N/A</v>
      </c>
    </row>
    <row r="696" spans="1:25" x14ac:dyDescent="0.2">
      <c r="A696">
        <v>1694</v>
      </c>
      <c r="B696" t="s">
        <v>28</v>
      </c>
      <c r="C696" t="s">
        <v>15</v>
      </c>
      <c r="D696">
        <v>2023</v>
      </c>
      <c r="E696" t="s">
        <v>16</v>
      </c>
      <c r="F696">
        <v>124</v>
      </c>
      <c r="G696">
        <v>3</v>
      </c>
      <c r="H696">
        <v>3</v>
      </c>
      <c r="I696">
        <v>385000</v>
      </c>
      <c r="J696">
        <v>3104.8</v>
      </c>
      <c r="K696">
        <v>2</v>
      </c>
      <c r="L696" t="s">
        <v>34</v>
      </c>
      <c r="M696">
        <v>128</v>
      </c>
      <c r="N696" t="s">
        <v>27</v>
      </c>
      <c r="P696" t="e">
        <f t="shared" si="100"/>
        <v>#N/A</v>
      </c>
      <c r="Q696" t="e">
        <f t="shared" si="101"/>
        <v>#N/A</v>
      </c>
      <c r="R696">
        <f t="shared" si="102"/>
        <v>385000</v>
      </c>
      <c r="S696">
        <f t="shared" si="103"/>
        <v>124</v>
      </c>
      <c r="T696" t="e">
        <f t="shared" si="104"/>
        <v>#N/A</v>
      </c>
      <c r="U696" t="e">
        <f t="shared" si="105"/>
        <v>#N/A</v>
      </c>
      <c r="V696" t="e">
        <f t="shared" si="106"/>
        <v>#N/A</v>
      </c>
      <c r="W696" t="e">
        <f t="shared" si="107"/>
        <v>#N/A</v>
      </c>
      <c r="X696" t="e">
        <f t="shared" si="108"/>
        <v>#N/A</v>
      </c>
      <c r="Y696" t="e">
        <f t="shared" si="109"/>
        <v>#N/A</v>
      </c>
    </row>
    <row r="697" spans="1:25" x14ac:dyDescent="0.2">
      <c r="A697">
        <v>1695</v>
      </c>
      <c r="B697" t="s">
        <v>40</v>
      </c>
      <c r="C697" t="s">
        <v>15</v>
      </c>
      <c r="D697">
        <v>2024</v>
      </c>
      <c r="E697" t="s">
        <v>30</v>
      </c>
      <c r="F697">
        <v>125</v>
      </c>
      <c r="G697">
        <v>3</v>
      </c>
      <c r="H697">
        <v>3</v>
      </c>
      <c r="I697">
        <v>465000</v>
      </c>
      <c r="J697">
        <v>3720</v>
      </c>
      <c r="K697">
        <v>1</v>
      </c>
      <c r="L697" t="s">
        <v>17</v>
      </c>
      <c r="M697">
        <v>121</v>
      </c>
      <c r="N697" t="s">
        <v>18</v>
      </c>
      <c r="P697" t="e">
        <f t="shared" si="100"/>
        <v>#N/A</v>
      </c>
      <c r="Q697" t="e">
        <f t="shared" si="101"/>
        <v>#N/A</v>
      </c>
      <c r="R697">
        <f t="shared" si="102"/>
        <v>465000</v>
      </c>
      <c r="S697">
        <f t="shared" si="103"/>
        <v>125</v>
      </c>
      <c r="T697" t="e">
        <f t="shared" si="104"/>
        <v>#N/A</v>
      </c>
      <c r="U697" t="e">
        <f t="shared" si="105"/>
        <v>#N/A</v>
      </c>
      <c r="V697" t="e">
        <f t="shared" si="106"/>
        <v>#N/A</v>
      </c>
      <c r="W697" t="e">
        <f t="shared" si="107"/>
        <v>#N/A</v>
      </c>
      <c r="X697" t="e">
        <f t="shared" si="108"/>
        <v>#N/A</v>
      </c>
      <c r="Y697" t="e">
        <f t="shared" si="109"/>
        <v>#N/A</v>
      </c>
    </row>
    <row r="698" spans="1:25" x14ac:dyDescent="0.2">
      <c r="A698">
        <v>1696</v>
      </c>
      <c r="B698" t="s">
        <v>25</v>
      </c>
      <c r="C698" t="s">
        <v>29</v>
      </c>
      <c r="D698">
        <v>2021</v>
      </c>
      <c r="E698" t="s">
        <v>16</v>
      </c>
      <c r="F698">
        <v>320</v>
      </c>
      <c r="G698">
        <v>5</v>
      </c>
      <c r="H698">
        <v>5</v>
      </c>
      <c r="I698">
        <v>1149000</v>
      </c>
      <c r="J698">
        <v>3590.6</v>
      </c>
      <c r="K698">
        <v>15</v>
      </c>
      <c r="L698" t="s">
        <v>34</v>
      </c>
      <c r="M698">
        <v>132</v>
      </c>
      <c r="N698" t="s">
        <v>27</v>
      </c>
      <c r="P698">
        <f t="shared" si="100"/>
        <v>1149000</v>
      </c>
      <c r="Q698">
        <f t="shared" si="101"/>
        <v>320</v>
      </c>
      <c r="R698" t="e">
        <f t="shared" si="102"/>
        <v>#N/A</v>
      </c>
      <c r="S698" t="e">
        <f t="shared" si="103"/>
        <v>#N/A</v>
      </c>
      <c r="T698" t="e">
        <f t="shared" si="104"/>
        <v>#N/A</v>
      </c>
      <c r="U698" t="e">
        <f t="shared" si="105"/>
        <v>#N/A</v>
      </c>
      <c r="V698" t="e">
        <f t="shared" si="106"/>
        <v>#N/A</v>
      </c>
      <c r="W698" t="e">
        <f t="shared" si="107"/>
        <v>#N/A</v>
      </c>
      <c r="X698" t="e">
        <f t="shared" si="108"/>
        <v>#N/A</v>
      </c>
      <c r="Y698" t="e">
        <f t="shared" si="109"/>
        <v>#N/A</v>
      </c>
    </row>
    <row r="699" spans="1:25" x14ac:dyDescent="0.2">
      <c r="A699">
        <v>1697</v>
      </c>
      <c r="B699" t="s">
        <v>35</v>
      </c>
      <c r="C699" t="s">
        <v>15</v>
      </c>
      <c r="D699">
        <v>2021</v>
      </c>
      <c r="E699" t="s">
        <v>24</v>
      </c>
      <c r="F699">
        <v>124</v>
      </c>
      <c r="G699">
        <v>4</v>
      </c>
      <c r="H699">
        <v>4</v>
      </c>
      <c r="I699">
        <v>374000</v>
      </c>
      <c r="J699">
        <v>3016.1</v>
      </c>
      <c r="K699">
        <v>7</v>
      </c>
      <c r="L699" t="s">
        <v>17</v>
      </c>
      <c r="M699">
        <v>154</v>
      </c>
      <c r="N699" t="s">
        <v>18</v>
      </c>
      <c r="P699" t="e">
        <f t="shared" si="100"/>
        <v>#N/A</v>
      </c>
      <c r="Q699" t="e">
        <f t="shared" si="101"/>
        <v>#N/A</v>
      </c>
      <c r="R699">
        <f t="shared" si="102"/>
        <v>374000</v>
      </c>
      <c r="S699">
        <f t="shared" si="103"/>
        <v>124</v>
      </c>
      <c r="T699" t="e">
        <f t="shared" si="104"/>
        <v>#N/A</v>
      </c>
      <c r="U699" t="e">
        <f t="shared" si="105"/>
        <v>#N/A</v>
      </c>
      <c r="V699" t="e">
        <f t="shared" si="106"/>
        <v>#N/A</v>
      </c>
      <c r="W699" t="e">
        <f t="shared" si="107"/>
        <v>#N/A</v>
      </c>
      <c r="X699" t="e">
        <f t="shared" si="108"/>
        <v>#N/A</v>
      </c>
      <c r="Y699" t="e">
        <f t="shared" si="109"/>
        <v>#N/A</v>
      </c>
    </row>
    <row r="700" spans="1:25" x14ac:dyDescent="0.2">
      <c r="A700">
        <v>1698</v>
      </c>
      <c r="B700" t="s">
        <v>32</v>
      </c>
      <c r="C700" t="s">
        <v>29</v>
      </c>
      <c r="D700">
        <v>2024</v>
      </c>
      <c r="E700" t="s">
        <v>24</v>
      </c>
      <c r="F700">
        <v>396</v>
      </c>
      <c r="G700">
        <v>6</v>
      </c>
      <c r="H700">
        <v>6</v>
      </c>
      <c r="I700">
        <v>1932000</v>
      </c>
      <c r="J700">
        <v>4878.8</v>
      </c>
      <c r="K700">
        <v>4</v>
      </c>
      <c r="L700" t="s">
        <v>20</v>
      </c>
      <c r="M700">
        <v>130</v>
      </c>
      <c r="N700" t="s">
        <v>18</v>
      </c>
      <c r="P700">
        <f t="shared" si="100"/>
        <v>1932000</v>
      </c>
      <c r="Q700">
        <f t="shared" si="101"/>
        <v>396</v>
      </c>
      <c r="R700" t="e">
        <f t="shared" si="102"/>
        <v>#N/A</v>
      </c>
      <c r="S700" t="e">
        <f t="shared" si="103"/>
        <v>#N/A</v>
      </c>
      <c r="T700" t="e">
        <f t="shared" si="104"/>
        <v>#N/A</v>
      </c>
      <c r="U700" t="e">
        <f t="shared" si="105"/>
        <v>#N/A</v>
      </c>
      <c r="V700" t="e">
        <f t="shared" si="106"/>
        <v>#N/A</v>
      </c>
      <c r="W700" t="e">
        <f t="shared" si="107"/>
        <v>#N/A</v>
      </c>
      <c r="X700" t="e">
        <f t="shared" si="108"/>
        <v>#N/A</v>
      </c>
      <c r="Y700" t="e">
        <f t="shared" si="109"/>
        <v>#N/A</v>
      </c>
    </row>
    <row r="701" spans="1:25" x14ac:dyDescent="0.2">
      <c r="A701">
        <v>1699</v>
      </c>
      <c r="B701" t="s">
        <v>19</v>
      </c>
      <c r="C701" t="s">
        <v>15</v>
      </c>
      <c r="D701">
        <v>2024</v>
      </c>
      <c r="E701" t="s">
        <v>26</v>
      </c>
      <c r="F701">
        <v>182</v>
      </c>
      <c r="G701">
        <v>3</v>
      </c>
      <c r="H701">
        <v>3</v>
      </c>
      <c r="I701">
        <v>599000</v>
      </c>
      <c r="J701">
        <v>3291.2</v>
      </c>
      <c r="K701">
        <v>2</v>
      </c>
      <c r="L701" t="s">
        <v>34</v>
      </c>
      <c r="M701">
        <v>146</v>
      </c>
      <c r="N701" t="s">
        <v>21</v>
      </c>
      <c r="P701" t="e">
        <f t="shared" si="100"/>
        <v>#N/A</v>
      </c>
      <c r="Q701" t="e">
        <f t="shared" si="101"/>
        <v>#N/A</v>
      </c>
      <c r="R701">
        <f t="shared" si="102"/>
        <v>599000</v>
      </c>
      <c r="S701">
        <f t="shared" si="103"/>
        <v>182</v>
      </c>
      <c r="T701" t="e">
        <f t="shared" si="104"/>
        <v>#N/A</v>
      </c>
      <c r="U701" t="e">
        <f t="shared" si="105"/>
        <v>#N/A</v>
      </c>
      <c r="V701" t="e">
        <f t="shared" si="106"/>
        <v>#N/A</v>
      </c>
      <c r="W701" t="e">
        <f t="shared" si="107"/>
        <v>#N/A</v>
      </c>
      <c r="X701" t="e">
        <f t="shared" si="108"/>
        <v>#N/A</v>
      </c>
      <c r="Y701" t="e">
        <f t="shared" si="109"/>
        <v>#N/A</v>
      </c>
    </row>
    <row r="702" spans="1:25" x14ac:dyDescent="0.2">
      <c r="A702">
        <v>1700</v>
      </c>
      <c r="B702" t="s">
        <v>46</v>
      </c>
      <c r="C702" t="s">
        <v>36</v>
      </c>
      <c r="D702">
        <v>2024</v>
      </c>
      <c r="E702" t="s">
        <v>30</v>
      </c>
      <c r="F702">
        <v>300</v>
      </c>
      <c r="G702">
        <v>4</v>
      </c>
      <c r="H702">
        <v>4</v>
      </c>
      <c r="I702">
        <v>857000</v>
      </c>
      <c r="J702">
        <v>2856.7</v>
      </c>
      <c r="K702">
        <v>2</v>
      </c>
      <c r="L702" t="s">
        <v>17</v>
      </c>
      <c r="M702">
        <v>18</v>
      </c>
      <c r="N702" t="s">
        <v>18</v>
      </c>
      <c r="P702" t="e">
        <f t="shared" si="100"/>
        <v>#N/A</v>
      </c>
      <c r="Q702" t="e">
        <f t="shared" si="101"/>
        <v>#N/A</v>
      </c>
      <c r="R702" t="e">
        <f t="shared" si="102"/>
        <v>#N/A</v>
      </c>
      <c r="S702" t="e">
        <f t="shared" si="103"/>
        <v>#N/A</v>
      </c>
      <c r="T702" t="e">
        <f t="shared" si="104"/>
        <v>#N/A</v>
      </c>
      <c r="U702" t="e">
        <f t="shared" si="105"/>
        <v>#N/A</v>
      </c>
      <c r="V702" t="e">
        <f t="shared" si="106"/>
        <v>#N/A</v>
      </c>
      <c r="W702" t="e">
        <f t="shared" si="107"/>
        <v>#N/A</v>
      </c>
      <c r="X702">
        <f t="shared" si="108"/>
        <v>857000</v>
      </c>
      <c r="Y702">
        <f t="shared" si="109"/>
        <v>300</v>
      </c>
    </row>
    <row r="703" spans="1:25" x14ac:dyDescent="0.2">
      <c r="A703">
        <v>1701</v>
      </c>
      <c r="B703" t="s">
        <v>43</v>
      </c>
      <c r="C703" t="s">
        <v>29</v>
      </c>
      <c r="D703">
        <v>2021</v>
      </c>
      <c r="E703" t="s">
        <v>24</v>
      </c>
      <c r="F703">
        <v>592</v>
      </c>
      <c r="G703">
        <v>4</v>
      </c>
      <c r="H703">
        <v>4</v>
      </c>
      <c r="I703">
        <v>3210000</v>
      </c>
      <c r="J703">
        <v>5422.3</v>
      </c>
      <c r="K703">
        <v>1</v>
      </c>
      <c r="L703" t="s">
        <v>17</v>
      </c>
      <c r="M703">
        <v>10</v>
      </c>
      <c r="N703" t="s">
        <v>27</v>
      </c>
      <c r="P703">
        <f t="shared" si="100"/>
        <v>3210000</v>
      </c>
      <c r="Q703">
        <f t="shared" si="101"/>
        <v>592</v>
      </c>
      <c r="R703" t="e">
        <f t="shared" si="102"/>
        <v>#N/A</v>
      </c>
      <c r="S703" t="e">
        <f t="shared" si="103"/>
        <v>#N/A</v>
      </c>
      <c r="T703" t="e">
        <f t="shared" si="104"/>
        <v>#N/A</v>
      </c>
      <c r="U703" t="e">
        <f t="shared" si="105"/>
        <v>#N/A</v>
      </c>
      <c r="V703" t="e">
        <f t="shared" si="106"/>
        <v>#N/A</v>
      </c>
      <c r="W703" t="e">
        <f t="shared" si="107"/>
        <v>#N/A</v>
      </c>
      <c r="X703" t="e">
        <f t="shared" si="108"/>
        <v>#N/A</v>
      </c>
      <c r="Y703" t="e">
        <f t="shared" si="109"/>
        <v>#N/A</v>
      </c>
    </row>
    <row r="704" spans="1:25" x14ac:dyDescent="0.2">
      <c r="A704">
        <v>1702</v>
      </c>
      <c r="B704" t="s">
        <v>32</v>
      </c>
      <c r="C704" t="s">
        <v>29</v>
      </c>
      <c r="D704">
        <v>2022</v>
      </c>
      <c r="E704" t="s">
        <v>30</v>
      </c>
      <c r="F704">
        <v>471</v>
      </c>
      <c r="G704">
        <v>6</v>
      </c>
      <c r="H704">
        <v>6</v>
      </c>
      <c r="I704">
        <v>1861000</v>
      </c>
      <c r="J704">
        <v>3951.2</v>
      </c>
      <c r="K704">
        <v>0</v>
      </c>
      <c r="L704" t="s">
        <v>34</v>
      </c>
      <c r="M704">
        <v>166</v>
      </c>
      <c r="N704" t="s">
        <v>18</v>
      </c>
      <c r="P704">
        <f t="shared" si="100"/>
        <v>1861000</v>
      </c>
      <c r="Q704">
        <f t="shared" si="101"/>
        <v>471</v>
      </c>
      <c r="R704" t="e">
        <f t="shared" si="102"/>
        <v>#N/A</v>
      </c>
      <c r="S704" t="e">
        <f t="shared" si="103"/>
        <v>#N/A</v>
      </c>
      <c r="T704" t="e">
        <f t="shared" si="104"/>
        <v>#N/A</v>
      </c>
      <c r="U704" t="e">
        <f t="shared" si="105"/>
        <v>#N/A</v>
      </c>
      <c r="V704" t="e">
        <f t="shared" si="106"/>
        <v>#N/A</v>
      </c>
      <c r="W704" t="e">
        <f t="shared" si="107"/>
        <v>#N/A</v>
      </c>
      <c r="X704" t="e">
        <f t="shared" si="108"/>
        <v>#N/A</v>
      </c>
      <c r="Y704" t="e">
        <f t="shared" si="109"/>
        <v>#N/A</v>
      </c>
    </row>
    <row r="705" spans="1:25" x14ac:dyDescent="0.2">
      <c r="A705">
        <v>1703</v>
      </c>
      <c r="B705" t="s">
        <v>47</v>
      </c>
      <c r="C705" t="s">
        <v>15</v>
      </c>
      <c r="D705">
        <v>2021</v>
      </c>
      <c r="E705" t="s">
        <v>16</v>
      </c>
      <c r="F705">
        <v>157</v>
      </c>
      <c r="G705">
        <v>2</v>
      </c>
      <c r="H705">
        <v>2</v>
      </c>
      <c r="I705">
        <v>396000</v>
      </c>
      <c r="J705">
        <v>2522.3000000000002</v>
      </c>
      <c r="K705">
        <v>5</v>
      </c>
      <c r="L705" t="s">
        <v>17</v>
      </c>
      <c r="M705">
        <v>19</v>
      </c>
      <c r="N705" t="s">
        <v>21</v>
      </c>
      <c r="P705" t="e">
        <f t="shared" si="100"/>
        <v>#N/A</v>
      </c>
      <c r="Q705" t="e">
        <f t="shared" si="101"/>
        <v>#N/A</v>
      </c>
      <c r="R705">
        <f t="shared" si="102"/>
        <v>396000</v>
      </c>
      <c r="S705">
        <f t="shared" si="103"/>
        <v>157</v>
      </c>
      <c r="T705" t="e">
        <f t="shared" si="104"/>
        <v>#N/A</v>
      </c>
      <c r="U705" t="e">
        <f t="shared" si="105"/>
        <v>#N/A</v>
      </c>
      <c r="V705" t="e">
        <f t="shared" si="106"/>
        <v>#N/A</v>
      </c>
      <c r="W705" t="e">
        <f t="shared" si="107"/>
        <v>#N/A</v>
      </c>
      <c r="X705" t="e">
        <f t="shared" si="108"/>
        <v>#N/A</v>
      </c>
      <c r="Y705" t="e">
        <f t="shared" si="109"/>
        <v>#N/A</v>
      </c>
    </row>
    <row r="706" spans="1:25" x14ac:dyDescent="0.2">
      <c r="A706">
        <v>1704</v>
      </c>
      <c r="B706" t="s">
        <v>19</v>
      </c>
      <c r="C706" t="s">
        <v>29</v>
      </c>
      <c r="D706">
        <v>2023</v>
      </c>
      <c r="E706" t="s">
        <v>26</v>
      </c>
      <c r="F706">
        <v>424</v>
      </c>
      <c r="G706">
        <v>6</v>
      </c>
      <c r="H706">
        <v>6</v>
      </c>
      <c r="I706">
        <v>2178000</v>
      </c>
      <c r="J706">
        <v>5136.8</v>
      </c>
      <c r="K706">
        <v>15</v>
      </c>
      <c r="L706" t="s">
        <v>34</v>
      </c>
      <c r="M706">
        <v>113</v>
      </c>
      <c r="N706" t="s">
        <v>21</v>
      </c>
      <c r="P706">
        <f t="shared" si="100"/>
        <v>2178000</v>
      </c>
      <c r="Q706">
        <f t="shared" si="101"/>
        <v>424</v>
      </c>
      <c r="R706" t="e">
        <f t="shared" si="102"/>
        <v>#N/A</v>
      </c>
      <c r="S706" t="e">
        <f t="shared" si="103"/>
        <v>#N/A</v>
      </c>
      <c r="T706" t="e">
        <f t="shared" si="104"/>
        <v>#N/A</v>
      </c>
      <c r="U706" t="e">
        <f t="shared" si="105"/>
        <v>#N/A</v>
      </c>
      <c r="V706" t="e">
        <f t="shared" si="106"/>
        <v>#N/A</v>
      </c>
      <c r="W706" t="e">
        <f t="shared" si="107"/>
        <v>#N/A</v>
      </c>
      <c r="X706" t="e">
        <f t="shared" si="108"/>
        <v>#N/A</v>
      </c>
      <c r="Y706" t="e">
        <f t="shared" si="109"/>
        <v>#N/A</v>
      </c>
    </row>
    <row r="707" spans="1:25" x14ac:dyDescent="0.2">
      <c r="A707">
        <v>1705</v>
      </c>
      <c r="B707" t="s">
        <v>48</v>
      </c>
      <c r="C707" t="s">
        <v>15</v>
      </c>
      <c r="D707">
        <v>2024</v>
      </c>
      <c r="E707" t="s">
        <v>30</v>
      </c>
      <c r="F707">
        <v>141</v>
      </c>
      <c r="G707">
        <v>3</v>
      </c>
      <c r="H707">
        <v>3</v>
      </c>
      <c r="I707">
        <v>469000</v>
      </c>
      <c r="J707">
        <v>3326.2</v>
      </c>
      <c r="K707">
        <v>2</v>
      </c>
      <c r="L707" t="s">
        <v>20</v>
      </c>
      <c r="M707">
        <v>19</v>
      </c>
      <c r="N707" t="s">
        <v>27</v>
      </c>
      <c r="P707" t="e">
        <f t="shared" ref="P707:P770" si="110">IF(C707="Villa", I707, NA())</f>
        <v>#N/A</v>
      </c>
      <c r="Q707" t="e">
        <f t="shared" ref="Q707:Q770" si="111">IF(C707="Villa", F707, NA())</f>
        <v>#N/A</v>
      </c>
      <c r="R707">
        <f t="shared" ref="R707:R770" si="112">IF(C707="Apartment",I707,NA())</f>
        <v>469000</v>
      </c>
      <c r="S707">
        <f t="shared" ref="S707:S770" si="113">IF(C707="Apartment",F707,NA())</f>
        <v>141</v>
      </c>
      <c r="T707" t="e">
        <f t="shared" ref="T707:T770" si="114">IF(C707="Duplex",I707,NA())</f>
        <v>#N/A</v>
      </c>
      <c r="U707" t="e">
        <f t="shared" ref="U707:U770" si="115">IF(C707="Duplex",F707,NA())</f>
        <v>#N/A</v>
      </c>
      <c r="V707" t="e">
        <f t="shared" ref="V707:V770" si="116">IF(C707="Studio",I707,NA())</f>
        <v>#N/A</v>
      </c>
      <c r="W707" t="e">
        <f t="shared" ref="W707:W770" si="117">IF(C707="Studio",F707,NA())</f>
        <v>#N/A</v>
      </c>
      <c r="X707" t="e">
        <f t="shared" ref="X707:X770" si="118">IF(C707="Floor",I707,NA())</f>
        <v>#N/A</v>
      </c>
      <c r="Y707" t="e">
        <f t="shared" ref="Y707:Y770" si="119">IF(C707="Floor",F707,NA())</f>
        <v>#N/A</v>
      </c>
    </row>
    <row r="708" spans="1:25" x14ac:dyDescent="0.2">
      <c r="A708">
        <v>1706</v>
      </c>
      <c r="B708" t="s">
        <v>25</v>
      </c>
      <c r="C708" t="s">
        <v>23</v>
      </c>
      <c r="D708">
        <v>2022</v>
      </c>
      <c r="E708" t="s">
        <v>16</v>
      </c>
      <c r="F708">
        <v>252</v>
      </c>
      <c r="G708">
        <v>4</v>
      </c>
      <c r="H708">
        <v>4</v>
      </c>
      <c r="I708">
        <v>731000</v>
      </c>
      <c r="J708">
        <v>2900.8</v>
      </c>
      <c r="K708">
        <v>10</v>
      </c>
      <c r="L708" t="s">
        <v>17</v>
      </c>
      <c r="M708">
        <v>44</v>
      </c>
      <c r="N708" t="s">
        <v>27</v>
      </c>
      <c r="P708" t="e">
        <f t="shared" si="110"/>
        <v>#N/A</v>
      </c>
      <c r="Q708" t="e">
        <f t="shared" si="111"/>
        <v>#N/A</v>
      </c>
      <c r="R708" t="e">
        <f t="shared" si="112"/>
        <v>#N/A</v>
      </c>
      <c r="S708" t="e">
        <f t="shared" si="113"/>
        <v>#N/A</v>
      </c>
      <c r="T708">
        <f t="shared" si="114"/>
        <v>731000</v>
      </c>
      <c r="U708">
        <f t="shared" si="115"/>
        <v>252</v>
      </c>
      <c r="V708" t="e">
        <f t="shared" si="116"/>
        <v>#N/A</v>
      </c>
      <c r="W708" t="e">
        <f t="shared" si="117"/>
        <v>#N/A</v>
      </c>
      <c r="X708" t="e">
        <f t="shared" si="118"/>
        <v>#N/A</v>
      </c>
      <c r="Y708" t="e">
        <f t="shared" si="119"/>
        <v>#N/A</v>
      </c>
    </row>
    <row r="709" spans="1:25" x14ac:dyDescent="0.2">
      <c r="A709">
        <v>1707</v>
      </c>
      <c r="B709" t="s">
        <v>19</v>
      </c>
      <c r="C709" t="s">
        <v>15</v>
      </c>
      <c r="D709">
        <v>2023</v>
      </c>
      <c r="E709" t="s">
        <v>26</v>
      </c>
      <c r="F709">
        <v>104</v>
      </c>
      <c r="G709">
        <v>3</v>
      </c>
      <c r="H709">
        <v>3</v>
      </c>
      <c r="I709">
        <v>345000</v>
      </c>
      <c r="J709">
        <v>3317.3</v>
      </c>
      <c r="K709">
        <v>4</v>
      </c>
      <c r="L709" t="s">
        <v>17</v>
      </c>
      <c r="M709">
        <v>53</v>
      </c>
      <c r="N709" t="s">
        <v>21</v>
      </c>
      <c r="P709" t="e">
        <f t="shared" si="110"/>
        <v>#N/A</v>
      </c>
      <c r="Q709" t="e">
        <f t="shared" si="111"/>
        <v>#N/A</v>
      </c>
      <c r="R709">
        <f t="shared" si="112"/>
        <v>345000</v>
      </c>
      <c r="S709">
        <f t="shared" si="113"/>
        <v>104</v>
      </c>
      <c r="T709" t="e">
        <f t="shared" si="114"/>
        <v>#N/A</v>
      </c>
      <c r="U709" t="e">
        <f t="shared" si="115"/>
        <v>#N/A</v>
      </c>
      <c r="V709" t="e">
        <f t="shared" si="116"/>
        <v>#N/A</v>
      </c>
      <c r="W709" t="e">
        <f t="shared" si="117"/>
        <v>#N/A</v>
      </c>
      <c r="X709" t="e">
        <f t="shared" si="118"/>
        <v>#N/A</v>
      </c>
      <c r="Y709" t="e">
        <f t="shared" si="119"/>
        <v>#N/A</v>
      </c>
    </row>
    <row r="710" spans="1:25" x14ac:dyDescent="0.2">
      <c r="A710">
        <v>1708</v>
      </c>
      <c r="B710" t="s">
        <v>41</v>
      </c>
      <c r="C710" t="s">
        <v>29</v>
      </c>
      <c r="D710">
        <v>2022</v>
      </c>
      <c r="E710" t="s">
        <v>30</v>
      </c>
      <c r="F710">
        <v>356</v>
      </c>
      <c r="G710">
        <v>6</v>
      </c>
      <c r="H710">
        <v>6</v>
      </c>
      <c r="I710">
        <v>2427000</v>
      </c>
      <c r="J710">
        <v>6817.4</v>
      </c>
      <c r="K710">
        <v>1</v>
      </c>
      <c r="L710" t="s">
        <v>20</v>
      </c>
      <c r="M710">
        <v>164</v>
      </c>
      <c r="N710" t="s">
        <v>21</v>
      </c>
      <c r="P710">
        <f t="shared" si="110"/>
        <v>2427000</v>
      </c>
      <c r="Q710">
        <f t="shared" si="111"/>
        <v>356</v>
      </c>
      <c r="R710" t="e">
        <f t="shared" si="112"/>
        <v>#N/A</v>
      </c>
      <c r="S710" t="e">
        <f t="shared" si="113"/>
        <v>#N/A</v>
      </c>
      <c r="T710" t="e">
        <f t="shared" si="114"/>
        <v>#N/A</v>
      </c>
      <c r="U710" t="e">
        <f t="shared" si="115"/>
        <v>#N/A</v>
      </c>
      <c r="V710" t="e">
        <f t="shared" si="116"/>
        <v>#N/A</v>
      </c>
      <c r="W710" t="e">
        <f t="shared" si="117"/>
        <v>#N/A</v>
      </c>
      <c r="X710" t="e">
        <f t="shared" si="118"/>
        <v>#N/A</v>
      </c>
      <c r="Y710" t="e">
        <f t="shared" si="119"/>
        <v>#N/A</v>
      </c>
    </row>
    <row r="711" spans="1:25" x14ac:dyDescent="0.2">
      <c r="A711">
        <v>1709</v>
      </c>
      <c r="B711" t="s">
        <v>39</v>
      </c>
      <c r="C711" t="s">
        <v>15</v>
      </c>
      <c r="D711">
        <v>2024</v>
      </c>
      <c r="E711" t="s">
        <v>26</v>
      </c>
      <c r="F711">
        <v>194</v>
      </c>
      <c r="G711">
        <v>3</v>
      </c>
      <c r="H711">
        <v>3</v>
      </c>
      <c r="I711">
        <v>851000</v>
      </c>
      <c r="J711">
        <v>4386.6000000000004</v>
      </c>
      <c r="K711">
        <v>2</v>
      </c>
      <c r="L711" t="s">
        <v>20</v>
      </c>
      <c r="M711">
        <v>158</v>
      </c>
      <c r="N711" t="s">
        <v>21</v>
      </c>
      <c r="P711" t="e">
        <f t="shared" si="110"/>
        <v>#N/A</v>
      </c>
      <c r="Q711" t="e">
        <f t="shared" si="111"/>
        <v>#N/A</v>
      </c>
      <c r="R711">
        <f t="shared" si="112"/>
        <v>851000</v>
      </c>
      <c r="S711">
        <f t="shared" si="113"/>
        <v>194</v>
      </c>
      <c r="T711" t="e">
        <f t="shared" si="114"/>
        <v>#N/A</v>
      </c>
      <c r="U711" t="e">
        <f t="shared" si="115"/>
        <v>#N/A</v>
      </c>
      <c r="V711" t="e">
        <f t="shared" si="116"/>
        <v>#N/A</v>
      </c>
      <c r="W711" t="e">
        <f t="shared" si="117"/>
        <v>#N/A</v>
      </c>
      <c r="X711" t="e">
        <f t="shared" si="118"/>
        <v>#N/A</v>
      </c>
      <c r="Y711" t="e">
        <f t="shared" si="119"/>
        <v>#N/A</v>
      </c>
    </row>
    <row r="712" spans="1:25" x14ac:dyDescent="0.2">
      <c r="A712">
        <v>1710</v>
      </c>
      <c r="B712" t="s">
        <v>19</v>
      </c>
      <c r="C712" t="s">
        <v>29</v>
      </c>
      <c r="D712">
        <v>2021</v>
      </c>
      <c r="E712" t="s">
        <v>16</v>
      </c>
      <c r="F712">
        <v>466</v>
      </c>
      <c r="G712">
        <v>5</v>
      </c>
      <c r="H712">
        <v>5</v>
      </c>
      <c r="I712">
        <v>1939000</v>
      </c>
      <c r="J712">
        <v>4160.8999999999996</v>
      </c>
      <c r="K712">
        <v>4</v>
      </c>
      <c r="L712" t="s">
        <v>34</v>
      </c>
      <c r="M712">
        <v>147</v>
      </c>
      <c r="N712" t="s">
        <v>21</v>
      </c>
      <c r="P712">
        <f t="shared" si="110"/>
        <v>1939000</v>
      </c>
      <c r="Q712">
        <f t="shared" si="111"/>
        <v>466</v>
      </c>
      <c r="R712" t="e">
        <f t="shared" si="112"/>
        <v>#N/A</v>
      </c>
      <c r="S712" t="e">
        <f t="shared" si="113"/>
        <v>#N/A</v>
      </c>
      <c r="T712" t="e">
        <f t="shared" si="114"/>
        <v>#N/A</v>
      </c>
      <c r="U712" t="e">
        <f t="shared" si="115"/>
        <v>#N/A</v>
      </c>
      <c r="V712" t="e">
        <f t="shared" si="116"/>
        <v>#N/A</v>
      </c>
      <c r="W712" t="e">
        <f t="shared" si="117"/>
        <v>#N/A</v>
      </c>
      <c r="X712" t="e">
        <f t="shared" si="118"/>
        <v>#N/A</v>
      </c>
      <c r="Y712" t="e">
        <f t="shared" si="119"/>
        <v>#N/A</v>
      </c>
    </row>
    <row r="713" spans="1:25" x14ac:dyDescent="0.2">
      <c r="A713">
        <v>1711</v>
      </c>
      <c r="B713" t="s">
        <v>47</v>
      </c>
      <c r="C713" t="s">
        <v>15</v>
      </c>
      <c r="D713">
        <v>2022</v>
      </c>
      <c r="E713" t="s">
        <v>30</v>
      </c>
      <c r="F713">
        <v>194</v>
      </c>
      <c r="G713">
        <v>3</v>
      </c>
      <c r="H713">
        <v>3</v>
      </c>
      <c r="I713">
        <v>526000</v>
      </c>
      <c r="J713">
        <v>2711.3</v>
      </c>
      <c r="K713">
        <v>0</v>
      </c>
      <c r="L713" t="s">
        <v>20</v>
      </c>
      <c r="M713">
        <v>53</v>
      </c>
      <c r="N713" t="s">
        <v>21</v>
      </c>
      <c r="P713" t="e">
        <f t="shared" si="110"/>
        <v>#N/A</v>
      </c>
      <c r="Q713" t="e">
        <f t="shared" si="111"/>
        <v>#N/A</v>
      </c>
      <c r="R713">
        <f t="shared" si="112"/>
        <v>526000</v>
      </c>
      <c r="S713">
        <f t="shared" si="113"/>
        <v>194</v>
      </c>
      <c r="T713" t="e">
        <f t="shared" si="114"/>
        <v>#N/A</v>
      </c>
      <c r="U713" t="e">
        <f t="shared" si="115"/>
        <v>#N/A</v>
      </c>
      <c r="V713" t="e">
        <f t="shared" si="116"/>
        <v>#N/A</v>
      </c>
      <c r="W713" t="e">
        <f t="shared" si="117"/>
        <v>#N/A</v>
      </c>
      <c r="X713" t="e">
        <f t="shared" si="118"/>
        <v>#N/A</v>
      </c>
      <c r="Y713" t="e">
        <f t="shared" si="119"/>
        <v>#N/A</v>
      </c>
    </row>
    <row r="714" spans="1:25" x14ac:dyDescent="0.2">
      <c r="A714">
        <v>1712</v>
      </c>
      <c r="B714" t="s">
        <v>40</v>
      </c>
      <c r="C714" t="s">
        <v>29</v>
      </c>
      <c r="D714">
        <v>2023</v>
      </c>
      <c r="E714" t="s">
        <v>30</v>
      </c>
      <c r="F714">
        <v>373</v>
      </c>
      <c r="G714">
        <v>5</v>
      </c>
      <c r="H714">
        <v>5</v>
      </c>
      <c r="I714">
        <v>1930000</v>
      </c>
      <c r="J714">
        <v>5174.3</v>
      </c>
      <c r="K714">
        <v>1</v>
      </c>
      <c r="L714" t="s">
        <v>34</v>
      </c>
      <c r="M714">
        <v>130</v>
      </c>
      <c r="N714" t="s">
        <v>18</v>
      </c>
      <c r="P714">
        <f t="shared" si="110"/>
        <v>1930000</v>
      </c>
      <c r="Q714">
        <f t="shared" si="111"/>
        <v>373</v>
      </c>
      <c r="R714" t="e">
        <f t="shared" si="112"/>
        <v>#N/A</v>
      </c>
      <c r="S714" t="e">
        <f t="shared" si="113"/>
        <v>#N/A</v>
      </c>
      <c r="T714" t="e">
        <f t="shared" si="114"/>
        <v>#N/A</v>
      </c>
      <c r="U714" t="e">
        <f t="shared" si="115"/>
        <v>#N/A</v>
      </c>
      <c r="V714" t="e">
        <f t="shared" si="116"/>
        <v>#N/A</v>
      </c>
      <c r="W714" t="e">
        <f t="shared" si="117"/>
        <v>#N/A</v>
      </c>
      <c r="X714" t="e">
        <f t="shared" si="118"/>
        <v>#N/A</v>
      </c>
      <c r="Y714" t="e">
        <f t="shared" si="119"/>
        <v>#N/A</v>
      </c>
    </row>
    <row r="715" spans="1:25" x14ac:dyDescent="0.2">
      <c r="A715">
        <v>1713</v>
      </c>
      <c r="B715" t="s">
        <v>32</v>
      </c>
      <c r="C715" t="s">
        <v>38</v>
      </c>
      <c r="D715">
        <v>2022</v>
      </c>
      <c r="E715" t="s">
        <v>16</v>
      </c>
      <c r="F715">
        <v>45</v>
      </c>
      <c r="G715">
        <v>0</v>
      </c>
      <c r="H715">
        <v>1</v>
      </c>
      <c r="I715">
        <v>158000</v>
      </c>
      <c r="J715">
        <v>3511.1</v>
      </c>
      <c r="K715">
        <v>15</v>
      </c>
      <c r="L715" t="s">
        <v>20</v>
      </c>
      <c r="M715">
        <v>122</v>
      </c>
      <c r="N715" t="s">
        <v>18</v>
      </c>
      <c r="P715" t="e">
        <f t="shared" si="110"/>
        <v>#N/A</v>
      </c>
      <c r="Q715" t="e">
        <f t="shared" si="111"/>
        <v>#N/A</v>
      </c>
      <c r="R715" t="e">
        <f t="shared" si="112"/>
        <v>#N/A</v>
      </c>
      <c r="S715" t="e">
        <f t="shared" si="113"/>
        <v>#N/A</v>
      </c>
      <c r="T715" t="e">
        <f t="shared" si="114"/>
        <v>#N/A</v>
      </c>
      <c r="U715" t="e">
        <f t="shared" si="115"/>
        <v>#N/A</v>
      </c>
      <c r="V715">
        <f t="shared" si="116"/>
        <v>158000</v>
      </c>
      <c r="W715">
        <f t="shared" si="117"/>
        <v>45</v>
      </c>
      <c r="X715" t="e">
        <f t="shared" si="118"/>
        <v>#N/A</v>
      </c>
      <c r="Y715" t="e">
        <f t="shared" si="119"/>
        <v>#N/A</v>
      </c>
    </row>
    <row r="716" spans="1:25" x14ac:dyDescent="0.2">
      <c r="A716">
        <v>1714</v>
      </c>
      <c r="B716" t="s">
        <v>47</v>
      </c>
      <c r="C716" t="s">
        <v>23</v>
      </c>
      <c r="D716">
        <v>2021</v>
      </c>
      <c r="E716" t="s">
        <v>24</v>
      </c>
      <c r="F716">
        <v>282</v>
      </c>
      <c r="G716">
        <v>4</v>
      </c>
      <c r="H716">
        <v>4</v>
      </c>
      <c r="I716">
        <v>828000</v>
      </c>
      <c r="J716">
        <v>2936.2</v>
      </c>
      <c r="K716">
        <v>2</v>
      </c>
      <c r="L716" t="s">
        <v>17</v>
      </c>
      <c r="M716">
        <v>31</v>
      </c>
      <c r="N716" t="s">
        <v>21</v>
      </c>
      <c r="P716" t="e">
        <f t="shared" si="110"/>
        <v>#N/A</v>
      </c>
      <c r="Q716" t="e">
        <f t="shared" si="111"/>
        <v>#N/A</v>
      </c>
      <c r="R716" t="e">
        <f t="shared" si="112"/>
        <v>#N/A</v>
      </c>
      <c r="S716" t="e">
        <f t="shared" si="113"/>
        <v>#N/A</v>
      </c>
      <c r="T716">
        <f t="shared" si="114"/>
        <v>828000</v>
      </c>
      <c r="U716">
        <f t="shared" si="115"/>
        <v>282</v>
      </c>
      <c r="V716" t="e">
        <f t="shared" si="116"/>
        <v>#N/A</v>
      </c>
      <c r="W716" t="e">
        <f t="shared" si="117"/>
        <v>#N/A</v>
      </c>
      <c r="X716" t="e">
        <f t="shared" si="118"/>
        <v>#N/A</v>
      </c>
      <c r="Y716" t="e">
        <f t="shared" si="119"/>
        <v>#N/A</v>
      </c>
    </row>
    <row r="717" spans="1:25" x14ac:dyDescent="0.2">
      <c r="A717">
        <v>1715</v>
      </c>
      <c r="B717" t="s">
        <v>37</v>
      </c>
      <c r="C717" t="s">
        <v>36</v>
      </c>
      <c r="D717">
        <v>2024</v>
      </c>
      <c r="E717" t="s">
        <v>30</v>
      </c>
      <c r="F717">
        <v>304</v>
      </c>
      <c r="G717">
        <v>3</v>
      </c>
      <c r="H717">
        <v>3</v>
      </c>
      <c r="I717">
        <v>1127000</v>
      </c>
      <c r="J717">
        <v>3707.2</v>
      </c>
      <c r="K717">
        <v>1</v>
      </c>
      <c r="L717" t="s">
        <v>17</v>
      </c>
      <c r="M717">
        <v>68</v>
      </c>
      <c r="N717" t="s">
        <v>27</v>
      </c>
      <c r="P717" t="e">
        <f t="shared" si="110"/>
        <v>#N/A</v>
      </c>
      <c r="Q717" t="e">
        <f t="shared" si="111"/>
        <v>#N/A</v>
      </c>
      <c r="R717" t="e">
        <f t="shared" si="112"/>
        <v>#N/A</v>
      </c>
      <c r="S717" t="e">
        <f t="shared" si="113"/>
        <v>#N/A</v>
      </c>
      <c r="T717" t="e">
        <f t="shared" si="114"/>
        <v>#N/A</v>
      </c>
      <c r="U717" t="e">
        <f t="shared" si="115"/>
        <v>#N/A</v>
      </c>
      <c r="V717" t="e">
        <f t="shared" si="116"/>
        <v>#N/A</v>
      </c>
      <c r="W717" t="e">
        <f t="shared" si="117"/>
        <v>#N/A</v>
      </c>
      <c r="X717">
        <f t="shared" si="118"/>
        <v>1127000</v>
      </c>
      <c r="Y717">
        <f t="shared" si="119"/>
        <v>304</v>
      </c>
    </row>
    <row r="718" spans="1:25" x14ac:dyDescent="0.2">
      <c r="A718">
        <v>1716</v>
      </c>
      <c r="B718" t="s">
        <v>25</v>
      </c>
      <c r="C718" t="s">
        <v>29</v>
      </c>
      <c r="D718">
        <v>2022</v>
      </c>
      <c r="E718" t="s">
        <v>30</v>
      </c>
      <c r="F718">
        <v>439</v>
      </c>
      <c r="G718">
        <v>5</v>
      </c>
      <c r="H718">
        <v>5</v>
      </c>
      <c r="I718">
        <v>1728000</v>
      </c>
      <c r="J718">
        <v>3936.2</v>
      </c>
      <c r="K718">
        <v>1</v>
      </c>
      <c r="L718" t="s">
        <v>17</v>
      </c>
      <c r="M718">
        <v>51</v>
      </c>
      <c r="N718" t="s">
        <v>27</v>
      </c>
      <c r="P718">
        <f t="shared" si="110"/>
        <v>1728000</v>
      </c>
      <c r="Q718">
        <f t="shared" si="111"/>
        <v>439</v>
      </c>
      <c r="R718" t="e">
        <f t="shared" si="112"/>
        <v>#N/A</v>
      </c>
      <c r="S718" t="e">
        <f t="shared" si="113"/>
        <v>#N/A</v>
      </c>
      <c r="T718" t="e">
        <f t="shared" si="114"/>
        <v>#N/A</v>
      </c>
      <c r="U718" t="e">
        <f t="shared" si="115"/>
        <v>#N/A</v>
      </c>
      <c r="V718" t="e">
        <f t="shared" si="116"/>
        <v>#N/A</v>
      </c>
      <c r="W718" t="e">
        <f t="shared" si="117"/>
        <v>#N/A</v>
      </c>
      <c r="X718" t="e">
        <f t="shared" si="118"/>
        <v>#N/A</v>
      </c>
      <c r="Y718" t="e">
        <f t="shared" si="119"/>
        <v>#N/A</v>
      </c>
    </row>
    <row r="719" spans="1:25" x14ac:dyDescent="0.2">
      <c r="A719">
        <v>1717</v>
      </c>
      <c r="B719" t="s">
        <v>45</v>
      </c>
      <c r="C719" t="s">
        <v>38</v>
      </c>
      <c r="D719">
        <v>2024</v>
      </c>
      <c r="E719" t="s">
        <v>16</v>
      </c>
      <c r="F719">
        <v>39</v>
      </c>
      <c r="G719">
        <v>0</v>
      </c>
      <c r="H719">
        <v>1</v>
      </c>
      <c r="I719">
        <v>231000</v>
      </c>
      <c r="J719">
        <v>5923.1</v>
      </c>
      <c r="K719">
        <v>4</v>
      </c>
      <c r="L719" t="s">
        <v>34</v>
      </c>
      <c r="M719">
        <v>117</v>
      </c>
      <c r="N719" t="s">
        <v>21</v>
      </c>
      <c r="P719" t="e">
        <f t="shared" si="110"/>
        <v>#N/A</v>
      </c>
      <c r="Q719" t="e">
        <f t="shared" si="111"/>
        <v>#N/A</v>
      </c>
      <c r="R719" t="e">
        <f t="shared" si="112"/>
        <v>#N/A</v>
      </c>
      <c r="S719" t="e">
        <f t="shared" si="113"/>
        <v>#N/A</v>
      </c>
      <c r="T719" t="e">
        <f t="shared" si="114"/>
        <v>#N/A</v>
      </c>
      <c r="U719" t="e">
        <f t="shared" si="115"/>
        <v>#N/A</v>
      </c>
      <c r="V719">
        <f t="shared" si="116"/>
        <v>231000</v>
      </c>
      <c r="W719">
        <f t="shared" si="117"/>
        <v>39</v>
      </c>
      <c r="X719" t="e">
        <f t="shared" si="118"/>
        <v>#N/A</v>
      </c>
      <c r="Y719" t="e">
        <f t="shared" si="119"/>
        <v>#N/A</v>
      </c>
    </row>
    <row r="720" spans="1:25" x14ac:dyDescent="0.2">
      <c r="A720">
        <v>1718</v>
      </c>
      <c r="B720" t="s">
        <v>37</v>
      </c>
      <c r="C720" t="s">
        <v>15</v>
      </c>
      <c r="D720">
        <v>2024</v>
      </c>
      <c r="E720" t="s">
        <v>16</v>
      </c>
      <c r="F720">
        <v>85</v>
      </c>
      <c r="G720">
        <v>3</v>
      </c>
      <c r="H720">
        <v>3</v>
      </c>
      <c r="I720">
        <v>380000</v>
      </c>
      <c r="J720">
        <v>4470.6000000000004</v>
      </c>
      <c r="K720">
        <v>20</v>
      </c>
      <c r="L720" t="s">
        <v>17</v>
      </c>
      <c r="M720">
        <v>105</v>
      </c>
      <c r="N720" t="s">
        <v>27</v>
      </c>
      <c r="P720" t="e">
        <f t="shared" si="110"/>
        <v>#N/A</v>
      </c>
      <c r="Q720" t="e">
        <f t="shared" si="111"/>
        <v>#N/A</v>
      </c>
      <c r="R720">
        <f t="shared" si="112"/>
        <v>380000</v>
      </c>
      <c r="S720">
        <f t="shared" si="113"/>
        <v>85</v>
      </c>
      <c r="T720" t="e">
        <f t="shared" si="114"/>
        <v>#N/A</v>
      </c>
      <c r="U720" t="e">
        <f t="shared" si="115"/>
        <v>#N/A</v>
      </c>
      <c r="V720" t="e">
        <f t="shared" si="116"/>
        <v>#N/A</v>
      </c>
      <c r="W720" t="e">
        <f t="shared" si="117"/>
        <v>#N/A</v>
      </c>
      <c r="X720" t="e">
        <f t="shared" si="118"/>
        <v>#N/A</v>
      </c>
      <c r="Y720" t="e">
        <f t="shared" si="119"/>
        <v>#N/A</v>
      </c>
    </row>
    <row r="721" spans="1:25" x14ac:dyDescent="0.2">
      <c r="A721">
        <v>1719</v>
      </c>
      <c r="B721" t="s">
        <v>33</v>
      </c>
      <c r="C721" t="s">
        <v>29</v>
      </c>
      <c r="D721">
        <v>2022</v>
      </c>
      <c r="E721" t="s">
        <v>16</v>
      </c>
      <c r="F721">
        <v>450</v>
      </c>
      <c r="G721">
        <v>5</v>
      </c>
      <c r="H721">
        <v>5</v>
      </c>
      <c r="I721">
        <v>1759000</v>
      </c>
      <c r="J721">
        <v>3908.9</v>
      </c>
      <c r="K721">
        <v>1</v>
      </c>
      <c r="L721" t="s">
        <v>17</v>
      </c>
      <c r="M721">
        <v>68</v>
      </c>
      <c r="N721" t="s">
        <v>27</v>
      </c>
      <c r="P721">
        <f t="shared" si="110"/>
        <v>1759000</v>
      </c>
      <c r="Q721">
        <f t="shared" si="111"/>
        <v>450</v>
      </c>
      <c r="R721" t="e">
        <f t="shared" si="112"/>
        <v>#N/A</v>
      </c>
      <c r="S721" t="e">
        <f t="shared" si="113"/>
        <v>#N/A</v>
      </c>
      <c r="T721" t="e">
        <f t="shared" si="114"/>
        <v>#N/A</v>
      </c>
      <c r="U721" t="e">
        <f t="shared" si="115"/>
        <v>#N/A</v>
      </c>
      <c r="V721" t="e">
        <f t="shared" si="116"/>
        <v>#N/A</v>
      </c>
      <c r="W721" t="e">
        <f t="shared" si="117"/>
        <v>#N/A</v>
      </c>
      <c r="X721" t="e">
        <f t="shared" si="118"/>
        <v>#N/A</v>
      </c>
      <c r="Y721" t="e">
        <f t="shared" si="119"/>
        <v>#N/A</v>
      </c>
    </row>
    <row r="722" spans="1:25" x14ac:dyDescent="0.2">
      <c r="A722">
        <v>1720</v>
      </c>
      <c r="B722" t="s">
        <v>22</v>
      </c>
      <c r="C722" t="s">
        <v>36</v>
      </c>
      <c r="D722">
        <v>2023</v>
      </c>
      <c r="E722" t="s">
        <v>24</v>
      </c>
      <c r="F722">
        <v>450</v>
      </c>
      <c r="G722">
        <v>4</v>
      </c>
      <c r="H722">
        <v>4</v>
      </c>
      <c r="I722">
        <v>1283000</v>
      </c>
      <c r="J722">
        <v>2851.1</v>
      </c>
      <c r="K722">
        <v>3</v>
      </c>
      <c r="L722" t="s">
        <v>17</v>
      </c>
      <c r="M722">
        <v>106</v>
      </c>
      <c r="N722" t="s">
        <v>18</v>
      </c>
      <c r="P722" t="e">
        <f t="shared" si="110"/>
        <v>#N/A</v>
      </c>
      <c r="Q722" t="e">
        <f t="shared" si="111"/>
        <v>#N/A</v>
      </c>
      <c r="R722" t="e">
        <f t="shared" si="112"/>
        <v>#N/A</v>
      </c>
      <c r="S722" t="e">
        <f t="shared" si="113"/>
        <v>#N/A</v>
      </c>
      <c r="T722" t="e">
        <f t="shared" si="114"/>
        <v>#N/A</v>
      </c>
      <c r="U722" t="e">
        <f t="shared" si="115"/>
        <v>#N/A</v>
      </c>
      <c r="V722" t="e">
        <f t="shared" si="116"/>
        <v>#N/A</v>
      </c>
      <c r="W722" t="e">
        <f t="shared" si="117"/>
        <v>#N/A</v>
      </c>
      <c r="X722">
        <f t="shared" si="118"/>
        <v>1283000</v>
      </c>
      <c r="Y722">
        <f t="shared" si="119"/>
        <v>450</v>
      </c>
    </row>
    <row r="723" spans="1:25" x14ac:dyDescent="0.2">
      <c r="A723">
        <v>1721</v>
      </c>
      <c r="B723" t="s">
        <v>48</v>
      </c>
      <c r="C723" t="s">
        <v>29</v>
      </c>
      <c r="D723">
        <v>2023</v>
      </c>
      <c r="E723" t="s">
        <v>26</v>
      </c>
      <c r="F723">
        <v>454</v>
      </c>
      <c r="G723">
        <v>6</v>
      </c>
      <c r="H723">
        <v>6</v>
      </c>
      <c r="I723">
        <v>2001000</v>
      </c>
      <c r="J723">
        <v>4407.5</v>
      </c>
      <c r="K723">
        <v>2</v>
      </c>
      <c r="L723" t="s">
        <v>17</v>
      </c>
      <c r="M723">
        <v>50</v>
      </c>
      <c r="N723" t="s">
        <v>27</v>
      </c>
      <c r="P723">
        <f t="shared" si="110"/>
        <v>2001000</v>
      </c>
      <c r="Q723">
        <f t="shared" si="111"/>
        <v>454</v>
      </c>
      <c r="R723" t="e">
        <f t="shared" si="112"/>
        <v>#N/A</v>
      </c>
      <c r="S723" t="e">
        <f t="shared" si="113"/>
        <v>#N/A</v>
      </c>
      <c r="T723" t="e">
        <f t="shared" si="114"/>
        <v>#N/A</v>
      </c>
      <c r="U723" t="e">
        <f t="shared" si="115"/>
        <v>#N/A</v>
      </c>
      <c r="V723" t="e">
        <f t="shared" si="116"/>
        <v>#N/A</v>
      </c>
      <c r="W723" t="e">
        <f t="shared" si="117"/>
        <v>#N/A</v>
      </c>
      <c r="X723" t="e">
        <f t="shared" si="118"/>
        <v>#N/A</v>
      </c>
      <c r="Y723" t="e">
        <f t="shared" si="119"/>
        <v>#N/A</v>
      </c>
    </row>
    <row r="724" spans="1:25" x14ac:dyDescent="0.2">
      <c r="A724">
        <v>1722</v>
      </c>
      <c r="B724" t="s">
        <v>41</v>
      </c>
      <c r="C724" t="s">
        <v>15</v>
      </c>
      <c r="D724">
        <v>2022</v>
      </c>
      <c r="E724" t="s">
        <v>24</v>
      </c>
      <c r="F724">
        <v>162</v>
      </c>
      <c r="G724">
        <v>2</v>
      </c>
      <c r="H724">
        <v>2</v>
      </c>
      <c r="I724">
        <v>697000</v>
      </c>
      <c r="J724">
        <v>4302.5</v>
      </c>
      <c r="K724">
        <v>15</v>
      </c>
      <c r="L724" t="s">
        <v>17</v>
      </c>
      <c r="M724">
        <v>116</v>
      </c>
      <c r="N724" t="s">
        <v>21</v>
      </c>
      <c r="P724" t="e">
        <f t="shared" si="110"/>
        <v>#N/A</v>
      </c>
      <c r="Q724" t="e">
        <f t="shared" si="111"/>
        <v>#N/A</v>
      </c>
      <c r="R724">
        <f t="shared" si="112"/>
        <v>697000</v>
      </c>
      <c r="S724">
        <f t="shared" si="113"/>
        <v>162</v>
      </c>
      <c r="T724" t="e">
        <f t="shared" si="114"/>
        <v>#N/A</v>
      </c>
      <c r="U724" t="e">
        <f t="shared" si="115"/>
        <v>#N/A</v>
      </c>
      <c r="V724" t="e">
        <f t="shared" si="116"/>
        <v>#N/A</v>
      </c>
      <c r="W724" t="e">
        <f t="shared" si="117"/>
        <v>#N/A</v>
      </c>
      <c r="X724" t="e">
        <f t="shared" si="118"/>
        <v>#N/A</v>
      </c>
      <c r="Y724" t="e">
        <f t="shared" si="119"/>
        <v>#N/A</v>
      </c>
    </row>
    <row r="725" spans="1:25" x14ac:dyDescent="0.2">
      <c r="A725">
        <v>1723</v>
      </c>
      <c r="B725" t="s">
        <v>35</v>
      </c>
      <c r="C725" t="s">
        <v>36</v>
      </c>
      <c r="D725">
        <v>2021</v>
      </c>
      <c r="E725" t="s">
        <v>30</v>
      </c>
      <c r="F725">
        <v>355</v>
      </c>
      <c r="G725">
        <v>5</v>
      </c>
      <c r="H725">
        <v>5</v>
      </c>
      <c r="I725">
        <v>880000</v>
      </c>
      <c r="J725">
        <v>2478.9</v>
      </c>
      <c r="K725">
        <v>1</v>
      </c>
      <c r="L725" t="s">
        <v>20</v>
      </c>
      <c r="M725">
        <v>60</v>
      </c>
      <c r="N725" t="s">
        <v>18</v>
      </c>
      <c r="P725" t="e">
        <f t="shared" si="110"/>
        <v>#N/A</v>
      </c>
      <c r="Q725" t="e">
        <f t="shared" si="111"/>
        <v>#N/A</v>
      </c>
      <c r="R725" t="e">
        <f t="shared" si="112"/>
        <v>#N/A</v>
      </c>
      <c r="S725" t="e">
        <f t="shared" si="113"/>
        <v>#N/A</v>
      </c>
      <c r="T725" t="e">
        <f t="shared" si="114"/>
        <v>#N/A</v>
      </c>
      <c r="U725" t="e">
        <f t="shared" si="115"/>
        <v>#N/A</v>
      </c>
      <c r="V725" t="e">
        <f t="shared" si="116"/>
        <v>#N/A</v>
      </c>
      <c r="W725" t="e">
        <f t="shared" si="117"/>
        <v>#N/A</v>
      </c>
      <c r="X725">
        <f t="shared" si="118"/>
        <v>880000</v>
      </c>
      <c r="Y725">
        <f t="shared" si="119"/>
        <v>355</v>
      </c>
    </row>
    <row r="726" spans="1:25" x14ac:dyDescent="0.2">
      <c r="A726">
        <v>1724</v>
      </c>
      <c r="B726" t="s">
        <v>44</v>
      </c>
      <c r="C726" t="s">
        <v>23</v>
      </c>
      <c r="D726">
        <v>2023</v>
      </c>
      <c r="E726" t="s">
        <v>16</v>
      </c>
      <c r="F726">
        <v>288</v>
      </c>
      <c r="G726">
        <v>4</v>
      </c>
      <c r="H726">
        <v>4</v>
      </c>
      <c r="I726">
        <v>1016000</v>
      </c>
      <c r="J726">
        <v>3527.8</v>
      </c>
      <c r="K726">
        <v>2</v>
      </c>
      <c r="L726" t="s">
        <v>17</v>
      </c>
      <c r="M726">
        <v>180</v>
      </c>
      <c r="N726" t="s">
        <v>18</v>
      </c>
      <c r="P726" t="e">
        <f t="shared" si="110"/>
        <v>#N/A</v>
      </c>
      <c r="Q726" t="e">
        <f t="shared" si="111"/>
        <v>#N/A</v>
      </c>
      <c r="R726" t="e">
        <f t="shared" si="112"/>
        <v>#N/A</v>
      </c>
      <c r="S726" t="e">
        <f t="shared" si="113"/>
        <v>#N/A</v>
      </c>
      <c r="T726">
        <f t="shared" si="114"/>
        <v>1016000</v>
      </c>
      <c r="U726">
        <f t="shared" si="115"/>
        <v>288</v>
      </c>
      <c r="V726" t="e">
        <f t="shared" si="116"/>
        <v>#N/A</v>
      </c>
      <c r="W726" t="e">
        <f t="shared" si="117"/>
        <v>#N/A</v>
      </c>
      <c r="X726" t="e">
        <f t="shared" si="118"/>
        <v>#N/A</v>
      </c>
      <c r="Y726" t="e">
        <f t="shared" si="119"/>
        <v>#N/A</v>
      </c>
    </row>
    <row r="727" spans="1:25" x14ac:dyDescent="0.2">
      <c r="A727">
        <v>1725</v>
      </c>
      <c r="B727" t="s">
        <v>47</v>
      </c>
      <c r="C727" t="s">
        <v>38</v>
      </c>
      <c r="D727">
        <v>2021</v>
      </c>
      <c r="E727" t="s">
        <v>26</v>
      </c>
      <c r="F727">
        <v>41</v>
      </c>
      <c r="G727">
        <v>0</v>
      </c>
      <c r="H727">
        <v>1</v>
      </c>
      <c r="I727">
        <v>144000</v>
      </c>
      <c r="J727">
        <v>3512.2</v>
      </c>
      <c r="K727">
        <v>10</v>
      </c>
      <c r="L727" t="s">
        <v>20</v>
      </c>
      <c r="M727">
        <v>43</v>
      </c>
      <c r="N727" t="s">
        <v>21</v>
      </c>
      <c r="P727" t="e">
        <f t="shared" si="110"/>
        <v>#N/A</v>
      </c>
      <c r="Q727" t="e">
        <f t="shared" si="111"/>
        <v>#N/A</v>
      </c>
      <c r="R727" t="e">
        <f t="shared" si="112"/>
        <v>#N/A</v>
      </c>
      <c r="S727" t="e">
        <f t="shared" si="113"/>
        <v>#N/A</v>
      </c>
      <c r="T727" t="e">
        <f t="shared" si="114"/>
        <v>#N/A</v>
      </c>
      <c r="U727" t="e">
        <f t="shared" si="115"/>
        <v>#N/A</v>
      </c>
      <c r="V727">
        <f t="shared" si="116"/>
        <v>144000</v>
      </c>
      <c r="W727">
        <f t="shared" si="117"/>
        <v>41</v>
      </c>
      <c r="X727" t="e">
        <f t="shared" si="118"/>
        <v>#N/A</v>
      </c>
      <c r="Y727" t="e">
        <f t="shared" si="119"/>
        <v>#N/A</v>
      </c>
    </row>
    <row r="728" spans="1:25" x14ac:dyDescent="0.2">
      <c r="A728">
        <v>1726</v>
      </c>
      <c r="B728" t="s">
        <v>33</v>
      </c>
      <c r="C728" t="s">
        <v>23</v>
      </c>
      <c r="D728">
        <v>2024</v>
      </c>
      <c r="E728" t="s">
        <v>26</v>
      </c>
      <c r="F728">
        <v>243</v>
      </c>
      <c r="G728">
        <v>3</v>
      </c>
      <c r="H728">
        <v>3</v>
      </c>
      <c r="I728">
        <v>839000</v>
      </c>
      <c r="J728">
        <v>3452.7</v>
      </c>
      <c r="K728">
        <v>3</v>
      </c>
      <c r="L728" t="s">
        <v>34</v>
      </c>
      <c r="M728">
        <v>76</v>
      </c>
      <c r="N728" t="s">
        <v>27</v>
      </c>
      <c r="P728" t="e">
        <f t="shared" si="110"/>
        <v>#N/A</v>
      </c>
      <c r="Q728" t="e">
        <f t="shared" si="111"/>
        <v>#N/A</v>
      </c>
      <c r="R728" t="e">
        <f t="shared" si="112"/>
        <v>#N/A</v>
      </c>
      <c r="S728" t="e">
        <f t="shared" si="113"/>
        <v>#N/A</v>
      </c>
      <c r="T728">
        <f t="shared" si="114"/>
        <v>839000</v>
      </c>
      <c r="U728">
        <f t="shared" si="115"/>
        <v>243</v>
      </c>
      <c r="V728" t="e">
        <f t="shared" si="116"/>
        <v>#N/A</v>
      </c>
      <c r="W728" t="e">
        <f t="shared" si="117"/>
        <v>#N/A</v>
      </c>
      <c r="X728" t="e">
        <f t="shared" si="118"/>
        <v>#N/A</v>
      </c>
      <c r="Y728" t="e">
        <f t="shared" si="119"/>
        <v>#N/A</v>
      </c>
    </row>
    <row r="729" spans="1:25" x14ac:dyDescent="0.2">
      <c r="A729">
        <v>1727</v>
      </c>
      <c r="B729" t="s">
        <v>48</v>
      </c>
      <c r="C729" t="s">
        <v>29</v>
      </c>
      <c r="D729">
        <v>2021</v>
      </c>
      <c r="E729" t="s">
        <v>24</v>
      </c>
      <c r="F729">
        <v>519</v>
      </c>
      <c r="G729">
        <v>5</v>
      </c>
      <c r="H729">
        <v>5</v>
      </c>
      <c r="I729">
        <v>2203000</v>
      </c>
      <c r="J729">
        <v>4244.7</v>
      </c>
      <c r="K729">
        <v>0</v>
      </c>
      <c r="L729" t="s">
        <v>34</v>
      </c>
      <c r="M729">
        <v>151</v>
      </c>
      <c r="N729" t="s">
        <v>27</v>
      </c>
      <c r="P729">
        <f t="shared" si="110"/>
        <v>2203000</v>
      </c>
      <c r="Q729">
        <f t="shared" si="111"/>
        <v>519</v>
      </c>
      <c r="R729" t="e">
        <f t="shared" si="112"/>
        <v>#N/A</v>
      </c>
      <c r="S729" t="e">
        <f t="shared" si="113"/>
        <v>#N/A</v>
      </c>
      <c r="T729" t="e">
        <f t="shared" si="114"/>
        <v>#N/A</v>
      </c>
      <c r="U729" t="e">
        <f t="shared" si="115"/>
        <v>#N/A</v>
      </c>
      <c r="V729" t="e">
        <f t="shared" si="116"/>
        <v>#N/A</v>
      </c>
      <c r="W729" t="e">
        <f t="shared" si="117"/>
        <v>#N/A</v>
      </c>
      <c r="X729" t="e">
        <f t="shared" si="118"/>
        <v>#N/A</v>
      </c>
      <c r="Y729" t="e">
        <f t="shared" si="119"/>
        <v>#N/A</v>
      </c>
    </row>
    <row r="730" spans="1:25" x14ac:dyDescent="0.2">
      <c r="A730">
        <v>1728</v>
      </c>
      <c r="B730" t="s">
        <v>32</v>
      </c>
      <c r="C730" t="s">
        <v>15</v>
      </c>
      <c r="D730">
        <v>2024</v>
      </c>
      <c r="E730" t="s">
        <v>26</v>
      </c>
      <c r="F730">
        <v>112</v>
      </c>
      <c r="G730">
        <v>3</v>
      </c>
      <c r="H730">
        <v>3</v>
      </c>
      <c r="I730">
        <v>378000</v>
      </c>
      <c r="J730">
        <v>3375</v>
      </c>
      <c r="K730">
        <v>10</v>
      </c>
      <c r="L730" t="s">
        <v>34</v>
      </c>
      <c r="M730">
        <v>28</v>
      </c>
      <c r="N730" t="s">
        <v>18</v>
      </c>
      <c r="P730" t="e">
        <f t="shared" si="110"/>
        <v>#N/A</v>
      </c>
      <c r="Q730" t="e">
        <f t="shared" si="111"/>
        <v>#N/A</v>
      </c>
      <c r="R730">
        <f t="shared" si="112"/>
        <v>378000</v>
      </c>
      <c r="S730">
        <f t="shared" si="113"/>
        <v>112</v>
      </c>
      <c r="T730" t="e">
        <f t="shared" si="114"/>
        <v>#N/A</v>
      </c>
      <c r="U730" t="e">
        <f t="shared" si="115"/>
        <v>#N/A</v>
      </c>
      <c r="V730" t="e">
        <f t="shared" si="116"/>
        <v>#N/A</v>
      </c>
      <c r="W730" t="e">
        <f t="shared" si="117"/>
        <v>#N/A</v>
      </c>
      <c r="X730" t="e">
        <f t="shared" si="118"/>
        <v>#N/A</v>
      </c>
      <c r="Y730" t="e">
        <f t="shared" si="119"/>
        <v>#N/A</v>
      </c>
    </row>
    <row r="731" spans="1:25" x14ac:dyDescent="0.2">
      <c r="A731">
        <v>1729</v>
      </c>
      <c r="B731" t="s">
        <v>32</v>
      </c>
      <c r="C731" t="s">
        <v>29</v>
      </c>
      <c r="D731">
        <v>2024</v>
      </c>
      <c r="E731" t="s">
        <v>26</v>
      </c>
      <c r="F731">
        <v>395</v>
      </c>
      <c r="G731">
        <v>4</v>
      </c>
      <c r="H731">
        <v>4</v>
      </c>
      <c r="I731">
        <v>2005000</v>
      </c>
      <c r="J731">
        <v>5075.8999999999996</v>
      </c>
      <c r="K731">
        <v>3</v>
      </c>
      <c r="L731" t="s">
        <v>17</v>
      </c>
      <c r="M731">
        <v>60</v>
      </c>
      <c r="N731" t="s">
        <v>18</v>
      </c>
      <c r="P731">
        <f t="shared" si="110"/>
        <v>2005000</v>
      </c>
      <c r="Q731">
        <f t="shared" si="111"/>
        <v>395</v>
      </c>
      <c r="R731" t="e">
        <f t="shared" si="112"/>
        <v>#N/A</v>
      </c>
      <c r="S731" t="e">
        <f t="shared" si="113"/>
        <v>#N/A</v>
      </c>
      <c r="T731" t="e">
        <f t="shared" si="114"/>
        <v>#N/A</v>
      </c>
      <c r="U731" t="e">
        <f t="shared" si="115"/>
        <v>#N/A</v>
      </c>
      <c r="V731" t="e">
        <f t="shared" si="116"/>
        <v>#N/A</v>
      </c>
      <c r="W731" t="e">
        <f t="shared" si="117"/>
        <v>#N/A</v>
      </c>
      <c r="X731" t="e">
        <f t="shared" si="118"/>
        <v>#N/A</v>
      </c>
      <c r="Y731" t="e">
        <f t="shared" si="119"/>
        <v>#N/A</v>
      </c>
    </row>
    <row r="732" spans="1:25" x14ac:dyDescent="0.2">
      <c r="A732">
        <v>1730</v>
      </c>
      <c r="B732" t="s">
        <v>48</v>
      </c>
      <c r="C732" t="s">
        <v>29</v>
      </c>
      <c r="D732">
        <v>2023</v>
      </c>
      <c r="E732" t="s">
        <v>30</v>
      </c>
      <c r="F732">
        <v>517</v>
      </c>
      <c r="G732">
        <v>5</v>
      </c>
      <c r="H732">
        <v>5</v>
      </c>
      <c r="I732">
        <v>2459000</v>
      </c>
      <c r="J732">
        <v>4756.3</v>
      </c>
      <c r="K732">
        <v>15</v>
      </c>
      <c r="L732" t="s">
        <v>17</v>
      </c>
      <c r="M732">
        <v>5</v>
      </c>
      <c r="N732" t="s">
        <v>27</v>
      </c>
      <c r="P732">
        <f t="shared" si="110"/>
        <v>2459000</v>
      </c>
      <c r="Q732">
        <f t="shared" si="111"/>
        <v>517</v>
      </c>
      <c r="R732" t="e">
        <f t="shared" si="112"/>
        <v>#N/A</v>
      </c>
      <c r="S732" t="e">
        <f t="shared" si="113"/>
        <v>#N/A</v>
      </c>
      <c r="T732" t="e">
        <f t="shared" si="114"/>
        <v>#N/A</v>
      </c>
      <c r="U732" t="e">
        <f t="shared" si="115"/>
        <v>#N/A</v>
      </c>
      <c r="V732" t="e">
        <f t="shared" si="116"/>
        <v>#N/A</v>
      </c>
      <c r="W732" t="e">
        <f t="shared" si="117"/>
        <v>#N/A</v>
      </c>
      <c r="X732" t="e">
        <f t="shared" si="118"/>
        <v>#N/A</v>
      </c>
      <c r="Y732" t="e">
        <f t="shared" si="119"/>
        <v>#N/A</v>
      </c>
    </row>
    <row r="733" spans="1:25" x14ac:dyDescent="0.2">
      <c r="A733">
        <v>1731</v>
      </c>
      <c r="B733" t="s">
        <v>40</v>
      </c>
      <c r="C733" t="s">
        <v>15</v>
      </c>
      <c r="D733">
        <v>2024</v>
      </c>
      <c r="E733" t="s">
        <v>24</v>
      </c>
      <c r="F733">
        <v>149</v>
      </c>
      <c r="G733">
        <v>3</v>
      </c>
      <c r="H733">
        <v>3</v>
      </c>
      <c r="I733">
        <v>573000</v>
      </c>
      <c r="J733">
        <v>3845.6</v>
      </c>
      <c r="K733">
        <v>4</v>
      </c>
      <c r="L733" t="s">
        <v>17</v>
      </c>
      <c r="M733">
        <v>67</v>
      </c>
      <c r="N733" t="s">
        <v>18</v>
      </c>
      <c r="P733" t="e">
        <f t="shared" si="110"/>
        <v>#N/A</v>
      </c>
      <c r="Q733" t="e">
        <f t="shared" si="111"/>
        <v>#N/A</v>
      </c>
      <c r="R733">
        <f t="shared" si="112"/>
        <v>573000</v>
      </c>
      <c r="S733">
        <f t="shared" si="113"/>
        <v>149</v>
      </c>
      <c r="T733" t="e">
        <f t="shared" si="114"/>
        <v>#N/A</v>
      </c>
      <c r="U733" t="e">
        <f t="shared" si="115"/>
        <v>#N/A</v>
      </c>
      <c r="V733" t="e">
        <f t="shared" si="116"/>
        <v>#N/A</v>
      </c>
      <c r="W733" t="e">
        <f t="shared" si="117"/>
        <v>#N/A</v>
      </c>
      <c r="X733" t="e">
        <f t="shared" si="118"/>
        <v>#N/A</v>
      </c>
      <c r="Y733" t="e">
        <f t="shared" si="119"/>
        <v>#N/A</v>
      </c>
    </row>
    <row r="734" spans="1:25" x14ac:dyDescent="0.2">
      <c r="A734">
        <v>1732</v>
      </c>
      <c r="B734" t="s">
        <v>41</v>
      </c>
      <c r="C734" t="s">
        <v>15</v>
      </c>
      <c r="D734">
        <v>2024</v>
      </c>
      <c r="E734" t="s">
        <v>26</v>
      </c>
      <c r="F734">
        <v>151</v>
      </c>
      <c r="G734">
        <v>3</v>
      </c>
      <c r="H734">
        <v>3</v>
      </c>
      <c r="I734">
        <v>740000</v>
      </c>
      <c r="J734">
        <v>4900.7</v>
      </c>
      <c r="K734">
        <v>3</v>
      </c>
      <c r="L734" t="s">
        <v>17</v>
      </c>
      <c r="M734">
        <v>71</v>
      </c>
      <c r="N734" t="s">
        <v>21</v>
      </c>
      <c r="P734" t="e">
        <f t="shared" si="110"/>
        <v>#N/A</v>
      </c>
      <c r="Q734" t="e">
        <f t="shared" si="111"/>
        <v>#N/A</v>
      </c>
      <c r="R734">
        <f t="shared" si="112"/>
        <v>740000</v>
      </c>
      <c r="S734">
        <f t="shared" si="113"/>
        <v>151</v>
      </c>
      <c r="T734" t="e">
        <f t="shared" si="114"/>
        <v>#N/A</v>
      </c>
      <c r="U734" t="e">
        <f t="shared" si="115"/>
        <v>#N/A</v>
      </c>
      <c r="V734" t="e">
        <f t="shared" si="116"/>
        <v>#N/A</v>
      </c>
      <c r="W734" t="e">
        <f t="shared" si="117"/>
        <v>#N/A</v>
      </c>
      <c r="X734" t="e">
        <f t="shared" si="118"/>
        <v>#N/A</v>
      </c>
      <c r="Y734" t="e">
        <f t="shared" si="119"/>
        <v>#N/A</v>
      </c>
    </row>
    <row r="735" spans="1:25" x14ac:dyDescent="0.2">
      <c r="A735">
        <v>1733</v>
      </c>
      <c r="B735" t="s">
        <v>40</v>
      </c>
      <c r="C735" t="s">
        <v>15</v>
      </c>
      <c r="D735">
        <v>2022</v>
      </c>
      <c r="E735" t="s">
        <v>24</v>
      </c>
      <c r="F735">
        <v>136</v>
      </c>
      <c r="G735">
        <v>4</v>
      </c>
      <c r="H735">
        <v>4</v>
      </c>
      <c r="I735">
        <v>470000</v>
      </c>
      <c r="J735">
        <v>3455.9</v>
      </c>
      <c r="K735">
        <v>5</v>
      </c>
      <c r="L735" t="s">
        <v>17</v>
      </c>
      <c r="M735">
        <v>37</v>
      </c>
      <c r="N735" t="s">
        <v>18</v>
      </c>
      <c r="P735" t="e">
        <f t="shared" si="110"/>
        <v>#N/A</v>
      </c>
      <c r="Q735" t="e">
        <f t="shared" si="111"/>
        <v>#N/A</v>
      </c>
      <c r="R735">
        <f t="shared" si="112"/>
        <v>470000</v>
      </c>
      <c r="S735">
        <f t="shared" si="113"/>
        <v>136</v>
      </c>
      <c r="T735" t="e">
        <f t="shared" si="114"/>
        <v>#N/A</v>
      </c>
      <c r="U735" t="e">
        <f t="shared" si="115"/>
        <v>#N/A</v>
      </c>
      <c r="V735" t="e">
        <f t="shared" si="116"/>
        <v>#N/A</v>
      </c>
      <c r="W735" t="e">
        <f t="shared" si="117"/>
        <v>#N/A</v>
      </c>
      <c r="X735" t="e">
        <f t="shared" si="118"/>
        <v>#N/A</v>
      </c>
      <c r="Y735" t="e">
        <f t="shared" si="119"/>
        <v>#N/A</v>
      </c>
    </row>
    <row r="736" spans="1:25" x14ac:dyDescent="0.2">
      <c r="A736">
        <v>1734</v>
      </c>
      <c r="B736" t="s">
        <v>48</v>
      </c>
      <c r="C736" t="s">
        <v>15</v>
      </c>
      <c r="D736">
        <v>2021</v>
      </c>
      <c r="E736" t="s">
        <v>16</v>
      </c>
      <c r="F736">
        <v>166</v>
      </c>
      <c r="G736">
        <v>4</v>
      </c>
      <c r="H736">
        <v>4</v>
      </c>
      <c r="I736">
        <v>410000</v>
      </c>
      <c r="J736">
        <v>2469.9</v>
      </c>
      <c r="K736">
        <v>10</v>
      </c>
      <c r="L736" t="s">
        <v>17</v>
      </c>
      <c r="M736">
        <v>164</v>
      </c>
      <c r="N736" t="s">
        <v>27</v>
      </c>
      <c r="P736" t="e">
        <f t="shared" si="110"/>
        <v>#N/A</v>
      </c>
      <c r="Q736" t="e">
        <f t="shared" si="111"/>
        <v>#N/A</v>
      </c>
      <c r="R736">
        <f t="shared" si="112"/>
        <v>410000</v>
      </c>
      <c r="S736">
        <f t="shared" si="113"/>
        <v>166</v>
      </c>
      <c r="T736" t="e">
        <f t="shared" si="114"/>
        <v>#N/A</v>
      </c>
      <c r="U736" t="e">
        <f t="shared" si="115"/>
        <v>#N/A</v>
      </c>
      <c r="V736" t="e">
        <f t="shared" si="116"/>
        <v>#N/A</v>
      </c>
      <c r="W736" t="e">
        <f t="shared" si="117"/>
        <v>#N/A</v>
      </c>
      <c r="X736" t="e">
        <f t="shared" si="118"/>
        <v>#N/A</v>
      </c>
      <c r="Y736" t="e">
        <f t="shared" si="119"/>
        <v>#N/A</v>
      </c>
    </row>
    <row r="737" spans="1:25" x14ac:dyDescent="0.2">
      <c r="A737">
        <v>1735</v>
      </c>
      <c r="B737" t="s">
        <v>43</v>
      </c>
      <c r="C737" t="s">
        <v>29</v>
      </c>
      <c r="D737">
        <v>2021</v>
      </c>
      <c r="E737" t="s">
        <v>30</v>
      </c>
      <c r="F737">
        <v>497</v>
      </c>
      <c r="G737">
        <v>5</v>
      </c>
      <c r="H737">
        <v>5</v>
      </c>
      <c r="I737">
        <v>2756000</v>
      </c>
      <c r="J737">
        <v>5545.3</v>
      </c>
      <c r="K737">
        <v>15</v>
      </c>
      <c r="L737" t="s">
        <v>34</v>
      </c>
      <c r="M737">
        <v>71</v>
      </c>
      <c r="N737" t="s">
        <v>27</v>
      </c>
      <c r="P737">
        <f t="shared" si="110"/>
        <v>2756000</v>
      </c>
      <c r="Q737">
        <f t="shared" si="111"/>
        <v>497</v>
      </c>
      <c r="R737" t="e">
        <f t="shared" si="112"/>
        <v>#N/A</v>
      </c>
      <c r="S737" t="e">
        <f t="shared" si="113"/>
        <v>#N/A</v>
      </c>
      <c r="T737" t="e">
        <f t="shared" si="114"/>
        <v>#N/A</v>
      </c>
      <c r="U737" t="e">
        <f t="shared" si="115"/>
        <v>#N/A</v>
      </c>
      <c r="V737" t="e">
        <f t="shared" si="116"/>
        <v>#N/A</v>
      </c>
      <c r="W737" t="e">
        <f t="shared" si="117"/>
        <v>#N/A</v>
      </c>
      <c r="X737" t="e">
        <f t="shared" si="118"/>
        <v>#N/A</v>
      </c>
      <c r="Y737" t="e">
        <f t="shared" si="119"/>
        <v>#N/A</v>
      </c>
    </row>
    <row r="738" spans="1:25" x14ac:dyDescent="0.2">
      <c r="A738">
        <v>1736</v>
      </c>
      <c r="B738" t="s">
        <v>22</v>
      </c>
      <c r="C738" t="s">
        <v>29</v>
      </c>
      <c r="D738">
        <v>2022</v>
      </c>
      <c r="E738" t="s">
        <v>26</v>
      </c>
      <c r="F738">
        <v>357</v>
      </c>
      <c r="G738">
        <v>5</v>
      </c>
      <c r="H738">
        <v>5</v>
      </c>
      <c r="I738">
        <v>1745000</v>
      </c>
      <c r="J738">
        <v>4888</v>
      </c>
      <c r="K738">
        <v>5</v>
      </c>
      <c r="L738" t="s">
        <v>17</v>
      </c>
      <c r="M738">
        <v>171</v>
      </c>
      <c r="N738" t="s">
        <v>18</v>
      </c>
      <c r="P738">
        <f t="shared" si="110"/>
        <v>1745000</v>
      </c>
      <c r="Q738">
        <f t="shared" si="111"/>
        <v>357</v>
      </c>
      <c r="R738" t="e">
        <f t="shared" si="112"/>
        <v>#N/A</v>
      </c>
      <c r="S738" t="e">
        <f t="shared" si="113"/>
        <v>#N/A</v>
      </c>
      <c r="T738" t="e">
        <f t="shared" si="114"/>
        <v>#N/A</v>
      </c>
      <c r="U738" t="e">
        <f t="shared" si="115"/>
        <v>#N/A</v>
      </c>
      <c r="V738" t="e">
        <f t="shared" si="116"/>
        <v>#N/A</v>
      </c>
      <c r="W738" t="e">
        <f t="shared" si="117"/>
        <v>#N/A</v>
      </c>
      <c r="X738" t="e">
        <f t="shared" si="118"/>
        <v>#N/A</v>
      </c>
      <c r="Y738" t="e">
        <f t="shared" si="119"/>
        <v>#N/A</v>
      </c>
    </row>
    <row r="739" spans="1:25" x14ac:dyDescent="0.2">
      <c r="A739">
        <v>1737</v>
      </c>
      <c r="B739" t="s">
        <v>46</v>
      </c>
      <c r="C739" t="s">
        <v>38</v>
      </c>
      <c r="D739">
        <v>2022</v>
      </c>
      <c r="E739" t="s">
        <v>24</v>
      </c>
      <c r="F739">
        <v>42</v>
      </c>
      <c r="G739">
        <v>0</v>
      </c>
      <c r="H739">
        <v>1</v>
      </c>
      <c r="I739">
        <v>189000</v>
      </c>
      <c r="J739">
        <v>4500</v>
      </c>
      <c r="K739">
        <v>3</v>
      </c>
      <c r="L739" t="s">
        <v>34</v>
      </c>
      <c r="M739">
        <v>22</v>
      </c>
      <c r="N739" t="s">
        <v>18</v>
      </c>
      <c r="P739" t="e">
        <f t="shared" si="110"/>
        <v>#N/A</v>
      </c>
      <c r="Q739" t="e">
        <f t="shared" si="111"/>
        <v>#N/A</v>
      </c>
      <c r="R739" t="e">
        <f t="shared" si="112"/>
        <v>#N/A</v>
      </c>
      <c r="S739" t="e">
        <f t="shared" si="113"/>
        <v>#N/A</v>
      </c>
      <c r="T739" t="e">
        <f t="shared" si="114"/>
        <v>#N/A</v>
      </c>
      <c r="U739" t="e">
        <f t="shared" si="115"/>
        <v>#N/A</v>
      </c>
      <c r="V739">
        <f t="shared" si="116"/>
        <v>189000</v>
      </c>
      <c r="W739">
        <f t="shared" si="117"/>
        <v>42</v>
      </c>
      <c r="X739" t="e">
        <f t="shared" si="118"/>
        <v>#N/A</v>
      </c>
      <c r="Y739" t="e">
        <f t="shared" si="119"/>
        <v>#N/A</v>
      </c>
    </row>
    <row r="740" spans="1:25" x14ac:dyDescent="0.2">
      <c r="A740">
        <v>1738</v>
      </c>
      <c r="B740" t="s">
        <v>28</v>
      </c>
      <c r="C740" t="s">
        <v>15</v>
      </c>
      <c r="D740">
        <v>2021</v>
      </c>
      <c r="E740" t="s">
        <v>24</v>
      </c>
      <c r="F740">
        <v>90</v>
      </c>
      <c r="G740">
        <v>4</v>
      </c>
      <c r="H740">
        <v>4</v>
      </c>
      <c r="I740">
        <v>231000</v>
      </c>
      <c r="J740">
        <v>2566.6999999999998</v>
      </c>
      <c r="K740">
        <v>1</v>
      </c>
      <c r="L740" t="s">
        <v>20</v>
      </c>
      <c r="M740">
        <v>5</v>
      </c>
      <c r="N740" t="s">
        <v>27</v>
      </c>
      <c r="P740" t="e">
        <f t="shared" si="110"/>
        <v>#N/A</v>
      </c>
      <c r="Q740" t="e">
        <f t="shared" si="111"/>
        <v>#N/A</v>
      </c>
      <c r="R740">
        <f t="shared" si="112"/>
        <v>231000</v>
      </c>
      <c r="S740">
        <f t="shared" si="113"/>
        <v>90</v>
      </c>
      <c r="T740" t="e">
        <f t="shared" si="114"/>
        <v>#N/A</v>
      </c>
      <c r="U740" t="e">
        <f t="shared" si="115"/>
        <v>#N/A</v>
      </c>
      <c r="V740" t="e">
        <f t="shared" si="116"/>
        <v>#N/A</v>
      </c>
      <c r="W740" t="e">
        <f t="shared" si="117"/>
        <v>#N/A</v>
      </c>
      <c r="X740" t="e">
        <f t="shared" si="118"/>
        <v>#N/A</v>
      </c>
      <c r="Y740" t="e">
        <f t="shared" si="119"/>
        <v>#N/A</v>
      </c>
    </row>
    <row r="741" spans="1:25" x14ac:dyDescent="0.2">
      <c r="A741">
        <v>1739</v>
      </c>
      <c r="B741" t="s">
        <v>48</v>
      </c>
      <c r="C741" t="s">
        <v>15</v>
      </c>
      <c r="D741">
        <v>2024</v>
      </c>
      <c r="E741" t="s">
        <v>16</v>
      </c>
      <c r="F741">
        <v>160</v>
      </c>
      <c r="G741">
        <v>4</v>
      </c>
      <c r="H741">
        <v>4</v>
      </c>
      <c r="I741">
        <v>524000</v>
      </c>
      <c r="J741">
        <v>3275</v>
      </c>
      <c r="K741">
        <v>0</v>
      </c>
      <c r="L741" t="s">
        <v>34</v>
      </c>
      <c r="M741">
        <v>59</v>
      </c>
      <c r="N741" t="s">
        <v>27</v>
      </c>
      <c r="P741" t="e">
        <f t="shared" si="110"/>
        <v>#N/A</v>
      </c>
      <c r="Q741" t="e">
        <f t="shared" si="111"/>
        <v>#N/A</v>
      </c>
      <c r="R741">
        <f t="shared" si="112"/>
        <v>524000</v>
      </c>
      <c r="S741">
        <f t="shared" si="113"/>
        <v>160</v>
      </c>
      <c r="T741" t="e">
        <f t="shared" si="114"/>
        <v>#N/A</v>
      </c>
      <c r="U741" t="e">
        <f t="shared" si="115"/>
        <v>#N/A</v>
      </c>
      <c r="V741" t="e">
        <f t="shared" si="116"/>
        <v>#N/A</v>
      </c>
      <c r="W741" t="e">
        <f t="shared" si="117"/>
        <v>#N/A</v>
      </c>
      <c r="X741" t="e">
        <f t="shared" si="118"/>
        <v>#N/A</v>
      </c>
      <c r="Y741" t="e">
        <f t="shared" si="119"/>
        <v>#N/A</v>
      </c>
    </row>
    <row r="742" spans="1:25" x14ac:dyDescent="0.2">
      <c r="A742">
        <v>1740</v>
      </c>
      <c r="B742" t="s">
        <v>48</v>
      </c>
      <c r="C742" t="s">
        <v>29</v>
      </c>
      <c r="D742">
        <v>2021</v>
      </c>
      <c r="E742" t="s">
        <v>30</v>
      </c>
      <c r="F742">
        <v>451</v>
      </c>
      <c r="G742">
        <v>5</v>
      </c>
      <c r="H742">
        <v>5</v>
      </c>
      <c r="I742">
        <v>1950000</v>
      </c>
      <c r="J742">
        <v>4323.7</v>
      </c>
      <c r="K742">
        <v>15</v>
      </c>
      <c r="L742" t="s">
        <v>34</v>
      </c>
      <c r="M742">
        <v>31</v>
      </c>
      <c r="N742" t="s">
        <v>27</v>
      </c>
      <c r="P742">
        <f t="shared" si="110"/>
        <v>1950000</v>
      </c>
      <c r="Q742">
        <f t="shared" si="111"/>
        <v>451</v>
      </c>
      <c r="R742" t="e">
        <f t="shared" si="112"/>
        <v>#N/A</v>
      </c>
      <c r="S742" t="e">
        <f t="shared" si="113"/>
        <v>#N/A</v>
      </c>
      <c r="T742" t="e">
        <f t="shared" si="114"/>
        <v>#N/A</v>
      </c>
      <c r="U742" t="e">
        <f t="shared" si="115"/>
        <v>#N/A</v>
      </c>
      <c r="V742" t="e">
        <f t="shared" si="116"/>
        <v>#N/A</v>
      </c>
      <c r="W742" t="e">
        <f t="shared" si="117"/>
        <v>#N/A</v>
      </c>
      <c r="X742" t="e">
        <f t="shared" si="118"/>
        <v>#N/A</v>
      </c>
      <c r="Y742" t="e">
        <f t="shared" si="119"/>
        <v>#N/A</v>
      </c>
    </row>
    <row r="743" spans="1:25" x14ac:dyDescent="0.2">
      <c r="A743">
        <v>1741</v>
      </c>
      <c r="B743" t="s">
        <v>41</v>
      </c>
      <c r="C743" t="s">
        <v>29</v>
      </c>
      <c r="D743">
        <v>2022</v>
      </c>
      <c r="E743" t="s">
        <v>24</v>
      </c>
      <c r="F743">
        <v>619</v>
      </c>
      <c r="G743">
        <v>5</v>
      </c>
      <c r="H743">
        <v>5</v>
      </c>
      <c r="I743">
        <v>4268000</v>
      </c>
      <c r="J743">
        <v>6895</v>
      </c>
      <c r="K743">
        <v>7</v>
      </c>
      <c r="L743" t="s">
        <v>20</v>
      </c>
      <c r="M743">
        <v>50</v>
      </c>
      <c r="N743" t="s">
        <v>21</v>
      </c>
      <c r="P743">
        <f t="shared" si="110"/>
        <v>4268000</v>
      </c>
      <c r="Q743">
        <f t="shared" si="111"/>
        <v>619</v>
      </c>
      <c r="R743" t="e">
        <f t="shared" si="112"/>
        <v>#N/A</v>
      </c>
      <c r="S743" t="e">
        <f t="shared" si="113"/>
        <v>#N/A</v>
      </c>
      <c r="T743" t="e">
        <f t="shared" si="114"/>
        <v>#N/A</v>
      </c>
      <c r="U743" t="e">
        <f t="shared" si="115"/>
        <v>#N/A</v>
      </c>
      <c r="V743" t="e">
        <f t="shared" si="116"/>
        <v>#N/A</v>
      </c>
      <c r="W743" t="e">
        <f t="shared" si="117"/>
        <v>#N/A</v>
      </c>
      <c r="X743" t="e">
        <f t="shared" si="118"/>
        <v>#N/A</v>
      </c>
      <c r="Y743" t="e">
        <f t="shared" si="119"/>
        <v>#N/A</v>
      </c>
    </row>
    <row r="744" spans="1:25" x14ac:dyDescent="0.2">
      <c r="A744">
        <v>1742</v>
      </c>
      <c r="B744" t="s">
        <v>48</v>
      </c>
      <c r="C744" t="s">
        <v>15</v>
      </c>
      <c r="D744">
        <v>2022</v>
      </c>
      <c r="E744" t="s">
        <v>30</v>
      </c>
      <c r="F744">
        <v>147</v>
      </c>
      <c r="G744">
        <v>3</v>
      </c>
      <c r="H744">
        <v>3</v>
      </c>
      <c r="I744">
        <v>415000</v>
      </c>
      <c r="J744">
        <v>2823.1</v>
      </c>
      <c r="K744">
        <v>10</v>
      </c>
      <c r="L744" t="s">
        <v>17</v>
      </c>
      <c r="M744">
        <v>129</v>
      </c>
      <c r="N744" t="s">
        <v>27</v>
      </c>
      <c r="P744" t="e">
        <f t="shared" si="110"/>
        <v>#N/A</v>
      </c>
      <c r="Q744" t="e">
        <f t="shared" si="111"/>
        <v>#N/A</v>
      </c>
      <c r="R744">
        <f t="shared" si="112"/>
        <v>415000</v>
      </c>
      <c r="S744">
        <f t="shared" si="113"/>
        <v>147</v>
      </c>
      <c r="T744" t="e">
        <f t="shared" si="114"/>
        <v>#N/A</v>
      </c>
      <c r="U744" t="e">
        <f t="shared" si="115"/>
        <v>#N/A</v>
      </c>
      <c r="V744" t="e">
        <f t="shared" si="116"/>
        <v>#N/A</v>
      </c>
      <c r="W744" t="e">
        <f t="shared" si="117"/>
        <v>#N/A</v>
      </c>
      <c r="X744" t="e">
        <f t="shared" si="118"/>
        <v>#N/A</v>
      </c>
      <c r="Y744" t="e">
        <f t="shared" si="119"/>
        <v>#N/A</v>
      </c>
    </row>
    <row r="745" spans="1:25" x14ac:dyDescent="0.2">
      <c r="A745">
        <v>1743</v>
      </c>
      <c r="B745" t="s">
        <v>14</v>
      </c>
      <c r="C745" t="s">
        <v>15</v>
      </c>
      <c r="D745">
        <v>2023</v>
      </c>
      <c r="E745" t="s">
        <v>26</v>
      </c>
      <c r="F745">
        <v>142</v>
      </c>
      <c r="G745">
        <v>2</v>
      </c>
      <c r="H745">
        <v>2</v>
      </c>
      <c r="I745">
        <v>587000</v>
      </c>
      <c r="J745">
        <v>4133.8</v>
      </c>
      <c r="K745">
        <v>10</v>
      </c>
      <c r="L745" t="s">
        <v>34</v>
      </c>
      <c r="M745">
        <v>68</v>
      </c>
      <c r="N745" t="s">
        <v>18</v>
      </c>
      <c r="P745" t="e">
        <f t="shared" si="110"/>
        <v>#N/A</v>
      </c>
      <c r="Q745" t="e">
        <f t="shared" si="111"/>
        <v>#N/A</v>
      </c>
      <c r="R745">
        <f t="shared" si="112"/>
        <v>587000</v>
      </c>
      <c r="S745">
        <f t="shared" si="113"/>
        <v>142</v>
      </c>
      <c r="T745" t="e">
        <f t="shared" si="114"/>
        <v>#N/A</v>
      </c>
      <c r="U745" t="e">
        <f t="shared" si="115"/>
        <v>#N/A</v>
      </c>
      <c r="V745" t="e">
        <f t="shared" si="116"/>
        <v>#N/A</v>
      </c>
      <c r="W745" t="e">
        <f t="shared" si="117"/>
        <v>#N/A</v>
      </c>
      <c r="X745" t="e">
        <f t="shared" si="118"/>
        <v>#N/A</v>
      </c>
      <c r="Y745" t="e">
        <f t="shared" si="119"/>
        <v>#N/A</v>
      </c>
    </row>
    <row r="746" spans="1:25" x14ac:dyDescent="0.2">
      <c r="A746">
        <v>1744</v>
      </c>
      <c r="B746" t="s">
        <v>46</v>
      </c>
      <c r="C746" t="s">
        <v>15</v>
      </c>
      <c r="D746">
        <v>2021</v>
      </c>
      <c r="E746" t="s">
        <v>26</v>
      </c>
      <c r="F746">
        <v>153</v>
      </c>
      <c r="G746">
        <v>2</v>
      </c>
      <c r="H746">
        <v>2</v>
      </c>
      <c r="I746">
        <v>473000</v>
      </c>
      <c r="J746">
        <v>3091.5</v>
      </c>
      <c r="K746">
        <v>7</v>
      </c>
      <c r="L746" t="s">
        <v>20</v>
      </c>
      <c r="M746">
        <v>173</v>
      </c>
      <c r="N746" t="s">
        <v>18</v>
      </c>
      <c r="P746" t="e">
        <f t="shared" si="110"/>
        <v>#N/A</v>
      </c>
      <c r="Q746" t="e">
        <f t="shared" si="111"/>
        <v>#N/A</v>
      </c>
      <c r="R746">
        <f t="shared" si="112"/>
        <v>473000</v>
      </c>
      <c r="S746">
        <f t="shared" si="113"/>
        <v>153</v>
      </c>
      <c r="T746" t="e">
        <f t="shared" si="114"/>
        <v>#N/A</v>
      </c>
      <c r="U746" t="e">
        <f t="shared" si="115"/>
        <v>#N/A</v>
      </c>
      <c r="V746" t="e">
        <f t="shared" si="116"/>
        <v>#N/A</v>
      </c>
      <c r="W746" t="e">
        <f t="shared" si="117"/>
        <v>#N/A</v>
      </c>
      <c r="X746" t="e">
        <f t="shared" si="118"/>
        <v>#N/A</v>
      </c>
      <c r="Y746" t="e">
        <f t="shared" si="119"/>
        <v>#N/A</v>
      </c>
    </row>
    <row r="747" spans="1:25" x14ac:dyDescent="0.2">
      <c r="A747">
        <v>1745</v>
      </c>
      <c r="B747" t="s">
        <v>14</v>
      </c>
      <c r="C747" t="s">
        <v>23</v>
      </c>
      <c r="D747">
        <v>2022</v>
      </c>
      <c r="E747" t="s">
        <v>16</v>
      </c>
      <c r="F747">
        <v>296</v>
      </c>
      <c r="G747">
        <v>5</v>
      </c>
      <c r="H747">
        <v>5</v>
      </c>
      <c r="I747">
        <v>1208000</v>
      </c>
      <c r="J747">
        <v>4081.1</v>
      </c>
      <c r="K747">
        <v>2</v>
      </c>
      <c r="L747" t="s">
        <v>17</v>
      </c>
      <c r="M747">
        <v>113</v>
      </c>
      <c r="N747" t="s">
        <v>18</v>
      </c>
      <c r="P747" t="e">
        <f t="shared" si="110"/>
        <v>#N/A</v>
      </c>
      <c r="Q747" t="e">
        <f t="shared" si="111"/>
        <v>#N/A</v>
      </c>
      <c r="R747" t="e">
        <f t="shared" si="112"/>
        <v>#N/A</v>
      </c>
      <c r="S747" t="e">
        <f t="shared" si="113"/>
        <v>#N/A</v>
      </c>
      <c r="T747">
        <f t="shared" si="114"/>
        <v>1208000</v>
      </c>
      <c r="U747">
        <f t="shared" si="115"/>
        <v>296</v>
      </c>
      <c r="V747" t="e">
        <f t="shared" si="116"/>
        <v>#N/A</v>
      </c>
      <c r="W747" t="e">
        <f t="shared" si="117"/>
        <v>#N/A</v>
      </c>
      <c r="X747" t="e">
        <f t="shared" si="118"/>
        <v>#N/A</v>
      </c>
      <c r="Y747" t="e">
        <f t="shared" si="119"/>
        <v>#N/A</v>
      </c>
    </row>
    <row r="748" spans="1:25" x14ac:dyDescent="0.2">
      <c r="A748">
        <v>1746</v>
      </c>
      <c r="B748" t="s">
        <v>31</v>
      </c>
      <c r="C748" t="s">
        <v>15</v>
      </c>
      <c r="D748">
        <v>2024</v>
      </c>
      <c r="E748" t="s">
        <v>30</v>
      </c>
      <c r="F748">
        <v>140</v>
      </c>
      <c r="G748">
        <v>3</v>
      </c>
      <c r="H748">
        <v>3</v>
      </c>
      <c r="I748">
        <v>405000</v>
      </c>
      <c r="J748">
        <v>2892.9</v>
      </c>
      <c r="K748">
        <v>2</v>
      </c>
      <c r="L748" t="s">
        <v>20</v>
      </c>
      <c r="M748">
        <v>118</v>
      </c>
      <c r="N748" t="s">
        <v>21</v>
      </c>
      <c r="P748" t="e">
        <f t="shared" si="110"/>
        <v>#N/A</v>
      </c>
      <c r="Q748" t="e">
        <f t="shared" si="111"/>
        <v>#N/A</v>
      </c>
      <c r="R748">
        <f t="shared" si="112"/>
        <v>405000</v>
      </c>
      <c r="S748">
        <f t="shared" si="113"/>
        <v>140</v>
      </c>
      <c r="T748" t="e">
        <f t="shared" si="114"/>
        <v>#N/A</v>
      </c>
      <c r="U748" t="e">
        <f t="shared" si="115"/>
        <v>#N/A</v>
      </c>
      <c r="V748" t="e">
        <f t="shared" si="116"/>
        <v>#N/A</v>
      </c>
      <c r="W748" t="e">
        <f t="shared" si="117"/>
        <v>#N/A</v>
      </c>
      <c r="X748" t="e">
        <f t="shared" si="118"/>
        <v>#N/A</v>
      </c>
      <c r="Y748" t="e">
        <f t="shared" si="119"/>
        <v>#N/A</v>
      </c>
    </row>
    <row r="749" spans="1:25" x14ac:dyDescent="0.2">
      <c r="A749">
        <v>1747</v>
      </c>
      <c r="B749" t="s">
        <v>41</v>
      </c>
      <c r="C749" t="s">
        <v>15</v>
      </c>
      <c r="D749">
        <v>2024</v>
      </c>
      <c r="E749" t="s">
        <v>16</v>
      </c>
      <c r="F749">
        <v>122</v>
      </c>
      <c r="G749">
        <v>2</v>
      </c>
      <c r="H749">
        <v>2</v>
      </c>
      <c r="I749">
        <v>655000</v>
      </c>
      <c r="J749">
        <v>5368.9</v>
      </c>
      <c r="K749">
        <v>0</v>
      </c>
      <c r="L749" t="s">
        <v>20</v>
      </c>
      <c r="M749">
        <v>55</v>
      </c>
      <c r="N749" t="s">
        <v>21</v>
      </c>
      <c r="P749" t="e">
        <f t="shared" si="110"/>
        <v>#N/A</v>
      </c>
      <c r="Q749" t="e">
        <f t="shared" si="111"/>
        <v>#N/A</v>
      </c>
      <c r="R749">
        <f t="shared" si="112"/>
        <v>655000</v>
      </c>
      <c r="S749">
        <f t="shared" si="113"/>
        <v>122</v>
      </c>
      <c r="T749" t="e">
        <f t="shared" si="114"/>
        <v>#N/A</v>
      </c>
      <c r="U749" t="e">
        <f t="shared" si="115"/>
        <v>#N/A</v>
      </c>
      <c r="V749" t="e">
        <f t="shared" si="116"/>
        <v>#N/A</v>
      </c>
      <c r="W749" t="e">
        <f t="shared" si="117"/>
        <v>#N/A</v>
      </c>
      <c r="X749" t="e">
        <f t="shared" si="118"/>
        <v>#N/A</v>
      </c>
      <c r="Y749" t="e">
        <f t="shared" si="119"/>
        <v>#N/A</v>
      </c>
    </row>
    <row r="750" spans="1:25" x14ac:dyDescent="0.2">
      <c r="A750">
        <v>1748</v>
      </c>
      <c r="B750" t="s">
        <v>25</v>
      </c>
      <c r="C750" t="s">
        <v>29</v>
      </c>
      <c r="D750">
        <v>2021</v>
      </c>
      <c r="E750" t="s">
        <v>16</v>
      </c>
      <c r="F750">
        <v>422</v>
      </c>
      <c r="G750">
        <v>5</v>
      </c>
      <c r="H750">
        <v>5</v>
      </c>
      <c r="I750">
        <v>1483000</v>
      </c>
      <c r="J750">
        <v>3514.2</v>
      </c>
      <c r="K750">
        <v>7</v>
      </c>
      <c r="L750" t="s">
        <v>17</v>
      </c>
      <c r="M750">
        <v>176</v>
      </c>
      <c r="N750" t="s">
        <v>27</v>
      </c>
      <c r="P750">
        <f t="shared" si="110"/>
        <v>1483000</v>
      </c>
      <c r="Q750">
        <f t="shared" si="111"/>
        <v>422</v>
      </c>
      <c r="R750" t="e">
        <f t="shared" si="112"/>
        <v>#N/A</v>
      </c>
      <c r="S750" t="e">
        <f t="shared" si="113"/>
        <v>#N/A</v>
      </c>
      <c r="T750" t="e">
        <f t="shared" si="114"/>
        <v>#N/A</v>
      </c>
      <c r="U750" t="e">
        <f t="shared" si="115"/>
        <v>#N/A</v>
      </c>
      <c r="V750" t="e">
        <f t="shared" si="116"/>
        <v>#N/A</v>
      </c>
      <c r="W750" t="e">
        <f t="shared" si="117"/>
        <v>#N/A</v>
      </c>
      <c r="X750" t="e">
        <f t="shared" si="118"/>
        <v>#N/A</v>
      </c>
      <c r="Y750" t="e">
        <f t="shared" si="119"/>
        <v>#N/A</v>
      </c>
    </row>
    <row r="751" spans="1:25" x14ac:dyDescent="0.2">
      <c r="A751">
        <v>1749</v>
      </c>
      <c r="B751" t="s">
        <v>45</v>
      </c>
      <c r="C751" t="s">
        <v>15</v>
      </c>
      <c r="D751">
        <v>2023</v>
      </c>
      <c r="E751" t="s">
        <v>26</v>
      </c>
      <c r="F751">
        <v>145</v>
      </c>
      <c r="G751">
        <v>2</v>
      </c>
      <c r="H751">
        <v>2</v>
      </c>
      <c r="I751">
        <v>630000</v>
      </c>
      <c r="J751">
        <v>4344.8</v>
      </c>
      <c r="K751">
        <v>15</v>
      </c>
      <c r="L751" t="s">
        <v>17</v>
      </c>
      <c r="M751">
        <v>92</v>
      </c>
      <c r="N751" t="s">
        <v>21</v>
      </c>
      <c r="P751" t="e">
        <f t="shared" si="110"/>
        <v>#N/A</v>
      </c>
      <c r="Q751" t="e">
        <f t="shared" si="111"/>
        <v>#N/A</v>
      </c>
      <c r="R751">
        <f t="shared" si="112"/>
        <v>630000</v>
      </c>
      <c r="S751">
        <f t="shared" si="113"/>
        <v>145</v>
      </c>
      <c r="T751" t="e">
        <f t="shared" si="114"/>
        <v>#N/A</v>
      </c>
      <c r="U751" t="e">
        <f t="shared" si="115"/>
        <v>#N/A</v>
      </c>
      <c r="V751" t="e">
        <f t="shared" si="116"/>
        <v>#N/A</v>
      </c>
      <c r="W751" t="e">
        <f t="shared" si="117"/>
        <v>#N/A</v>
      </c>
      <c r="X751" t="e">
        <f t="shared" si="118"/>
        <v>#N/A</v>
      </c>
      <c r="Y751" t="e">
        <f t="shared" si="119"/>
        <v>#N/A</v>
      </c>
    </row>
    <row r="752" spans="1:25" x14ac:dyDescent="0.2">
      <c r="A752">
        <v>1750</v>
      </c>
      <c r="B752" t="s">
        <v>46</v>
      </c>
      <c r="C752" t="s">
        <v>29</v>
      </c>
      <c r="D752">
        <v>2021</v>
      </c>
      <c r="E752" t="s">
        <v>16</v>
      </c>
      <c r="F752">
        <v>418</v>
      </c>
      <c r="G752">
        <v>5</v>
      </c>
      <c r="H752">
        <v>5</v>
      </c>
      <c r="I752">
        <v>1910000</v>
      </c>
      <c r="J752">
        <v>4569.3999999999996</v>
      </c>
      <c r="K752">
        <v>10</v>
      </c>
      <c r="L752" t="s">
        <v>34</v>
      </c>
      <c r="M752">
        <v>112</v>
      </c>
      <c r="N752" t="s">
        <v>18</v>
      </c>
      <c r="P752">
        <f t="shared" si="110"/>
        <v>1910000</v>
      </c>
      <c r="Q752">
        <f t="shared" si="111"/>
        <v>418</v>
      </c>
      <c r="R752" t="e">
        <f t="shared" si="112"/>
        <v>#N/A</v>
      </c>
      <c r="S752" t="e">
        <f t="shared" si="113"/>
        <v>#N/A</v>
      </c>
      <c r="T752" t="e">
        <f t="shared" si="114"/>
        <v>#N/A</v>
      </c>
      <c r="U752" t="e">
        <f t="shared" si="115"/>
        <v>#N/A</v>
      </c>
      <c r="V752" t="e">
        <f t="shared" si="116"/>
        <v>#N/A</v>
      </c>
      <c r="W752" t="e">
        <f t="shared" si="117"/>
        <v>#N/A</v>
      </c>
      <c r="X752" t="e">
        <f t="shared" si="118"/>
        <v>#N/A</v>
      </c>
      <c r="Y752" t="e">
        <f t="shared" si="119"/>
        <v>#N/A</v>
      </c>
    </row>
    <row r="753" spans="1:25" x14ac:dyDescent="0.2">
      <c r="A753">
        <v>1751</v>
      </c>
      <c r="B753" t="s">
        <v>19</v>
      </c>
      <c r="C753" t="s">
        <v>15</v>
      </c>
      <c r="D753">
        <v>2024</v>
      </c>
      <c r="E753" t="s">
        <v>24</v>
      </c>
      <c r="F753">
        <v>170</v>
      </c>
      <c r="G753">
        <v>3</v>
      </c>
      <c r="H753">
        <v>3</v>
      </c>
      <c r="I753">
        <v>624000</v>
      </c>
      <c r="J753">
        <v>3670.6</v>
      </c>
      <c r="K753">
        <v>7</v>
      </c>
      <c r="L753" t="s">
        <v>20</v>
      </c>
      <c r="M753">
        <v>131</v>
      </c>
      <c r="N753" t="s">
        <v>21</v>
      </c>
      <c r="P753" t="e">
        <f t="shared" si="110"/>
        <v>#N/A</v>
      </c>
      <c r="Q753" t="e">
        <f t="shared" si="111"/>
        <v>#N/A</v>
      </c>
      <c r="R753">
        <f t="shared" si="112"/>
        <v>624000</v>
      </c>
      <c r="S753">
        <f t="shared" si="113"/>
        <v>170</v>
      </c>
      <c r="T753" t="e">
        <f t="shared" si="114"/>
        <v>#N/A</v>
      </c>
      <c r="U753" t="e">
        <f t="shared" si="115"/>
        <v>#N/A</v>
      </c>
      <c r="V753" t="e">
        <f t="shared" si="116"/>
        <v>#N/A</v>
      </c>
      <c r="W753" t="e">
        <f t="shared" si="117"/>
        <v>#N/A</v>
      </c>
      <c r="X753" t="e">
        <f t="shared" si="118"/>
        <v>#N/A</v>
      </c>
      <c r="Y753" t="e">
        <f t="shared" si="119"/>
        <v>#N/A</v>
      </c>
    </row>
    <row r="754" spans="1:25" x14ac:dyDescent="0.2">
      <c r="A754">
        <v>1752</v>
      </c>
      <c r="B754" t="s">
        <v>48</v>
      </c>
      <c r="C754" t="s">
        <v>23</v>
      </c>
      <c r="D754">
        <v>2023</v>
      </c>
      <c r="E754" t="s">
        <v>16</v>
      </c>
      <c r="F754">
        <v>281</v>
      </c>
      <c r="G754">
        <v>4</v>
      </c>
      <c r="H754">
        <v>4</v>
      </c>
      <c r="I754">
        <v>1010000</v>
      </c>
      <c r="J754">
        <v>3594.3</v>
      </c>
      <c r="K754">
        <v>10</v>
      </c>
      <c r="L754" t="s">
        <v>17</v>
      </c>
      <c r="M754">
        <v>147</v>
      </c>
      <c r="N754" t="s">
        <v>27</v>
      </c>
      <c r="P754" t="e">
        <f t="shared" si="110"/>
        <v>#N/A</v>
      </c>
      <c r="Q754" t="e">
        <f t="shared" si="111"/>
        <v>#N/A</v>
      </c>
      <c r="R754" t="e">
        <f t="shared" si="112"/>
        <v>#N/A</v>
      </c>
      <c r="S754" t="e">
        <f t="shared" si="113"/>
        <v>#N/A</v>
      </c>
      <c r="T754">
        <f t="shared" si="114"/>
        <v>1010000</v>
      </c>
      <c r="U754">
        <f t="shared" si="115"/>
        <v>281</v>
      </c>
      <c r="V754" t="e">
        <f t="shared" si="116"/>
        <v>#N/A</v>
      </c>
      <c r="W754" t="e">
        <f t="shared" si="117"/>
        <v>#N/A</v>
      </c>
      <c r="X754" t="e">
        <f t="shared" si="118"/>
        <v>#N/A</v>
      </c>
      <c r="Y754" t="e">
        <f t="shared" si="119"/>
        <v>#N/A</v>
      </c>
    </row>
    <row r="755" spans="1:25" x14ac:dyDescent="0.2">
      <c r="A755">
        <v>1753</v>
      </c>
      <c r="B755" t="s">
        <v>41</v>
      </c>
      <c r="C755" t="s">
        <v>15</v>
      </c>
      <c r="D755">
        <v>2023</v>
      </c>
      <c r="E755" t="s">
        <v>24</v>
      </c>
      <c r="F755">
        <v>106</v>
      </c>
      <c r="G755">
        <v>3</v>
      </c>
      <c r="H755">
        <v>3</v>
      </c>
      <c r="I755">
        <v>491000</v>
      </c>
      <c r="J755">
        <v>4632.1000000000004</v>
      </c>
      <c r="K755">
        <v>20</v>
      </c>
      <c r="L755" t="s">
        <v>34</v>
      </c>
      <c r="M755">
        <v>126</v>
      </c>
      <c r="N755" t="s">
        <v>21</v>
      </c>
      <c r="P755" t="e">
        <f t="shared" si="110"/>
        <v>#N/A</v>
      </c>
      <c r="Q755" t="e">
        <f t="shared" si="111"/>
        <v>#N/A</v>
      </c>
      <c r="R755">
        <f t="shared" si="112"/>
        <v>491000</v>
      </c>
      <c r="S755">
        <f t="shared" si="113"/>
        <v>106</v>
      </c>
      <c r="T755" t="e">
        <f t="shared" si="114"/>
        <v>#N/A</v>
      </c>
      <c r="U755" t="e">
        <f t="shared" si="115"/>
        <v>#N/A</v>
      </c>
      <c r="V755" t="e">
        <f t="shared" si="116"/>
        <v>#N/A</v>
      </c>
      <c r="W755" t="e">
        <f t="shared" si="117"/>
        <v>#N/A</v>
      </c>
      <c r="X755" t="e">
        <f t="shared" si="118"/>
        <v>#N/A</v>
      </c>
      <c r="Y755" t="e">
        <f t="shared" si="119"/>
        <v>#N/A</v>
      </c>
    </row>
    <row r="756" spans="1:25" x14ac:dyDescent="0.2">
      <c r="A756">
        <v>1754</v>
      </c>
      <c r="B756" t="s">
        <v>46</v>
      </c>
      <c r="C756" t="s">
        <v>29</v>
      </c>
      <c r="D756">
        <v>2024</v>
      </c>
      <c r="E756" t="s">
        <v>24</v>
      </c>
      <c r="F756">
        <v>371</v>
      </c>
      <c r="G756">
        <v>4</v>
      </c>
      <c r="H756">
        <v>4</v>
      </c>
      <c r="I756">
        <v>1910000</v>
      </c>
      <c r="J756">
        <v>5148.2</v>
      </c>
      <c r="K756">
        <v>15</v>
      </c>
      <c r="L756" t="s">
        <v>20</v>
      </c>
      <c r="M756">
        <v>35</v>
      </c>
      <c r="N756" t="s">
        <v>18</v>
      </c>
      <c r="P756">
        <f t="shared" si="110"/>
        <v>1910000</v>
      </c>
      <c r="Q756">
        <f t="shared" si="111"/>
        <v>371</v>
      </c>
      <c r="R756" t="e">
        <f t="shared" si="112"/>
        <v>#N/A</v>
      </c>
      <c r="S756" t="e">
        <f t="shared" si="113"/>
        <v>#N/A</v>
      </c>
      <c r="T756" t="e">
        <f t="shared" si="114"/>
        <v>#N/A</v>
      </c>
      <c r="U756" t="e">
        <f t="shared" si="115"/>
        <v>#N/A</v>
      </c>
      <c r="V756" t="e">
        <f t="shared" si="116"/>
        <v>#N/A</v>
      </c>
      <c r="W756" t="e">
        <f t="shared" si="117"/>
        <v>#N/A</v>
      </c>
      <c r="X756" t="e">
        <f t="shared" si="118"/>
        <v>#N/A</v>
      </c>
      <c r="Y756" t="e">
        <f t="shared" si="119"/>
        <v>#N/A</v>
      </c>
    </row>
    <row r="757" spans="1:25" x14ac:dyDescent="0.2">
      <c r="A757">
        <v>1755</v>
      </c>
      <c r="B757" t="s">
        <v>45</v>
      </c>
      <c r="C757" t="s">
        <v>36</v>
      </c>
      <c r="D757">
        <v>2022</v>
      </c>
      <c r="E757" t="s">
        <v>30</v>
      </c>
      <c r="F757">
        <v>339</v>
      </c>
      <c r="G757">
        <v>5</v>
      </c>
      <c r="H757">
        <v>5</v>
      </c>
      <c r="I757">
        <v>937000</v>
      </c>
      <c r="J757">
        <v>2764</v>
      </c>
      <c r="K757">
        <v>0</v>
      </c>
      <c r="L757" t="s">
        <v>17</v>
      </c>
      <c r="M757">
        <v>57</v>
      </c>
      <c r="N757" t="s">
        <v>21</v>
      </c>
      <c r="P757" t="e">
        <f t="shared" si="110"/>
        <v>#N/A</v>
      </c>
      <c r="Q757" t="e">
        <f t="shared" si="111"/>
        <v>#N/A</v>
      </c>
      <c r="R757" t="e">
        <f t="shared" si="112"/>
        <v>#N/A</v>
      </c>
      <c r="S757" t="e">
        <f t="shared" si="113"/>
        <v>#N/A</v>
      </c>
      <c r="T757" t="e">
        <f t="shared" si="114"/>
        <v>#N/A</v>
      </c>
      <c r="U757" t="e">
        <f t="shared" si="115"/>
        <v>#N/A</v>
      </c>
      <c r="V757" t="e">
        <f t="shared" si="116"/>
        <v>#N/A</v>
      </c>
      <c r="W757" t="e">
        <f t="shared" si="117"/>
        <v>#N/A</v>
      </c>
      <c r="X757">
        <f t="shared" si="118"/>
        <v>937000</v>
      </c>
      <c r="Y757">
        <f t="shared" si="119"/>
        <v>339</v>
      </c>
    </row>
    <row r="758" spans="1:25" x14ac:dyDescent="0.2">
      <c r="A758">
        <v>1756</v>
      </c>
      <c r="B758" t="s">
        <v>40</v>
      </c>
      <c r="C758" t="s">
        <v>15</v>
      </c>
      <c r="D758">
        <v>2022</v>
      </c>
      <c r="E758" t="s">
        <v>16</v>
      </c>
      <c r="F758">
        <v>147</v>
      </c>
      <c r="G758">
        <v>3</v>
      </c>
      <c r="H758">
        <v>3</v>
      </c>
      <c r="I758">
        <v>519000</v>
      </c>
      <c r="J758">
        <v>3530.6</v>
      </c>
      <c r="K758">
        <v>1</v>
      </c>
      <c r="L758" t="s">
        <v>34</v>
      </c>
      <c r="M758">
        <v>87</v>
      </c>
      <c r="N758" t="s">
        <v>18</v>
      </c>
      <c r="P758" t="e">
        <f t="shared" si="110"/>
        <v>#N/A</v>
      </c>
      <c r="Q758" t="e">
        <f t="shared" si="111"/>
        <v>#N/A</v>
      </c>
      <c r="R758">
        <f t="shared" si="112"/>
        <v>519000</v>
      </c>
      <c r="S758">
        <f t="shared" si="113"/>
        <v>147</v>
      </c>
      <c r="T758" t="e">
        <f t="shared" si="114"/>
        <v>#N/A</v>
      </c>
      <c r="U758" t="e">
        <f t="shared" si="115"/>
        <v>#N/A</v>
      </c>
      <c r="V758" t="e">
        <f t="shared" si="116"/>
        <v>#N/A</v>
      </c>
      <c r="W758" t="e">
        <f t="shared" si="117"/>
        <v>#N/A</v>
      </c>
      <c r="X758" t="e">
        <f t="shared" si="118"/>
        <v>#N/A</v>
      </c>
      <c r="Y758" t="e">
        <f t="shared" si="119"/>
        <v>#N/A</v>
      </c>
    </row>
    <row r="759" spans="1:25" x14ac:dyDescent="0.2">
      <c r="A759">
        <v>1757</v>
      </c>
      <c r="B759" t="s">
        <v>28</v>
      </c>
      <c r="C759" t="s">
        <v>15</v>
      </c>
      <c r="D759">
        <v>2022</v>
      </c>
      <c r="E759" t="s">
        <v>26</v>
      </c>
      <c r="F759">
        <v>161</v>
      </c>
      <c r="G759">
        <v>4</v>
      </c>
      <c r="H759">
        <v>4</v>
      </c>
      <c r="I759">
        <v>448000</v>
      </c>
      <c r="J759">
        <v>2782.6</v>
      </c>
      <c r="K759">
        <v>10</v>
      </c>
      <c r="L759" t="s">
        <v>34</v>
      </c>
      <c r="M759">
        <v>4</v>
      </c>
      <c r="N759" t="s">
        <v>27</v>
      </c>
      <c r="P759" t="e">
        <f t="shared" si="110"/>
        <v>#N/A</v>
      </c>
      <c r="Q759" t="e">
        <f t="shared" si="111"/>
        <v>#N/A</v>
      </c>
      <c r="R759">
        <f t="shared" si="112"/>
        <v>448000</v>
      </c>
      <c r="S759">
        <f t="shared" si="113"/>
        <v>161</v>
      </c>
      <c r="T759" t="e">
        <f t="shared" si="114"/>
        <v>#N/A</v>
      </c>
      <c r="U759" t="e">
        <f t="shared" si="115"/>
        <v>#N/A</v>
      </c>
      <c r="V759" t="e">
        <f t="shared" si="116"/>
        <v>#N/A</v>
      </c>
      <c r="W759" t="e">
        <f t="shared" si="117"/>
        <v>#N/A</v>
      </c>
      <c r="X759" t="e">
        <f t="shared" si="118"/>
        <v>#N/A</v>
      </c>
      <c r="Y759" t="e">
        <f t="shared" si="119"/>
        <v>#N/A</v>
      </c>
    </row>
    <row r="760" spans="1:25" x14ac:dyDescent="0.2">
      <c r="A760">
        <v>1758</v>
      </c>
      <c r="B760" t="s">
        <v>47</v>
      </c>
      <c r="C760" t="s">
        <v>29</v>
      </c>
      <c r="D760">
        <v>2021</v>
      </c>
      <c r="E760" t="s">
        <v>24</v>
      </c>
      <c r="F760">
        <v>425</v>
      </c>
      <c r="G760">
        <v>5</v>
      </c>
      <c r="H760">
        <v>5</v>
      </c>
      <c r="I760">
        <v>1724000</v>
      </c>
      <c r="J760">
        <v>4056.5</v>
      </c>
      <c r="K760">
        <v>4</v>
      </c>
      <c r="L760" t="s">
        <v>17</v>
      </c>
      <c r="M760">
        <v>68</v>
      </c>
      <c r="N760" t="s">
        <v>21</v>
      </c>
      <c r="P760">
        <f t="shared" si="110"/>
        <v>1724000</v>
      </c>
      <c r="Q760">
        <f t="shared" si="111"/>
        <v>425</v>
      </c>
      <c r="R760" t="e">
        <f t="shared" si="112"/>
        <v>#N/A</v>
      </c>
      <c r="S760" t="e">
        <f t="shared" si="113"/>
        <v>#N/A</v>
      </c>
      <c r="T760" t="e">
        <f t="shared" si="114"/>
        <v>#N/A</v>
      </c>
      <c r="U760" t="e">
        <f t="shared" si="115"/>
        <v>#N/A</v>
      </c>
      <c r="V760" t="e">
        <f t="shared" si="116"/>
        <v>#N/A</v>
      </c>
      <c r="W760" t="e">
        <f t="shared" si="117"/>
        <v>#N/A</v>
      </c>
      <c r="X760" t="e">
        <f t="shared" si="118"/>
        <v>#N/A</v>
      </c>
      <c r="Y760" t="e">
        <f t="shared" si="119"/>
        <v>#N/A</v>
      </c>
    </row>
    <row r="761" spans="1:25" x14ac:dyDescent="0.2">
      <c r="A761">
        <v>1759</v>
      </c>
      <c r="B761" t="s">
        <v>25</v>
      </c>
      <c r="C761" t="s">
        <v>29</v>
      </c>
      <c r="D761">
        <v>2023</v>
      </c>
      <c r="E761" t="s">
        <v>16</v>
      </c>
      <c r="F761">
        <v>262</v>
      </c>
      <c r="G761">
        <v>5</v>
      </c>
      <c r="H761">
        <v>5</v>
      </c>
      <c r="I761">
        <v>987000</v>
      </c>
      <c r="J761">
        <v>3767.2</v>
      </c>
      <c r="K761">
        <v>0</v>
      </c>
      <c r="L761" t="s">
        <v>34</v>
      </c>
      <c r="M761">
        <v>132</v>
      </c>
      <c r="N761" t="s">
        <v>27</v>
      </c>
      <c r="P761">
        <f t="shared" si="110"/>
        <v>987000</v>
      </c>
      <c r="Q761">
        <f t="shared" si="111"/>
        <v>262</v>
      </c>
      <c r="R761" t="e">
        <f t="shared" si="112"/>
        <v>#N/A</v>
      </c>
      <c r="S761" t="e">
        <f t="shared" si="113"/>
        <v>#N/A</v>
      </c>
      <c r="T761" t="e">
        <f t="shared" si="114"/>
        <v>#N/A</v>
      </c>
      <c r="U761" t="e">
        <f t="shared" si="115"/>
        <v>#N/A</v>
      </c>
      <c r="V761" t="e">
        <f t="shared" si="116"/>
        <v>#N/A</v>
      </c>
      <c r="W761" t="e">
        <f t="shared" si="117"/>
        <v>#N/A</v>
      </c>
      <c r="X761" t="e">
        <f t="shared" si="118"/>
        <v>#N/A</v>
      </c>
      <c r="Y761" t="e">
        <f t="shared" si="119"/>
        <v>#N/A</v>
      </c>
    </row>
    <row r="762" spans="1:25" x14ac:dyDescent="0.2">
      <c r="A762">
        <v>1760</v>
      </c>
      <c r="B762" t="s">
        <v>28</v>
      </c>
      <c r="C762" t="s">
        <v>29</v>
      </c>
      <c r="D762">
        <v>2024</v>
      </c>
      <c r="E762" t="s">
        <v>26</v>
      </c>
      <c r="F762">
        <v>323</v>
      </c>
      <c r="G762">
        <v>6</v>
      </c>
      <c r="H762">
        <v>6</v>
      </c>
      <c r="I762">
        <v>1618000</v>
      </c>
      <c r="J762">
        <v>5009.3</v>
      </c>
      <c r="K762">
        <v>7</v>
      </c>
      <c r="L762" t="s">
        <v>17</v>
      </c>
      <c r="M762">
        <v>74</v>
      </c>
      <c r="N762" t="s">
        <v>27</v>
      </c>
      <c r="P762">
        <f t="shared" si="110"/>
        <v>1618000</v>
      </c>
      <c r="Q762">
        <f t="shared" si="111"/>
        <v>323</v>
      </c>
      <c r="R762" t="e">
        <f t="shared" si="112"/>
        <v>#N/A</v>
      </c>
      <c r="S762" t="e">
        <f t="shared" si="113"/>
        <v>#N/A</v>
      </c>
      <c r="T762" t="e">
        <f t="shared" si="114"/>
        <v>#N/A</v>
      </c>
      <c r="U762" t="e">
        <f t="shared" si="115"/>
        <v>#N/A</v>
      </c>
      <c r="V762" t="e">
        <f t="shared" si="116"/>
        <v>#N/A</v>
      </c>
      <c r="W762" t="e">
        <f t="shared" si="117"/>
        <v>#N/A</v>
      </c>
      <c r="X762" t="e">
        <f t="shared" si="118"/>
        <v>#N/A</v>
      </c>
      <c r="Y762" t="e">
        <f t="shared" si="119"/>
        <v>#N/A</v>
      </c>
    </row>
    <row r="763" spans="1:25" x14ac:dyDescent="0.2">
      <c r="A763">
        <v>1761</v>
      </c>
      <c r="B763" t="s">
        <v>19</v>
      </c>
      <c r="C763" t="s">
        <v>36</v>
      </c>
      <c r="D763">
        <v>2021</v>
      </c>
      <c r="E763" t="s">
        <v>26</v>
      </c>
      <c r="F763">
        <v>386</v>
      </c>
      <c r="G763">
        <v>4</v>
      </c>
      <c r="H763">
        <v>4</v>
      </c>
      <c r="I763">
        <v>863000</v>
      </c>
      <c r="J763">
        <v>2235.8000000000002</v>
      </c>
      <c r="K763">
        <v>10</v>
      </c>
      <c r="L763" t="s">
        <v>34</v>
      </c>
      <c r="M763">
        <v>63</v>
      </c>
      <c r="N763" t="s">
        <v>21</v>
      </c>
      <c r="P763" t="e">
        <f t="shared" si="110"/>
        <v>#N/A</v>
      </c>
      <c r="Q763" t="e">
        <f t="shared" si="111"/>
        <v>#N/A</v>
      </c>
      <c r="R763" t="e">
        <f t="shared" si="112"/>
        <v>#N/A</v>
      </c>
      <c r="S763" t="e">
        <f t="shared" si="113"/>
        <v>#N/A</v>
      </c>
      <c r="T763" t="e">
        <f t="shared" si="114"/>
        <v>#N/A</v>
      </c>
      <c r="U763" t="e">
        <f t="shared" si="115"/>
        <v>#N/A</v>
      </c>
      <c r="V763" t="e">
        <f t="shared" si="116"/>
        <v>#N/A</v>
      </c>
      <c r="W763" t="e">
        <f t="shared" si="117"/>
        <v>#N/A</v>
      </c>
      <c r="X763">
        <f t="shared" si="118"/>
        <v>863000</v>
      </c>
      <c r="Y763">
        <f t="shared" si="119"/>
        <v>386</v>
      </c>
    </row>
    <row r="764" spans="1:25" x14ac:dyDescent="0.2">
      <c r="A764">
        <v>1762</v>
      </c>
      <c r="B764" t="s">
        <v>43</v>
      </c>
      <c r="C764" t="s">
        <v>29</v>
      </c>
      <c r="D764">
        <v>2023</v>
      </c>
      <c r="E764" t="s">
        <v>30</v>
      </c>
      <c r="F764">
        <v>403</v>
      </c>
      <c r="G764">
        <v>5</v>
      </c>
      <c r="H764">
        <v>5</v>
      </c>
      <c r="I764">
        <v>2509000</v>
      </c>
      <c r="J764">
        <v>6225.8</v>
      </c>
      <c r="K764">
        <v>4</v>
      </c>
      <c r="L764" t="s">
        <v>34</v>
      </c>
      <c r="M764">
        <v>66</v>
      </c>
      <c r="N764" t="s">
        <v>27</v>
      </c>
      <c r="P764">
        <f t="shared" si="110"/>
        <v>2509000</v>
      </c>
      <c r="Q764">
        <f t="shared" si="111"/>
        <v>403</v>
      </c>
      <c r="R764" t="e">
        <f t="shared" si="112"/>
        <v>#N/A</v>
      </c>
      <c r="S764" t="e">
        <f t="shared" si="113"/>
        <v>#N/A</v>
      </c>
      <c r="T764" t="e">
        <f t="shared" si="114"/>
        <v>#N/A</v>
      </c>
      <c r="U764" t="e">
        <f t="shared" si="115"/>
        <v>#N/A</v>
      </c>
      <c r="V764" t="e">
        <f t="shared" si="116"/>
        <v>#N/A</v>
      </c>
      <c r="W764" t="e">
        <f t="shared" si="117"/>
        <v>#N/A</v>
      </c>
      <c r="X764" t="e">
        <f t="shared" si="118"/>
        <v>#N/A</v>
      </c>
      <c r="Y764" t="e">
        <f t="shared" si="119"/>
        <v>#N/A</v>
      </c>
    </row>
    <row r="765" spans="1:25" x14ac:dyDescent="0.2">
      <c r="A765">
        <v>1763</v>
      </c>
      <c r="B765" t="s">
        <v>41</v>
      </c>
      <c r="C765" t="s">
        <v>23</v>
      </c>
      <c r="D765">
        <v>2022</v>
      </c>
      <c r="E765" t="s">
        <v>24</v>
      </c>
      <c r="F765">
        <v>355</v>
      </c>
      <c r="G765">
        <v>4</v>
      </c>
      <c r="H765">
        <v>4</v>
      </c>
      <c r="I765">
        <v>2036000</v>
      </c>
      <c r="J765">
        <v>5735.2</v>
      </c>
      <c r="K765">
        <v>5</v>
      </c>
      <c r="L765" t="s">
        <v>34</v>
      </c>
      <c r="M765">
        <v>152</v>
      </c>
      <c r="N765" t="s">
        <v>21</v>
      </c>
      <c r="P765" t="e">
        <f t="shared" si="110"/>
        <v>#N/A</v>
      </c>
      <c r="Q765" t="e">
        <f t="shared" si="111"/>
        <v>#N/A</v>
      </c>
      <c r="R765" t="e">
        <f t="shared" si="112"/>
        <v>#N/A</v>
      </c>
      <c r="S765" t="e">
        <f t="shared" si="113"/>
        <v>#N/A</v>
      </c>
      <c r="T765">
        <f t="shared" si="114"/>
        <v>2036000</v>
      </c>
      <c r="U765">
        <f t="shared" si="115"/>
        <v>355</v>
      </c>
      <c r="V765" t="e">
        <f t="shared" si="116"/>
        <v>#N/A</v>
      </c>
      <c r="W765" t="e">
        <f t="shared" si="117"/>
        <v>#N/A</v>
      </c>
      <c r="X765" t="e">
        <f t="shared" si="118"/>
        <v>#N/A</v>
      </c>
      <c r="Y765" t="e">
        <f t="shared" si="119"/>
        <v>#N/A</v>
      </c>
    </row>
    <row r="766" spans="1:25" x14ac:dyDescent="0.2">
      <c r="A766">
        <v>1764</v>
      </c>
      <c r="B766" t="s">
        <v>41</v>
      </c>
      <c r="C766" t="s">
        <v>15</v>
      </c>
      <c r="D766">
        <v>2021</v>
      </c>
      <c r="E766" t="s">
        <v>26</v>
      </c>
      <c r="F766">
        <v>149</v>
      </c>
      <c r="G766">
        <v>4</v>
      </c>
      <c r="H766">
        <v>4</v>
      </c>
      <c r="I766">
        <v>674000</v>
      </c>
      <c r="J766">
        <v>4523.5</v>
      </c>
      <c r="K766">
        <v>1</v>
      </c>
      <c r="L766" t="s">
        <v>17</v>
      </c>
      <c r="M766">
        <v>125</v>
      </c>
      <c r="N766" t="s">
        <v>21</v>
      </c>
      <c r="P766" t="e">
        <f t="shared" si="110"/>
        <v>#N/A</v>
      </c>
      <c r="Q766" t="e">
        <f t="shared" si="111"/>
        <v>#N/A</v>
      </c>
      <c r="R766">
        <f t="shared" si="112"/>
        <v>674000</v>
      </c>
      <c r="S766">
        <f t="shared" si="113"/>
        <v>149</v>
      </c>
      <c r="T766" t="e">
        <f t="shared" si="114"/>
        <v>#N/A</v>
      </c>
      <c r="U766" t="e">
        <f t="shared" si="115"/>
        <v>#N/A</v>
      </c>
      <c r="V766" t="e">
        <f t="shared" si="116"/>
        <v>#N/A</v>
      </c>
      <c r="W766" t="e">
        <f t="shared" si="117"/>
        <v>#N/A</v>
      </c>
      <c r="X766" t="e">
        <f t="shared" si="118"/>
        <v>#N/A</v>
      </c>
      <c r="Y766" t="e">
        <f t="shared" si="119"/>
        <v>#N/A</v>
      </c>
    </row>
    <row r="767" spans="1:25" x14ac:dyDescent="0.2">
      <c r="A767">
        <v>1765</v>
      </c>
      <c r="B767" t="s">
        <v>37</v>
      </c>
      <c r="C767" t="s">
        <v>36</v>
      </c>
      <c r="D767">
        <v>2024</v>
      </c>
      <c r="E767" t="s">
        <v>24</v>
      </c>
      <c r="F767">
        <v>330</v>
      </c>
      <c r="G767">
        <v>5</v>
      </c>
      <c r="H767">
        <v>5</v>
      </c>
      <c r="I767">
        <v>1119000</v>
      </c>
      <c r="J767">
        <v>3390.9</v>
      </c>
      <c r="K767">
        <v>5</v>
      </c>
      <c r="L767" t="s">
        <v>34</v>
      </c>
      <c r="M767">
        <v>147</v>
      </c>
      <c r="N767" t="s">
        <v>27</v>
      </c>
      <c r="P767" t="e">
        <f t="shared" si="110"/>
        <v>#N/A</v>
      </c>
      <c r="Q767" t="e">
        <f t="shared" si="111"/>
        <v>#N/A</v>
      </c>
      <c r="R767" t="e">
        <f t="shared" si="112"/>
        <v>#N/A</v>
      </c>
      <c r="S767" t="e">
        <f t="shared" si="113"/>
        <v>#N/A</v>
      </c>
      <c r="T767" t="e">
        <f t="shared" si="114"/>
        <v>#N/A</v>
      </c>
      <c r="U767" t="e">
        <f t="shared" si="115"/>
        <v>#N/A</v>
      </c>
      <c r="V767" t="e">
        <f t="shared" si="116"/>
        <v>#N/A</v>
      </c>
      <c r="W767" t="e">
        <f t="shared" si="117"/>
        <v>#N/A</v>
      </c>
      <c r="X767">
        <f t="shared" si="118"/>
        <v>1119000</v>
      </c>
      <c r="Y767">
        <f t="shared" si="119"/>
        <v>330</v>
      </c>
    </row>
    <row r="768" spans="1:25" x14ac:dyDescent="0.2">
      <c r="A768">
        <v>1766</v>
      </c>
      <c r="B768" t="s">
        <v>35</v>
      </c>
      <c r="C768" t="s">
        <v>23</v>
      </c>
      <c r="D768">
        <v>2024</v>
      </c>
      <c r="E768" t="s">
        <v>24</v>
      </c>
      <c r="F768">
        <v>249</v>
      </c>
      <c r="G768">
        <v>4</v>
      </c>
      <c r="H768">
        <v>4</v>
      </c>
      <c r="I768">
        <v>1166000</v>
      </c>
      <c r="J768">
        <v>4682.7</v>
      </c>
      <c r="K768">
        <v>0</v>
      </c>
      <c r="L768" t="s">
        <v>34</v>
      </c>
      <c r="M768">
        <v>76</v>
      </c>
      <c r="N768" t="s">
        <v>18</v>
      </c>
      <c r="P768" t="e">
        <f t="shared" si="110"/>
        <v>#N/A</v>
      </c>
      <c r="Q768" t="e">
        <f t="shared" si="111"/>
        <v>#N/A</v>
      </c>
      <c r="R768" t="e">
        <f t="shared" si="112"/>
        <v>#N/A</v>
      </c>
      <c r="S768" t="e">
        <f t="shared" si="113"/>
        <v>#N/A</v>
      </c>
      <c r="T768">
        <f t="shared" si="114"/>
        <v>1166000</v>
      </c>
      <c r="U768">
        <f t="shared" si="115"/>
        <v>249</v>
      </c>
      <c r="V768" t="e">
        <f t="shared" si="116"/>
        <v>#N/A</v>
      </c>
      <c r="W768" t="e">
        <f t="shared" si="117"/>
        <v>#N/A</v>
      </c>
      <c r="X768" t="e">
        <f t="shared" si="118"/>
        <v>#N/A</v>
      </c>
      <c r="Y768" t="e">
        <f t="shared" si="119"/>
        <v>#N/A</v>
      </c>
    </row>
    <row r="769" spans="1:25" x14ac:dyDescent="0.2">
      <c r="A769">
        <v>1767</v>
      </c>
      <c r="B769" t="s">
        <v>42</v>
      </c>
      <c r="C769" t="s">
        <v>23</v>
      </c>
      <c r="D769">
        <v>2024</v>
      </c>
      <c r="E769" t="s">
        <v>16</v>
      </c>
      <c r="F769">
        <v>265</v>
      </c>
      <c r="G769">
        <v>4</v>
      </c>
      <c r="H769">
        <v>4</v>
      </c>
      <c r="I769">
        <v>1431000</v>
      </c>
      <c r="J769">
        <v>5400</v>
      </c>
      <c r="K769">
        <v>0</v>
      </c>
      <c r="L769" t="s">
        <v>17</v>
      </c>
      <c r="M769">
        <v>91</v>
      </c>
      <c r="N769" t="s">
        <v>21</v>
      </c>
      <c r="P769" t="e">
        <f t="shared" si="110"/>
        <v>#N/A</v>
      </c>
      <c r="Q769" t="e">
        <f t="shared" si="111"/>
        <v>#N/A</v>
      </c>
      <c r="R769" t="e">
        <f t="shared" si="112"/>
        <v>#N/A</v>
      </c>
      <c r="S769" t="e">
        <f t="shared" si="113"/>
        <v>#N/A</v>
      </c>
      <c r="T769">
        <f t="shared" si="114"/>
        <v>1431000</v>
      </c>
      <c r="U769">
        <f t="shared" si="115"/>
        <v>265</v>
      </c>
      <c r="V769" t="e">
        <f t="shared" si="116"/>
        <v>#N/A</v>
      </c>
      <c r="W769" t="e">
        <f t="shared" si="117"/>
        <v>#N/A</v>
      </c>
      <c r="X769" t="e">
        <f t="shared" si="118"/>
        <v>#N/A</v>
      </c>
      <c r="Y769" t="e">
        <f t="shared" si="119"/>
        <v>#N/A</v>
      </c>
    </row>
    <row r="770" spans="1:25" x14ac:dyDescent="0.2">
      <c r="A770">
        <v>1768</v>
      </c>
      <c r="B770" t="s">
        <v>14</v>
      </c>
      <c r="C770" t="s">
        <v>29</v>
      </c>
      <c r="D770">
        <v>2022</v>
      </c>
      <c r="E770" t="s">
        <v>16</v>
      </c>
      <c r="F770">
        <v>433</v>
      </c>
      <c r="G770">
        <v>5</v>
      </c>
      <c r="H770">
        <v>5</v>
      </c>
      <c r="I770">
        <v>2488000</v>
      </c>
      <c r="J770">
        <v>5746</v>
      </c>
      <c r="K770">
        <v>1</v>
      </c>
      <c r="L770" t="s">
        <v>34</v>
      </c>
      <c r="M770">
        <v>74</v>
      </c>
      <c r="N770" t="s">
        <v>18</v>
      </c>
      <c r="P770">
        <f t="shared" si="110"/>
        <v>2488000</v>
      </c>
      <c r="Q770">
        <f t="shared" si="111"/>
        <v>433</v>
      </c>
      <c r="R770" t="e">
        <f t="shared" si="112"/>
        <v>#N/A</v>
      </c>
      <c r="S770" t="e">
        <f t="shared" si="113"/>
        <v>#N/A</v>
      </c>
      <c r="T770" t="e">
        <f t="shared" si="114"/>
        <v>#N/A</v>
      </c>
      <c r="U770" t="e">
        <f t="shared" si="115"/>
        <v>#N/A</v>
      </c>
      <c r="V770" t="e">
        <f t="shared" si="116"/>
        <v>#N/A</v>
      </c>
      <c r="W770" t="e">
        <f t="shared" si="117"/>
        <v>#N/A</v>
      </c>
      <c r="X770" t="e">
        <f t="shared" si="118"/>
        <v>#N/A</v>
      </c>
      <c r="Y770" t="e">
        <f t="shared" si="119"/>
        <v>#N/A</v>
      </c>
    </row>
    <row r="771" spans="1:25" x14ac:dyDescent="0.2">
      <c r="A771">
        <v>1769</v>
      </c>
      <c r="B771" t="s">
        <v>25</v>
      </c>
      <c r="C771" t="s">
        <v>15</v>
      </c>
      <c r="D771">
        <v>2022</v>
      </c>
      <c r="E771" t="s">
        <v>30</v>
      </c>
      <c r="F771">
        <v>145</v>
      </c>
      <c r="G771">
        <v>3</v>
      </c>
      <c r="H771">
        <v>3</v>
      </c>
      <c r="I771">
        <v>360000</v>
      </c>
      <c r="J771">
        <v>2482.8000000000002</v>
      </c>
      <c r="K771">
        <v>2</v>
      </c>
      <c r="L771" t="s">
        <v>17</v>
      </c>
      <c r="M771">
        <v>106</v>
      </c>
      <c r="N771" t="s">
        <v>27</v>
      </c>
      <c r="P771" t="e">
        <f t="shared" ref="P771:P834" si="120">IF(C771="Villa", I771, NA())</f>
        <v>#N/A</v>
      </c>
      <c r="Q771" t="e">
        <f t="shared" ref="Q771:Q834" si="121">IF(C771="Villa", F771, NA())</f>
        <v>#N/A</v>
      </c>
      <c r="R771">
        <f t="shared" ref="R771:R834" si="122">IF(C771="Apartment",I771,NA())</f>
        <v>360000</v>
      </c>
      <c r="S771">
        <f t="shared" ref="S771:S834" si="123">IF(C771="Apartment",F771,NA())</f>
        <v>145</v>
      </c>
      <c r="T771" t="e">
        <f t="shared" ref="T771:T834" si="124">IF(C771="Duplex",I771,NA())</f>
        <v>#N/A</v>
      </c>
      <c r="U771" t="e">
        <f t="shared" ref="U771:U834" si="125">IF(C771="Duplex",F771,NA())</f>
        <v>#N/A</v>
      </c>
      <c r="V771" t="e">
        <f t="shared" ref="V771:V834" si="126">IF(C771="Studio",I771,NA())</f>
        <v>#N/A</v>
      </c>
      <c r="W771" t="e">
        <f t="shared" ref="W771:W834" si="127">IF(C771="Studio",F771,NA())</f>
        <v>#N/A</v>
      </c>
      <c r="X771" t="e">
        <f t="shared" ref="X771:X834" si="128">IF(C771="Floor",I771,NA())</f>
        <v>#N/A</v>
      </c>
      <c r="Y771" t="e">
        <f t="shared" ref="Y771:Y834" si="129">IF(C771="Floor",F771,NA())</f>
        <v>#N/A</v>
      </c>
    </row>
    <row r="772" spans="1:25" x14ac:dyDescent="0.2">
      <c r="A772">
        <v>1770</v>
      </c>
      <c r="B772" t="s">
        <v>43</v>
      </c>
      <c r="C772" t="s">
        <v>29</v>
      </c>
      <c r="D772">
        <v>2021</v>
      </c>
      <c r="E772" t="s">
        <v>30</v>
      </c>
      <c r="F772">
        <v>496</v>
      </c>
      <c r="G772">
        <v>4</v>
      </c>
      <c r="H772">
        <v>4</v>
      </c>
      <c r="I772">
        <v>2852000</v>
      </c>
      <c r="J772">
        <v>5750</v>
      </c>
      <c r="K772">
        <v>5</v>
      </c>
      <c r="L772" t="s">
        <v>34</v>
      </c>
      <c r="M772">
        <v>18</v>
      </c>
      <c r="N772" t="s">
        <v>27</v>
      </c>
      <c r="P772">
        <f t="shared" si="120"/>
        <v>2852000</v>
      </c>
      <c r="Q772">
        <f t="shared" si="121"/>
        <v>496</v>
      </c>
      <c r="R772" t="e">
        <f t="shared" si="122"/>
        <v>#N/A</v>
      </c>
      <c r="S772" t="e">
        <f t="shared" si="123"/>
        <v>#N/A</v>
      </c>
      <c r="T772" t="e">
        <f t="shared" si="124"/>
        <v>#N/A</v>
      </c>
      <c r="U772" t="e">
        <f t="shared" si="125"/>
        <v>#N/A</v>
      </c>
      <c r="V772" t="e">
        <f t="shared" si="126"/>
        <v>#N/A</v>
      </c>
      <c r="W772" t="e">
        <f t="shared" si="127"/>
        <v>#N/A</v>
      </c>
      <c r="X772" t="e">
        <f t="shared" si="128"/>
        <v>#N/A</v>
      </c>
      <c r="Y772" t="e">
        <f t="shared" si="129"/>
        <v>#N/A</v>
      </c>
    </row>
    <row r="773" spans="1:25" x14ac:dyDescent="0.2">
      <c r="A773">
        <v>1771</v>
      </c>
      <c r="B773" t="s">
        <v>37</v>
      </c>
      <c r="C773" t="s">
        <v>23</v>
      </c>
      <c r="D773">
        <v>2024</v>
      </c>
      <c r="E773" t="s">
        <v>24</v>
      </c>
      <c r="F773">
        <v>206</v>
      </c>
      <c r="G773">
        <v>5</v>
      </c>
      <c r="H773">
        <v>5</v>
      </c>
      <c r="I773">
        <v>1096000</v>
      </c>
      <c r="J773">
        <v>5320.4</v>
      </c>
      <c r="K773">
        <v>3</v>
      </c>
      <c r="L773" t="s">
        <v>17</v>
      </c>
      <c r="M773">
        <v>161</v>
      </c>
      <c r="N773" t="s">
        <v>27</v>
      </c>
      <c r="P773" t="e">
        <f t="shared" si="120"/>
        <v>#N/A</v>
      </c>
      <c r="Q773" t="e">
        <f t="shared" si="121"/>
        <v>#N/A</v>
      </c>
      <c r="R773" t="e">
        <f t="shared" si="122"/>
        <v>#N/A</v>
      </c>
      <c r="S773" t="e">
        <f t="shared" si="123"/>
        <v>#N/A</v>
      </c>
      <c r="T773">
        <f t="shared" si="124"/>
        <v>1096000</v>
      </c>
      <c r="U773">
        <f t="shared" si="125"/>
        <v>206</v>
      </c>
      <c r="V773" t="e">
        <f t="shared" si="126"/>
        <v>#N/A</v>
      </c>
      <c r="W773" t="e">
        <f t="shared" si="127"/>
        <v>#N/A</v>
      </c>
      <c r="X773" t="e">
        <f t="shared" si="128"/>
        <v>#N/A</v>
      </c>
      <c r="Y773" t="e">
        <f t="shared" si="129"/>
        <v>#N/A</v>
      </c>
    </row>
    <row r="774" spans="1:25" x14ac:dyDescent="0.2">
      <c r="A774">
        <v>1772</v>
      </c>
      <c r="B774" t="s">
        <v>32</v>
      </c>
      <c r="C774" t="s">
        <v>38</v>
      </c>
      <c r="D774">
        <v>2023</v>
      </c>
      <c r="E774" t="s">
        <v>26</v>
      </c>
      <c r="F774">
        <v>41</v>
      </c>
      <c r="G774">
        <v>0</v>
      </c>
      <c r="H774">
        <v>1</v>
      </c>
      <c r="I774">
        <v>156000</v>
      </c>
      <c r="J774">
        <v>3804.9</v>
      </c>
      <c r="K774">
        <v>10</v>
      </c>
      <c r="L774" t="s">
        <v>20</v>
      </c>
      <c r="M774">
        <v>157</v>
      </c>
      <c r="N774" t="s">
        <v>18</v>
      </c>
      <c r="P774" t="e">
        <f t="shared" si="120"/>
        <v>#N/A</v>
      </c>
      <c r="Q774" t="e">
        <f t="shared" si="121"/>
        <v>#N/A</v>
      </c>
      <c r="R774" t="e">
        <f t="shared" si="122"/>
        <v>#N/A</v>
      </c>
      <c r="S774" t="e">
        <f t="shared" si="123"/>
        <v>#N/A</v>
      </c>
      <c r="T774" t="e">
        <f t="shared" si="124"/>
        <v>#N/A</v>
      </c>
      <c r="U774" t="e">
        <f t="shared" si="125"/>
        <v>#N/A</v>
      </c>
      <c r="V774">
        <f t="shared" si="126"/>
        <v>156000</v>
      </c>
      <c r="W774">
        <f t="shared" si="127"/>
        <v>41</v>
      </c>
      <c r="X774" t="e">
        <f t="shared" si="128"/>
        <v>#N/A</v>
      </c>
      <c r="Y774" t="e">
        <f t="shared" si="129"/>
        <v>#N/A</v>
      </c>
    </row>
    <row r="775" spans="1:25" x14ac:dyDescent="0.2">
      <c r="A775">
        <v>1773</v>
      </c>
      <c r="B775" t="s">
        <v>47</v>
      </c>
      <c r="C775" t="s">
        <v>23</v>
      </c>
      <c r="D775">
        <v>2022</v>
      </c>
      <c r="E775" t="s">
        <v>30</v>
      </c>
      <c r="F775">
        <v>269</v>
      </c>
      <c r="G775">
        <v>4</v>
      </c>
      <c r="H775">
        <v>4</v>
      </c>
      <c r="I775">
        <v>904000</v>
      </c>
      <c r="J775">
        <v>3360.6</v>
      </c>
      <c r="K775">
        <v>3</v>
      </c>
      <c r="L775" t="s">
        <v>17</v>
      </c>
      <c r="M775">
        <v>157</v>
      </c>
      <c r="N775" t="s">
        <v>21</v>
      </c>
      <c r="P775" t="e">
        <f t="shared" si="120"/>
        <v>#N/A</v>
      </c>
      <c r="Q775" t="e">
        <f t="shared" si="121"/>
        <v>#N/A</v>
      </c>
      <c r="R775" t="e">
        <f t="shared" si="122"/>
        <v>#N/A</v>
      </c>
      <c r="S775" t="e">
        <f t="shared" si="123"/>
        <v>#N/A</v>
      </c>
      <c r="T775">
        <f t="shared" si="124"/>
        <v>904000</v>
      </c>
      <c r="U775">
        <f t="shared" si="125"/>
        <v>269</v>
      </c>
      <c r="V775" t="e">
        <f t="shared" si="126"/>
        <v>#N/A</v>
      </c>
      <c r="W775" t="e">
        <f t="shared" si="127"/>
        <v>#N/A</v>
      </c>
      <c r="X775" t="e">
        <f t="shared" si="128"/>
        <v>#N/A</v>
      </c>
      <c r="Y775" t="e">
        <f t="shared" si="129"/>
        <v>#N/A</v>
      </c>
    </row>
    <row r="776" spans="1:25" x14ac:dyDescent="0.2">
      <c r="A776">
        <v>1774</v>
      </c>
      <c r="B776" t="s">
        <v>37</v>
      </c>
      <c r="C776" t="s">
        <v>29</v>
      </c>
      <c r="D776">
        <v>2022</v>
      </c>
      <c r="E776" t="s">
        <v>30</v>
      </c>
      <c r="F776">
        <v>463</v>
      </c>
      <c r="G776">
        <v>5</v>
      </c>
      <c r="H776">
        <v>5</v>
      </c>
      <c r="I776">
        <v>2941000</v>
      </c>
      <c r="J776">
        <v>6352.1</v>
      </c>
      <c r="K776">
        <v>20</v>
      </c>
      <c r="L776" t="s">
        <v>17</v>
      </c>
      <c r="M776">
        <v>123</v>
      </c>
      <c r="N776" t="s">
        <v>27</v>
      </c>
      <c r="P776">
        <f t="shared" si="120"/>
        <v>2941000</v>
      </c>
      <c r="Q776">
        <f t="shared" si="121"/>
        <v>463</v>
      </c>
      <c r="R776" t="e">
        <f t="shared" si="122"/>
        <v>#N/A</v>
      </c>
      <c r="S776" t="e">
        <f t="shared" si="123"/>
        <v>#N/A</v>
      </c>
      <c r="T776" t="e">
        <f t="shared" si="124"/>
        <v>#N/A</v>
      </c>
      <c r="U776" t="e">
        <f t="shared" si="125"/>
        <v>#N/A</v>
      </c>
      <c r="V776" t="e">
        <f t="shared" si="126"/>
        <v>#N/A</v>
      </c>
      <c r="W776" t="e">
        <f t="shared" si="127"/>
        <v>#N/A</v>
      </c>
      <c r="X776" t="e">
        <f t="shared" si="128"/>
        <v>#N/A</v>
      </c>
      <c r="Y776" t="e">
        <f t="shared" si="129"/>
        <v>#N/A</v>
      </c>
    </row>
    <row r="777" spans="1:25" x14ac:dyDescent="0.2">
      <c r="A777">
        <v>1775</v>
      </c>
      <c r="B777" t="s">
        <v>46</v>
      </c>
      <c r="C777" t="s">
        <v>29</v>
      </c>
      <c r="D777">
        <v>2024</v>
      </c>
      <c r="E777" t="s">
        <v>30</v>
      </c>
      <c r="F777">
        <v>481</v>
      </c>
      <c r="G777">
        <v>6</v>
      </c>
      <c r="H777">
        <v>6</v>
      </c>
      <c r="I777">
        <v>2470000</v>
      </c>
      <c r="J777">
        <v>5135.1000000000004</v>
      </c>
      <c r="K777">
        <v>15</v>
      </c>
      <c r="L777" t="s">
        <v>34</v>
      </c>
      <c r="M777">
        <v>133</v>
      </c>
      <c r="N777" t="s">
        <v>18</v>
      </c>
      <c r="P777">
        <f t="shared" si="120"/>
        <v>2470000</v>
      </c>
      <c r="Q777">
        <f t="shared" si="121"/>
        <v>481</v>
      </c>
      <c r="R777" t="e">
        <f t="shared" si="122"/>
        <v>#N/A</v>
      </c>
      <c r="S777" t="e">
        <f t="shared" si="123"/>
        <v>#N/A</v>
      </c>
      <c r="T777" t="e">
        <f t="shared" si="124"/>
        <v>#N/A</v>
      </c>
      <c r="U777" t="e">
        <f t="shared" si="125"/>
        <v>#N/A</v>
      </c>
      <c r="V777" t="e">
        <f t="shared" si="126"/>
        <v>#N/A</v>
      </c>
      <c r="W777" t="e">
        <f t="shared" si="127"/>
        <v>#N/A</v>
      </c>
      <c r="X777" t="e">
        <f t="shared" si="128"/>
        <v>#N/A</v>
      </c>
      <c r="Y777" t="e">
        <f t="shared" si="129"/>
        <v>#N/A</v>
      </c>
    </row>
    <row r="778" spans="1:25" x14ac:dyDescent="0.2">
      <c r="A778">
        <v>1776</v>
      </c>
      <c r="B778" t="s">
        <v>44</v>
      </c>
      <c r="C778" t="s">
        <v>29</v>
      </c>
      <c r="D778">
        <v>2022</v>
      </c>
      <c r="E778" t="s">
        <v>30</v>
      </c>
      <c r="F778">
        <v>374</v>
      </c>
      <c r="G778">
        <v>4</v>
      </c>
      <c r="H778">
        <v>4</v>
      </c>
      <c r="I778">
        <v>1560000</v>
      </c>
      <c r="J778">
        <v>4171.1000000000004</v>
      </c>
      <c r="K778">
        <v>15</v>
      </c>
      <c r="L778" t="s">
        <v>34</v>
      </c>
      <c r="M778">
        <v>178</v>
      </c>
      <c r="N778" t="s">
        <v>18</v>
      </c>
      <c r="P778">
        <f t="shared" si="120"/>
        <v>1560000</v>
      </c>
      <c r="Q778">
        <f t="shared" si="121"/>
        <v>374</v>
      </c>
      <c r="R778" t="e">
        <f t="shared" si="122"/>
        <v>#N/A</v>
      </c>
      <c r="S778" t="e">
        <f t="shared" si="123"/>
        <v>#N/A</v>
      </c>
      <c r="T778" t="e">
        <f t="shared" si="124"/>
        <v>#N/A</v>
      </c>
      <c r="U778" t="e">
        <f t="shared" si="125"/>
        <v>#N/A</v>
      </c>
      <c r="V778" t="e">
        <f t="shared" si="126"/>
        <v>#N/A</v>
      </c>
      <c r="W778" t="e">
        <f t="shared" si="127"/>
        <v>#N/A</v>
      </c>
      <c r="X778" t="e">
        <f t="shared" si="128"/>
        <v>#N/A</v>
      </c>
      <c r="Y778" t="e">
        <f t="shared" si="129"/>
        <v>#N/A</v>
      </c>
    </row>
    <row r="779" spans="1:25" x14ac:dyDescent="0.2">
      <c r="A779">
        <v>1777</v>
      </c>
      <c r="B779" t="s">
        <v>48</v>
      </c>
      <c r="C779" t="s">
        <v>15</v>
      </c>
      <c r="D779">
        <v>2024</v>
      </c>
      <c r="E779" t="s">
        <v>30</v>
      </c>
      <c r="F779">
        <v>67</v>
      </c>
      <c r="G779">
        <v>4</v>
      </c>
      <c r="H779">
        <v>4</v>
      </c>
      <c r="I779">
        <v>213000</v>
      </c>
      <c r="J779">
        <v>3179.1</v>
      </c>
      <c r="K779">
        <v>1</v>
      </c>
      <c r="L779" t="s">
        <v>34</v>
      </c>
      <c r="M779">
        <v>126</v>
      </c>
      <c r="N779" t="s">
        <v>27</v>
      </c>
      <c r="P779" t="e">
        <f t="shared" si="120"/>
        <v>#N/A</v>
      </c>
      <c r="Q779" t="e">
        <f t="shared" si="121"/>
        <v>#N/A</v>
      </c>
      <c r="R779">
        <f t="shared" si="122"/>
        <v>213000</v>
      </c>
      <c r="S779">
        <f t="shared" si="123"/>
        <v>67</v>
      </c>
      <c r="T779" t="e">
        <f t="shared" si="124"/>
        <v>#N/A</v>
      </c>
      <c r="U779" t="e">
        <f t="shared" si="125"/>
        <v>#N/A</v>
      </c>
      <c r="V779" t="e">
        <f t="shared" si="126"/>
        <v>#N/A</v>
      </c>
      <c r="W779" t="e">
        <f t="shared" si="127"/>
        <v>#N/A</v>
      </c>
      <c r="X779" t="e">
        <f t="shared" si="128"/>
        <v>#N/A</v>
      </c>
      <c r="Y779" t="e">
        <f t="shared" si="129"/>
        <v>#N/A</v>
      </c>
    </row>
    <row r="780" spans="1:25" x14ac:dyDescent="0.2">
      <c r="A780">
        <v>1778</v>
      </c>
      <c r="B780" t="s">
        <v>14</v>
      </c>
      <c r="C780" t="s">
        <v>29</v>
      </c>
      <c r="D780">
        <v>2021</v>
      </c>
      <c r="E780" t="s">
        <v>16</v>
      </c>
      <c r="F780">
        <v>376</v>
      </c>
      <c r="G780">
        <v>5</v>
      </c>
      <c r="H780">
        <v>5</v>
      </c>
      <c r="I780">
        <v>1915000</v>
      </c>
      <c r="J780">
        <v>5093.1000000000004</v>
      </c>
      <c r="K780">
        <v>7</v>
      </c>
      <c r="L780" t="s">
        <v>17</v>
      </c>
      <c r="M780">
        <v>172</v>
      </c>
      <c r="N780" t="s">
        <v>18</v>
      </c>
      <c r="P780">
        <f t="shared" si="120"/>
        <v>1915000</v>
      </c>
      <c r="Q780">
        <f t="shared" si="121"/>
        <v>376</v>
      </c>
      <c r="R780" t="e">
        <f t="shared" si="122"/>
        <v>#N/A</v>
      </c>
      <c r="S780" t="e">
        <f t="shared" si="123"/>
        <v>#N/A</v>
      </c>
      <c r="T780" t="e">
        <f t="shared" si="124"/>
        <v>#N/A</v>
      </c>
      <c r="U780" t="e">
        <f t="shared" si="125"/>
        <v>#N/A</v>
      </c>
      <c r="V780" t="e">
        <f t="shared" si="126"/>
        <v>#N/A</v>
      </c>
      <c r="W780" t="e">
        <f t="shared" si="127"/>
        <v>#N/A</v>
      </c>
      <c r="X780" t="e">
        <f t="shared" si="128"/>
        <v>#N/A</v>
      </c>
      <c r="Y780" t="e">
        <f t="shared" si="129"/>
        <v>#N/A</v>
      </c>
    </row>
    <row r="781" spans="1:25" x14ac:dyDescent="0.2">
      <c r="A781">
        <v>1779</v>
      </c>
      <c r="B781" t="s">
        <v>14</v>
      </c>
      <c r="C781" t="s">
        <v>23</v>
      </c>
      <c r="D781">
        <v>2024</v>
      </c>
      <c r="E781" t="s">
        <v>30</v>
      </c>
      <c r="F781">
        <v>300</v>
      </c>
      <c r="G781">
        <v>4</v>
      </c>
      <c r="H781">
        <v>4</v>
      </c>
      <c r="I781">
        <v>1385000</v>
      </c>
      <c r="J781">
        <v>4616.7</v>
      </c>
      <c r="K781">
        <v>2</v>
      </c>
      <c r="L781" t="s">
        <v>34</v>
      </c>
      <c r="M781">
        <v>134</v>
      </c>
      <c r="N781" t="s">
        <v>18</v>
      </c>
      <c r="P781" t="e">
        <f t="shared" si="120"/>
        <v>#N/A</v>
      </c>
      <c r="Q781" t="e">
        <f t="shared" si="121"/>
        <v>#N/A</v>
      </c>
      <c r="R781" t="e">
        <f t="shared" si="122"/>
        <v>#N/A</v>
      </c>
      <c r="S781" t="e">
        <f t="shared" si="123"/>
        <v>#N/A</v>
      </c>
      <c r="T781">
        <f t="shared" si="124"/>
        <v>1385000</v>
      </c>
      <c r="U781">
        <f t="shared" si="125"/>
        <v>300</v>
      </c>
      <c r="V781" t="e">
        <f t="shared" si="126"/>
        <v>#N/A</v>
      </c>
      <c r="W781" t="e">
        <f t="shared" si="127"/>
        <v>#N/A</v>
      </c>
      <c r="X781" t="e">
        <f t="shared" si="128"/>
        <v>#N/A</v>
      </c>
      <c r="Y781" t="e">
        <f t="shared" si="129"/>
        <v>#N/A</v>
      </c>
    </row>
    <row r="782" spans="1:25" x14ac:dyDescent="0.2">
      <c r="A782">
        <v>1780</v>
      </c>
      <c r="B782" t="s">
        <v>47</v>
      </c>
      <c r="C782" t="s">
        <v>23</v>
      </c>
      <c r="D782">
        <v>2024</v>
      </c>
      <c r="E782" t="s">
        <v>16</v>
      </c>
      <c r="F782">
        <v>279</v>
      </c>
      <c r="G782">
        <v>4</v>
      </c>
      <c r="H782">
        <v>4</v>
      </c>
      <c r="I782">
        <v>1023000</v>
      </c>
      <c r="J782">
        <v>3666.7</v>
      </c>
      <c r="K782">
        <v>0</v>
      </c>
      <c r="L782" t="s">
        <v>20</v>
      </c>
      <c r="M782">
        <v>134</v>
      </c>
      <c r="N782" t="s">
        <v>21</v>
      </c>
      <c r="P782" t="e">
        <f t="shared" si="120"/>
        <v>#N/A</v>
      </c>
      <c r="Q782" t="e">
        <f t="shared" si="121"/>
        <v>#N/A</v>
      </c>
      <c r="R782" t="e">
        <f t="shared" si="122"/>
        <v>#N/A</v>
      </c>
      <c r="S782" t="e">
        <f t="shared" si="123"/>
        <v>#N/A</v>
      </c>
      <c r="T782">
        <f t="shared" si="124"/>
        <v>1023000</v>
      </c>
      <c r="U782">
        <f t="shared" si="125"/>
        <v>279</v>
      </c>
      <c r="V782" t="e">
        <f t="shared" si="126"/>
        <v>#N/A</v>
      </c>
      <c r="W782" t="e">
        <f t="shared" si="127"/>
        <v>#N/A</v>
      </c>
      <c r="X782" t="e">
        <f t="shared" si="128"/>
        <v>#N/A</v>
      </c>
      <c r="Y782" t="e">
        <f t="shared" si="129"/>
        <v>#N/A</v>
      </c>
    </row>
    <row r="783" spans="1:25" x14ac:dyDescent="0.2">
      <c r="A783">
        <v>1781</v>
      </c>
      <c r="B783" t="s">
        <v>40</v>
      </c>
      <c r="C783" t="s">
        <v>23</v>
      </c>
      <c r="D783">
        <v>2021</v>
      </c>
      <c r="E783" t="s">
        <v>24</v>
      </c>
      <c r="F783">
        <v>309</v>
      </c>
      <c r="G783">
        <v>4</v>
      </c>
      <c r="H783">
        <v>4</v>
      </c>
      <c r="I783">
        <v>1109000</v>
      </c>
      <c r="J783">
        <v>3589</v>
      </c>
      <c r="K783">
        <v>10</v>
      </c>
      <c r="L783" t="s">
        <v>17</v>
      </c>
      <c r="M783">
        <v>107</v>
      </c>
      <c r="N783" t="s">
        <v>18</v>
      </c>
      <c r="P783" t="e">
        <f t="shared" si="120"/>
        <v>#N/A</v>
      </c>
      <c r="Q783" t="e">
        <f t="shared" si="121"/>
        <v>#N/A</v>
      </c>
      <c r="R783" t="e">
        <f t="shared" si="122"/>
        <v>#N/A</v>
      </c>
      <c r="S783" t="e">
        <f t="shared" si="123"/>
        <v>#N/A</v>
      </c>
      <c r="T783">
        <f t="shared" si="124"/>
        <v>1109000</v>
      </c>
      <c r="U783">
        <f t="shared" si="125"/>
        <v>309</v>
      </c>
      <c r="V783" t="e">
        <f t="shared" si="126"/>
        <v>#N/A</v>
      </c>
      <c r="W783" t="e">
        <f t="shared" si="127"/>
        <v>#N/A</v>
      </c>
      <c r="X783" t="e">
        <f t="shared" si="128"/>
        <v>#N/A</v>
      </c>
      <c r="Y783" t="e">
        <f t="shared" si="129"/>
        <v>#N/A</v>
      </c>
    </row>
    <row r="784" spans="1:25" x14ac:dyDescent="0.2">
      <c r="A784">
        <v>1782</v>
      </c>
      <c r="B784" t="s">
        <v>40</v>
      </c>
      <c r="C784" t="s">
        <v>38</v>
      </c>
      <c r="D784">
        <v>2024</v>
      </c>
      <c r="E784" t="s">
        <v>24</v>
      </c>
      <c r="F784">
        <v>67</v>
      </c>
      <c r="G784">
        <v>0</v>
      </c>
      <c r="H784">
        <v>1</v>
      </c>
      <c r="I784">
        <v>312000</v>
      </c>
      <c r="J784">
        <v>4656.7</v>
      </c>
      <c r="K784">
        <v>3</v>
      </c>
      <c r="L784" t="s">
        <v>17</v>
      </c>
      <c r="M784">
        <v>83</v>
      </c>
      <c r="N784" t="s">
        <v>18</v>
      </c>
      <c r="P784" t="e">
        <f t="shared" si="120"/>
        <v>#N/A</v>
      </c>
      <c r="Q784" t="e">
        <f t="shared" si="121"/>
        <v>#N/A</v>
      </c>
      <c r="R784" t="e">
        <f t="shared" si="122"/>
        <v>#N/A</v>
      </c>
      <c r="S784" t="e">
        <f t="shared" si="123"/>
        <v>#N/A</v>
      </c>
      <c r="T784" t="e">
        <f t="shared" si="124"/>
        <v>#N/A</v>
      </c>
      <c r="U784" t="e">
        <f t="shared" si="125"/>
        <v>#N/A</v>
      </c>
      <c r="V784">
        <f t="shared" si="126"/>
        <v>312000</v>
      </c>
      <c r="W784">
        <f t="shared" si="127"/>
        <v>67</v>
      </c>
      <c r="X784" t="e">
        <f t="shared" si="128"/>
        <v>#N/A</v>
      </c>
      <c r="Y784" t="e">
        <f t="shared" si="129"/>
        <v>#N/A</v>
      </c>
    </row>
    <row r="785" spans="1:25" x14ac:dyDescent="0.2">
      <c r="A785">
        <v>1783</v>
      </c>
      <c r="B785" t="s">
        <v>45</v>
      </c>
      <c r="C785" t="s">
        <v>38</v>
      </c>
      <c r="D785">
        <v>2023</v>
      </c>
      <c r="E785" t="s">
        <v>16</v>
      </c>
      <c r="F785">
        <v>53</v>
      </c>
      <c r="G785">
        <v>0</v>
      </c>
      <c r="H785">
        <v>1</v>
      </c>
      <c r="I785">
        <v>288000</v>
      </c>
      <c r="J785">
        <v>5434</v>
      </c>
      <c r="K785">
        <v>2</v>
      </c>
      <c r="L785" t="s">
        <v>17</v>
      </c>
      <c r="M785">
        <v>153</v>
      </c>
      <c r="N785" t="s">
        <v>21</v>
      </c>
      <c r="P785" t="e">
        <f t="shared" si="120"/>
        <v>#N/A</v>
      </c>
      <c r="Q785" t="e">
        <f t="shared" si="121"/>
        <v>#N/A</v>
      </c>
      <c r="R785" t="e">
        <f t="shared" si="122"/>
        <v>#N/A</v>
      </c>
      <c r="S785" t="e">
        <f t="shared" si="123"/>
        <v>#N/A</v>
      </c>
      <c r="T785" t="e">
        <f t="shared" si="124"/>
        <v>#N/A</v>
      </c>
      <c r="U785" t="e">
        <f t="shared" si="125"/>
        <v>#N/A</v>
      </c>
      <c r="V785">
        <f t="shared" si="126"/>
        <v>288000</v>
      </c>
      <c r="W785">
        <f t="shared" si="127"/>
        <v>53</v>
      </c>
      <c r="X785" t="e">
        <f t="shared" si="128"/>
        <v>#N/A</v>
      </c>
      <c r="Y785" t="e">
        <f t="shared" si="129"/>
        <v>#N/A</v>
      </c>
    </row>
    <row r="786" spans="1:25" x14ac:dyDescent="0.2">
      <c r="A786">
        <v>1784</v>
      </c>
      <c r="B786" t="s">
        <v>19</v>
      </c>
      <c r="C786" t="s">
        <v>29</v>
      </c>
      <c r="D786">
        <v>2023</v>
      </c>
      <c r="E786" t="s">
        <v>30</v>
      </c>
      <c r="F786">
        <v>385</v>
      </c>
      <c r="G786">
        <v>5</v>
      </c>
      <c r="H786">
        <v>5</v>
      </c>
      <c r="I786">
        <v>2018000</v>
      </c>
      <c r="J786">
        <v>5241.6000000000004</v>
      </c>
      <c r="K786">
        <v>2</v>
      </c>
      <c r="L786" t="s">
        <v>34</v>
      </c>
      <c r="M786">
        <v>11</v>
      </c>
      <c r="N786" t="s">
        <v>21</v>
      </c>
      <c r="P786">
        <f t="shared" si="120"/>
        <v>2018000</v>
      </c>
      <c r="Q786">
        <f t="shared" si="121"/>
        <v>385</v>
      </c>
      <c r="R786" t="e">
        <f t="shared" si="122"/>
        <v>#N/A</v>
      </c>
      <c r="S786" t="e">
        <f t="shared" si="123"/>
        <v>#N/A</v>
      </c>
      <c r="T786" t="e">
        <f t="shared" si="124"/>
        <v>#N/A</v>
      </c>
      <c r="U786" t="e">
        <f t="shared" si="125"/>
        <v>#N/A</v>
      </c>
      <c r="V786" t="e">
        <f t="shared" si="126"/>
        <v>#N/A</v>
      </c>
      <c r="W786" t="e">
        <f t="shared" si="127"/>
        <v>#N/A</v>
      </c>
      <c r="X786" t="e">
        <f t="shared" si="128"/>
        <v>#N/A</v>
      </c>
      <c r="Y786" t="e">
        <f t="shared" si="129"/>
        <v>#N/A</v>
      </c>
    </row>
    <row r="787" spans="1:25" x14ac:dyDescent="0.2">
      <c r="A787">
        <v>1785</v>
      </c>
      <c r="B787" t="s">
        <v>32</v>
      </c>
      <c r="C787" t="s">
        <v>15</v>
      </c>
      <c r="D787">
        <v>2022</v>
      </c>
      <c r="E787" t="s">
        <v>16</v>
      </c>
      <c r="F787">
        <v>118</v>
      </c>
      <c r="G787">
        <v>2</v>
      </c>
      <c r="H787">
        <v>2</v>
      </c>
      <c r="I787">
        <v>320000</v>
      </c>
      <c r="J787">
        <v>2711.9</v>
      </c>
      <c r="K787">
        <v>3</v>
      </c>
      <c r="L787" t="s">
        <v>34</v>
      </c>
      <c r="M787">
        <v>119</v>
      </c>
      <c r="N787" t="s">
        <v>18</v>
      </c>
      <c r="P787" t="e">
        <f t="shared" si="120"/>
        <v>#N/A</v>
      </c>
      <c r="Q787" t="e">
        <f t="shared" si="121"/>
        <v>#N/A</v>
      </c>
      <c r="R787">
        <f t="shared" si="122"/>
        <v>320000</v>
      </c>
      <c r="S787">
        <f t="shared" si="123"/>
        <v>118</v>
      </c>
      <c r="T787" t="e">
        <f t="shared" si="124"/>
        <v>#N/A</v>
      </c>
      <c r="U787" t="e">
        <f t="shared" si="125"/>
        <v>#N/A</v>
      </c>
      <c r="V787" t="e">
        <f t="shared" si="126"/>
        <v>#N/A</v>
      </c>
      <c r="W787" t="e">
        <f t="shared" si="127"/>
        <v>#N/A</v>
      </c>
      <c r="X787" t="e">
        <f t="shared" si="128"/>
        <v>#N/A</v>
      </c>
      <c r="Y787" t="e">
        <f t="shared" si="129"/>
        <v>#N/A</v>
      </c>
    </row>
    <row r="788" spans="1:25" x14ac:dyDescent="0.2">
      <c r="A788">
        <v>1786</v>
      </c>
      <c r="B788" t="s">
        <v>22</v>
      </c>
      <c r="C788" t="s">
        <v>36</v>
      </c>
      <c r="D788">
        <v>2024</v>
      </c>
      <c r="E788" t="s">
        <v>24</v>
      </c>
      <c r="F788">
        <v>268</v>
      </c>
      <c r="G788">
        <v>4</v>
      </c>
      <c r="H788">
        <v>4</v>
      </c>
      <c r="I788">
        <v>809000</v>
      </c>
      <c r="J788">
        <v>3018.7</v>
      </c>
      <c r="K788">
        <v>3</v>
      </c>
      <c r="L788" t="s">
        <v>17</v>
      </c>
      <c r="M788">
        <v>51</v>
      </c>
      <c r="N788" t="s">
        <v>18</v>
      </c>
      <c r="P788" t="e">
        <f t="shared" si="120"/>
        <v>#N/A</v>
      </c>
      <c r="Q788" t="e">
        <f t="shared" si="121"/>
        <v>#N/A</v>
      </c>
      <c r="R788" t="e">
        <f t="shared" si="122"/>
        <v>#N/A</v>
      </c>
      <c r="S788" t="e">
        <f t="shared" si="123"/>
        <v>#N/A</v>
      </c>
      <c r="T788" t="e">
        <f t="shared" si="124"/>
        <v>#N/A</v>
      </c>
      <c r="U788" t="e">
        <f t="shared" si="125"/>
        <v>#N/A</v>
      </c>
      <c r="V788" t="e">
        <f t="shared" si="126"/>
        <v>#N/A</v>
      </c>
      <c r="W788" t="e">
        <f t="shared" si="127"/>
        <v>#N/A</v>
      </c>
      <c r="X788">
        <f t="shared" si="128"/>
        <v>809000</v>
      </c>
      <c r="Y788">
        <f t="shared" si="129"/>
        <v>268</v>
      </c>
    </row>
    <row r="789" spans="1:25" x14ac:dyDescent="0.2">
      <c r="A789">
        <v>1787</v>
      </c>
      <c r="B789" t="s">
        <v>40</v>
      </c>
      <c r="C789" t="s">
        <v>23</v>
      </c>
      <c r="D789">
        <v>2024</v>
      </c>
      <c r="E789" t="s">
        <v>30</v>
      </c>
      <c r="F789">
        <v>199</v>
      </c>
      <c r="G789">
        <v>4</v>
      </c>
      <c r="H789">
        <v>4</v>
      </c>
      <c r="I789">
        <v>919000</v>
      </c>
      <c r="J789">
        <v>4618.1000000000004</v>
      </c>
      <c r="K789">
        <v>2</v>
      </c>
      <c r="L789" t="s">
        <v>17</v>
      </c>
      <c r="M789">
        <v>104</v>
      </c>
      <c r="N789" t="s">
        <v>18</v>
      </c>
      <c r="P789" t="e">
        <f t="shared" si="120"/>
        <v>#N/A</v>
      </c>
      <c r="Q789" t="e">
        <f t="shared" si="121"/>
        <v>#N/A</v>
      </c>
      <c r="R789" t="e">
        <f t="shared" si="122"/>
        <v>#N/A</v>
      </c>
      <c r="S789" t="e">
        <f t="shared" si="123"/>
        <v>#N/A</v>
      </c>
      <c r="T789">
        <f t="shared" si="124"/>
        <v>919000</v>
      </c>
      <c r="U789">
        <f t="shared" si="125"/>
        <v>199</v>
      </c>
      <c r="V789" t="e">
        <f t="shared" si="126"/>
        <v>#N/A</v>
      </c>
      <c r="W789" t="e">
        <f t="shared" si="127"/>
        <v>#N/A</v>
      </c>
      <c r="X789" t="e">
        <f t="shared" si="128"/>
        <v>#N/A</v>
      </c>
      <c r="Y789" t="e">
        <f t="shared" si="129"/>
        <v>#N/A</v>
      </c>
    </row>
    <row r="790" spans="1:25" x14ac:dyDescent="0.2">
      <c r="A790">
        <v>1788</v>
      </c>
      <c r="B790" t="s">
        <v>48</v>
      </c>
      <c r="C790" t="s">
        <v>23</v>
      </c>
      <c r="D790">
        <v>2023</v>
      </c>
      <c r="E790" t="s">
        <v>16</v>
      </c>
      <c r="F790">
        <v>247</v>
      </c>
      <c r="G790">
        <v>4</v>
      </c>
      <c r="H790">
        <v>4</v>
      </c>
      <c r="I790">
        <v>929000</v>
      </c>
      <c r="J790">
        <v>3761.1</v>
      </c>
      <c r="K790">
        <v>7</v>
      </c>
      <c r="L790" t="s">
        <v>17</v>
      </c>
      <c r="M790">
        <v>155</v>
      </c>
      <c r="N790" t="s">
        <v>27</v>
      </c>
      <c r="P790" t="e">
        <f t="shared" si="120"/>
        <v>#N/A</v>
      </c>
      <c r="Q790" t="e">
        <f t="shared" si="121"/>
        <v>#N/A</v>
      </c>
      <c r="R790" t="e">
        <f t="shared" si="122"/>
        <v>#N/A</v>
      </c>
      <c r="S790" t="e">
        <f t="shared" si="123"/>
        <v>#N/A</v>
      </c>
      <c r="T790">
        <f t="shared" si="124"/>
        <v>929000</v>
      </c>
      <c r="U790">
        <f t="shared" si="125"/>
        <v>247</v>
      </c>
      <c r="V790" t="e">
        <f t="shared" si="126"/>
        <v>#N/A</v>
      </c>
      <c r="W790" t="e">
        <f t="shared" si="127"/>
        <v>#N/A</v>
      </c>
      <c r="X790" t="e">
        <f t="shared" si="128"/>
        <v>#N/A</v>
      </c>
      <c r="Y790" t="e">
        <f t="shared" si="129"/>
        <v>#N/A</v>
      </c>
    </row>
    <row r="791" spans="1:25" x14ac:dyDescent="0.2">
      <c r="A791">
        <v>1789</v>
      </c>
      <c r="B791" t="s">
        <v>14</v>
      </c>
      <c r="C791" t="s">
        <v>23</v>
      </c>
      <c r="D791">
        <v>2022</v>
      </c>
      <c r="E791" t="s">
        <v>26</v>
      </c>
      <c r="F791">
        <v>332</v>
      </c>
      <c r="G791">
        <v>4</v>
      </c>
      <c r="H791">
        <v>4</v>
      </c>
      <c r="I791">
        <v>1385000</v>
      </c>
      <c r="J791">
        <v>4171.7</v>
      </c>
      <c r="K791">
        <v>2</v>
      </c>
      <c r="L791" t="s">
        <v>17</v>
      </c>
      <c r="M791">
        <v>171</v>
      </c>
      <c r="N791" t="s">
        <v>18</v>
      </c>
      <c r="P791" t="e">
        <f t="shared" si="120"/>
        <v>#N/A</v>
      </c>
      <c r="Q791" t="e">
        <f t="shared" si="121"/>
        <v>#N/A</v>
      </c>
      <c r="R791" t="e">
        <f t="shared" si="122"/>
        <v>#N/A</v>
      </c>
      <c r="S791" t="e">
        <f t="shared" si="123"/>
        <v>#N/A</v>
      </c>
      <c r="T791">
        <f t="shared" si="124"/>
        <v>1385000</v>
      </c>
      <c r="U791">
        <f t="shared" si="125"/>
        <v>332</v>
      </c>
      <c r="V791" t="e">
        <f t="shared" si="126"/>
        <v>#N/A</v>
      </c>
      <c r="W791" t="e">
        <f t="shared" si="127"/>
        <v>#N/A</v>
      </c>
      <c r="X791" t="e">
        <f t="shared" si="128"/>
        <v>#N/A</v>
      </c>
      <c r="Y791" t="e">
        <f t="shared" si="129"/>
        <v>#N/A</v>
      </c>
    </row>
    <row r="792" spans="1:25" x14ac:dyDescent="0.2">
      <c r="A792">
        <v>1790</v>
      </c>
      <c r="B792" t="s">
        <v>14</v>
      </c>
      <c r="C792" t="s">
        <v>36</v>
      </c>
      <c r="D792">
        <v>2023</v>
      </c>
      <c r="E792" t="s">
        <v>26</v>
      </c>
      <c r="F792">
        <v>391</v>
      </c>
      <c r="G792">
        <v>3</v>
      </c>
      <c r="H792">
        <v>3</v>
      </c>
      <c r="I792">
        <v>1086000</v>
      </c>
      <c r="J792">
        <v>2777.5</v>
      </c>
      <c r="K792">
        <v>0</v>
      </c>
      <c r="L792" t="s">
        <v>17</v>
      </c>
      <c r="M792">
        <v>55</v>
      </c>
      <c r="N792" t="s">
        <v>18</v>
      </c>
      <c r="P792" t="e">
        <f t="shared" si="120"/>
        <v>#N/A</v>
      </c>
      <c r="Q792" t="e">
        <f t="shared" si="121"/>
        <v>#N/A</v>
      </c>
      <c r="R792" t="e">
        <f t="shared" si="122"/>
        <v>#N/A</v>
      </c>
      <c r="S792" t="e">
        <f t="shared" si="123"/>
        <v>#N/A</v>
      </c>
      <c r="T792" t="e">
        <f t="shared" si="124"/>
        <v>#N/A</v>
      </c>
      <c r="U792" t="e">
        <f t="shared" si="125"/>
        <v>#N/A</v>
      </c>
      <c r="V792" t="e">
        <f t="shared" si="126"/>
        <v>#N/A</v>
      </c>
      <c r="W792" t="e">
        <f t="shared" si="127"/>
        <v>#N/A</v>
      </c>
      <c r="X792">
        <f t="shared" si="128"/>
        <v>1086000</v>
      </c>
      <c r="Y792">
        <f t="shared" si="129"/>
        <v>391</v>
      </c>
    </row>
    <row r="793" spans="1:25" x14ac:dyDescent="0.2">
      <c r="A793">
        <v>1791</v>
      </c>
      <c r="B793" t="s">
        <v>25</v>
      </c>
      <c r="C793" t="s">
        <v>36</v>
      </c>
      <c r="D793">
        <v>2024</v>
      </c>
      <c r="E793" t="s">
        <v>30</v>
      </c>
      <c r="F793">
        <v>321</v>
      </c>
      <c r="G793">
        <v>5</v>
      </c>
      <c r="H793">
        <v>5</v>
      </c>
      <c r="I793">
        <v>736000</v>
      </c>
      <c r="J793">
        <v>2292.8000000000002</v>
      </c>
      <c r="K793">
        <v>7</v>
      </c>
      <c r="L793" t="s">
        <v>17</v>
      </c>
      <c r="M793">
        <v>22</v>
      </c>
      <c r="N793" t="s">
        <v>27</v>
      </c>
      <c r="P793" t="e">
        <f t="shared" si="120"/>
        <v>#N/A</v>
      </c>
      <c r="Q793" t="e">
        <f t="shared" si="121"/>
        <v>#N/A</v>
      </c>
      <c r="R793" t="e">
        <f t="shared" si="122"/>
        <v>#N/A</v>
      </c>
      <c r="S793" t="e">
        <f t="shared" si="123"/>
        <v>#N/A</v>
      </c>
      <c r="T793" t="e">
        <f t="shared" si="124"/>
        <v>#N/A</v>
      </c>
      <c r="U793" t="e">
        <f t="shared" si="125"/>
        <v>#N/A</v>
      </c>
      <c r="V793" t="e">
        <f t="shared" si="126"/>
        <v>#N/A</v>
      </c>
      <c r="W793" t="e">
        <f t="shared" si="127"/>
        <v>#N/A</v>
      </c>
      <c r="X793">
        <f t="shared" si="128"/>
        <v>736000</v>
      </c>
      <c r="Y793">
        <f t="shared" si="129"/>
        <v>321</v>
      </c>
    </row>
    <row r="794" spans="1:25" x14ac:dyDescent="0.2">
      <c r="A794">
        <v>1792</v>
      </c>
      <c r="B794" t="s">
        <v>39</v>
      </c>
      <c r="C794" t="s">
        <v>15</v>
      </c>
      <c r="D794">
        <v>2022</v>
      </c>
      <c r="E794" t="s">
        <v>30</v>
      </c>
      <c r="F794">
        <v>210</v>
      </c>
      <c r="G794">
        <v>4</v>
      </c>
      <c r="H794">
        <v>4</v>
      </c>
      <c r="I794">
        <v>795000</v>
      </c>
      <c r="J794">
        <v>3785.7</v>
      </c>
      <c r="K794">
        <v>1</v>
      </c>
      <c r="L794" t="s">
        <v>17</v>
      </c>
      <c r="M794">
        <v>117</v>
      </c>
      <c r="N794" t="s">
        <v>21</v>
      </c>
      <c r="P794" t="e">
        <f t="shared" si="120"/>
        <v>#N/A</v>
      </c>
      <c r="Q794" t="e">
        <f t="shared" si="121"/>
        <v>#N/A</v>
      </c>
      <c r="R794">
        <f t="shared" si="122"/>
        <v>795000</v>
      </c>
      <c r="S794">
        <f t="shared" si="123"/>
        <v>210</v>
      </c>
      <c r="T794" t="e">
        <f t="shared" si="124"/>
        <v>#N/A</v>
      </c>
      <c r="U794" t="e">
        <f t="shared" si="125"/>
        <v>#N/A</v>
      </c>
      <c r="V794" t="e">
        <f t="shared" si="126"/>
        <v>#N/A</v>
      </c>
      <c r="W794" t="e">
        <f t="shared" si="127"/>
        <v>#N/A</v>
      </c>
      <c r="X794" t="e">
        <f t="shared" si="128"/>
        <v>#N/A</v>
      </c>
      <c r="Y794" t="e">
        <f t="shared" si="129"/>
        <v>#N/A</v>
      </c>
    </row>
    <row r="795" spans="1:25" x14ac:dyDescent="0.2">
      <c r="A795">
        <v>1793</v>
      </c>
      <c r="B795" t="s">
        <v>42</v>
      </c>
      <c r="C795" t="s">
        <v>15</v>
      </c>
      <c r="D795">
        <v>2022</v>
      </c>
      <c r="E795" t="s">
        <v>30</v>
      </c>
      <c r="F795">
        <v>127</v>
      </c>
      <c r="G795">
        <v>3</v>
      </c>
      <c r="H795">
        <v>3</v>
      </c>
      <c r="I795">
        <v>583000</v>
      </c>
      <c r="J795">
        <v>4590.6000000000004</v>
      </c>
      <c r="K795">
        <v>10</v>
      </c>
      <c r="L795" t="s">
        <v>20</v>
      </c>
      <c r="M795">
        <v>101</v>
      </c>
      <c r="N795" t="s">
        <v>21</v>
      </c>
      <c r="P795" t="e">
        <f t="shared" si="120"/>
        <v>#N/A</v>
      </c>
      <c r="Q795" t="e">
        <f t="shared" si="121"/>
        <v>#N/A</v>
      </c>
      <c r="R795">
        <f t="shared" si="122"/>
        <v>583000</v>
      </c>
      <c r="S795">
        <f t="shared" si="123"/>
        <v>127</v>
      </c>
      <c r="T795" t="e">
        <f t="shared" si="124"/>
        <v>#N/A</v>
      </c>
      <c r="U795" t="e">
        <f t="shared" si="125"/>
        <v>#N/A</v>
      </c>
      <c r="V795" t="e">
        <f t="shared" si="126"/>
        <v>#N/A</v>
      </c>
      <c r="W795" t="e">
        <f t="shared" si="127"/>
        <v>#N/A</v>
      </c>
      <c r="X795" t="e">
        <f t="shared" si="128"/>
        <v>#N/A</v>
      </c>
      <c r="Y795" t="e">
        <f t="shared" si="129"/>
        <v>#N/A</v>
      </c>
    </row>
    <row r="796" spans="1:25" x14ac:dyDescent="0.2">
      <c r="A796">
        <v>1794</v>
      </c>
      <c r="B796" t="s">
        <v>31</v>
      </c>
      <c r="C796" t="s">
        <v>23</v>
      </c>
      <c r="D796">
        <v>2024</v>
      </c>
      <c r="E796" t="s">
        <v>30</v>
      </c>
      <c r="F796">
        <v>345</v>
      </c>
      <c r="G796">
        <v>4</v>
      </c>
      <c r="H796">
        <v>4</v>
      </c>
      <c r="I796">
        <v>1148000</v>
      </c>
      <c r="J796">
        <v>3327.5</v>
      </c>
      <c r="K796">
        <v>15</v>
      </c>
      <c r="L796" t="s">
        <v>17</v>
      </c>
      <c r="M796">
        <v>1</v>
      </c>
      <c r="N796" t="s">
        <v>21</v>
      </c>
      <c r="P796" t="e">
        <f t="shared" si="120"/>
        <v>#N/A</v>
      </c>
      <c r="Q796" t="e">
        <f t="shared" si="121"/>
        <v>#N/A</v>
      </c>
      <c r="R796" t="e">
        <f t="shared" si="122"/>
        <v>#N/A</v>
      </c>
      <c r="S796" t="e">
        <f t="shared" si="123"/>
        <v>#N/A</v>
      </c>
      <c r="T796">
        <f t="shared" si="124"/>
        <v>1148000</v>
      </c>
      <c r="U796">
        <f t="shared" si="125"/>
        <v>345</v>
      </c>
      <c r="V796" t="e">
        <f t="shared" si="126"/>
        <v>#N/A</v>
      </c>
      <c r="W796" t="e">
        <f t="shared" si="127"/>
        <v>#N/A</v>
      </c>
      <c r="X796" t="e">
        <f t="shared" si="128"/>
        <v>#N/A</v>
      </c>
      <c r="Y796" t="e">
        <f t="shared" si="129"/>
        <v>#N/A</v>
      </c>
    </row>
    <row r="797" spans="1:25" x14ac:dyDescent="0.2">
      <c r="A797">
        <v>1795</v>
      </c>
      <c r="B797" t="s">
        <v>48</v>
      </c>
      <c r="C797" t="s">
        <v>38</v>
      </c>
      <c r="D797">
        <v>2021</v>
      </c>
      <c r="E797" t="s">
        <v>30</v>
      </c>
      <c r="F797">
        <v>71</v>
      </c>
      <c r="G797">
        <v>0</v>
      </c>
      <c r="H797">
        <v>1</v>
      </c>
      <c r="I797">
        <v>250000</v>
      </c>
      <c r="J797">
        <v>3521.1</v>
      </c>
      <c r="K797">
        <v>5</v>
      </c>
      <c r="L797" t="s">
        <v>34</v>
      </c>
      <c r="M797">
        <v>7</v>
      </c>
      <c r="N797" t="s">
        <v>27</v>
      </c>
      <c r="P797" t="e">
        <f t="shared" si="120"/>
        <v>#N/A</v>
      </c>
      <c r="Q797" t="e">
        <f t="shared" si="121"/>
        <v>#N/A</v>
      </c>
      <c r="R797" t="e">
        <f t="shared" si="122"/>
        <v>#N/A</v>
      </c>
      <c r="S797" t="e">
        <f t="shared" si="123"/>
        <v>#N/A</v>
      </c>
      <c r="T797" t="e">
        <f t="shared" si="124"/>
        <v>#N/A</v>
      </c>
      <c r="U797" t="e">
        <f t="shared" si="125"/>
        <v>#N/A</v>
      </c>
      <c r="V797">
        <f t="shared" si="126"/>
        <v>250000</v>
      </c>
      <c r="W797">
        <f t="shared" si="127"/>
        <v>71</v>
      </c>
      <c r="X797" t="e">
        <f t="shared" si="128"/>
        <v>#N/A</v>
      </c>
      <c r="Y797" t="e">
        <f t="shared" si="129"/>
        <v>#N/A</v>
      </c>
    </row>
    <row r="798" spans="1:25" x14ac:dyDescent="0.2">
      <c r="A798">
        <v>1796</v>
      </c>
      <c r="B798" t="s">
        <v>14</v>
      </c>
      <c r="C798" t="s">
        <v>29</v>
      </c>
      <c r="D798">
        <v>2023</v>
      </c>
      <c r="E798" t="s">
        <v>16</v>
      </c>
      <c r="F798">
        <v>457</v>
      </c>
      <c r="G798">
        <v>5</v>
      </c>
      <c r="H798">
        <v>5</v>
      </c>
      <c r="I798">
        <v>2714000</v>
      </c>
      <c r="J798">
        <v>5938.7</v>
      </c>
      <c r="K798">
        <v>0</v>
      </c>
      <c r="L798" t="s">
        <v>34</v>
      </c>
      <c r="M798">
        <v>163</v>
      </c>
      <c r="N798" t="s">
        <v>18</v>
      </c>
      <c r="P798">
        <f t="shared" si="120"/>
        <v>2714000</v>
      </c>
      <c r="Q798">
        <f t="shared" si="121"/>
        <v>457</v>
      </c>
      <c r="R798" t="e">
        <f t="shared" si="122"/>
        <v>#N/A</v>
      </c>
      <c r="S798" t="e">
        <f t="shared" si="123"/>
        <v>#N/A</v>
      </c>
      <c r="T798" t="e">
        <f t="shared" si="124"/>
        <v>#N/A</v>
      </c>
      <c r="U798" t="e">
        <f t="shared" si="125"/>
        <v>#N/A</v>
      </c>
      <c r="V798" t="e">
        <f t="shared" si="126"/>
        <v>#N/A</v>
      </c>
      <c r="W798" t="e">
        <f t="shared" si="127"/>
        <v>#N/A</v>
      </c>
      <c r="X798" t="e">
        <f t="shared" si="128"/>
        <v>#N/A</v>
      </c>
      <c r="Y798" t="e">
        <f t="shared" si="129"/>
        <v>#N/A</v>
      </c>
    </row>
    <row r="799" spans="1:25" x14ac:dyDescent="0.2">
      <c r="A799">
        <v>1797</v>
      </c>
      <c r="B799" t="s">
        <v>44</v>
      </c>
      <c r="C799" t="s">
        <v>23</v>
      </c>
      <c r="D799">
        <v>2024</v>
      </c>
      <c r="E799" t="s">
        <v>16</v>
      </c>
      <c r="F799">
        <v>246</v>
      </c>
      <c r="G799">
        <v>4</v>
      </c>
      <c r="H799">
        <v>4</v>
      </c>
      <c r="I799">
        <v>1012000</v>
      </c>
      <c r="J799">
        <v>4113.8</v>
      </c>
      <c r="K799">
        <v>4</v>
      </c>
      <c r="L799" t="s">
        <v>20</v>
      </c>
      <c r="M799">
        <v>18</v>
      </c>
      <c r="N799" t="s">
        <v>18</v>
      </c>
      <c r="P799" t="e">
        <f t="shared" si="120"/>
        <v>#N/A</v>
      </c>
      <c r="Q799" t="e">
        <f t="shared" si="121"/>
        <v>#N/A</v>
      </c>
      <c r="R799" t="e">
        <f t="shared" si="122"/>
        <v>#N/A</v>
      </c>
      <c r="S799" t="e">
        <f t="shared" si="123"/>
        <v>#N/A</v>
      </c>
      <c r="T799">
        <f t="shared" si="124"/>
        <v>1012000</v>
      </c>
      <c r="U799">
        <f t="shared" si="125"/>
        <v>246</v>
      </c>
      <c r="V799" t="e">
        <f t="shared" si="126"/>
        <v>#N/A</v>
      </c>
      <c r="W799" t="e">
        <f t="shared" si="127"/>
        <v>#N/A</v>
      </c>
      <c r="X799" t="e">
        <f t="shared" si="128"/>
        <v>#N/A</v>
      </c>
      <c r="Y799" t="e">
        <f t="shared" si="129"/>
        <v>#N/A</v>
      </c>
    </row>
    <row r="800" spans="1:25" x14ac:dyDescent="0.2">
      <c r="A800">
        <v>1798</v>
      </c>
      <c r="B800" t="s">
        <v>19</v>
      </c>
      <c r="C800" t="s">
        <v>15</v>
      </c>
      <c r="D800">
        <v>2022</v>
      </c>
      <c r="E800" t="s">
        <v>16</v>
      </c>
      <c r="F800">
        <v>134</v>
      </c>
      <c r="G800">
        <v>3</v>
      </c>
      <c r="H800">
        <v>3</v>
      </c>
      <c r="I800">
        <v>383000</v>
      </c>
      <c r="J800">
        <v>2858.2</v>
      </c>
      <c r="K800">
        <v>5</v>
      </c>
      <c r="L800" t="s">
        <v>17</v>
      </c>
      <c r="M800">
        <v>50</v>
      </c>
      <c r="N800" t="s">
        <v>21</v>
      </c>
      <c r="P800" t="e">
        <f t="shared" si="120"/>
        <v>#N/A</v>
      </c>
      <c r="Q800" t="e">
        <f t="shared" si="121"/>
        <v>#N/A</v>
      </c>
      <c r="R800">
        <f t="shared" si="122"/>
        <v>383000</v>
      </c>
      <c r="S800">
        <f t="shared" si="123"/>
        <v>134</v>
      </c>
      <c r="T800" t="e">
        <f t="shared" si="124"/>
        <v>#N/A</v>
      </c>
      <c r="U800" t="e">
        <f t="shared" si="125"/>
        <v>#N/A</v>
      </c>
      <c r="V800" t="e">
        <f t="shared" si="126"/>
        <v>#N/A</v>
      </c>
      <c r="W800" t="e">
        <f t="shared" si="127"/>
        <v>#N/A</v>
      </c>
      <c r="X800" t="e">
        <f t="shared" si="128"/>
        <v>#N/A</v>
      </c>
      <c r="Y800" t="e">
        <f t="shared" si="129"/>
        <v>#N/A</v>
      </c>
    </row>
    <row r="801" spans="1:25" x14ac:dyDescent="0.2">
      <c r="A801">
        <v>1799</v>
      </c>
      <c r="B801" t="s">
        <v>25</v>
      </c>
      <c r="C801" t="s">
        <v>29</v>
      </c>
      <c r="D801">
        <v>2023</v>
      </c>
      <c r="E801" t="s">
        <v>24</v>
      </c>
      <c r="F801">
        <v>435</v>
      </c>
      <c r="G801">
        <v>6</v>
      </c>
      <c r="H801">
        <v>6</v>
      </c>
      <c r="I801">
        <v>1612000</v>
      </c>
      <c r="J801">
        <v>3705.7</v>
      </c>
      <c r="K801">
        <v>0</v>
      </c>
      <c r="L801" t="s">
        <v>20</v>
      </c>
      <c r="M801">
        <v>77</v>
      </c>
      <c r="N801" t="s">
        <v>27</v>
      </c>
      <c r="P801">
        <f t="shared" si="120"/>
        <v>1612000</v>
      </c>
      <c r="Q801">
        <f t="shared" si="121"/>
        <v>435</v>
      </c>
      <c r="R801" t="e">
        <f t="shared" si="122"/>
        <v>#N/A</v>
      </c>
      <c r="S801" t="e">
        <f t="shared" si="123"/>
        <v>#N/A</v>
      </c>
      <c r="T801" t="e">
        <f t="shared" si="124"/>
        <v>#N/A</v>
      </c>
      <c r="U801" t="e">
        <f t="shared" si="125"/>
        <v>#N/A</v>
      </c>
      <c r="V801" t="e">
        <f t="shared" si="126"/>
        <v>#N/A</v>
      </c>
      <c r="W801" t="e">
        <f t="shared" si="127"/>
        <v>#N/A</v>
      </c>
      <c r="X801" t="e">
        <f t="shared" si="128"/>
        <v>#N/A</v>
      </c>
      <c r="Y801" t="e">
        <f t="shared" si="129"/>
        <v>#N/A</v>
      </c>
    </row>
    <row r="802" spans="1:25" x14ac:dyDescent="0.2">
      <c r="A802">
        <v>1800</v>
      </c>
      <c r="B802" t="s">
        <v>45</v>
      </c>
      <c r="C802" t="s">
        <v>29</v>
      </c>
      <c r="D802">
        <v>2021</v>
      </c>
      <c r="E802" t="s">
        <v>24</v>
      </c>
      <c r="F802">
        <v>312</v>
      </c>
      <c r="G802">
        <v>5</v>
      </c>
      <c r="H802">
        <v>5</v>
      </c>
      <c r="I802">
        <v>1636000</v>
      </c>
      <c r="J802">
        <v>5243.6</v>
      </c>
      <c r="K802">
        <v>15</v>
      </c>
      <c r="L802" t="s">
        <v>17</v>
      </c>
      <c r="M802">
        <v>142</v>
      </c>
      <c r="N802" t="s">
        <v>21</v>
      </c>
      <c r="P802">
        <f t="shared" si="120"/>
        <v>1636000</v>
      </c>
      <c r="Q802">
        <f t="shared" si="121"/>
        <v>312</v>
      </c>
      <c r="R802" t="e">
        <f t="shared" si="122"/>
        <v>#N/A</v>
      </c>
      <c r="S802" t="e">
        <f t="shared" si="123"/>
        <v>#N/A</v>
      </c>
      <c r="T802" t="e">
        <f t="shared" si="124"/>
        <v>#N/A</v>
      </c>
      <c r="U802" t="e">
        <f t="shared" si="125"/>
        <v>#N/A</v>
      </c>
      <c r="V802" t="e">
        <f t="shared" si="126"/>
        <v>#N/A</v>
      </c>
      <c r="W802" t="e">
        <f t="shared" si="127"/>
        <v>#N/A</v>
      </c>
      <c r="X802" t="e">
        <f t="shared" si="128"/>
        <v>#N/A</v>
      </c>
      <c r="Y802" t="e">
        <f t="shared" si="129"/>
        <v>#N/A</v>
      </c>
    </row>
    <row r="803" spans="1:25" x14ac:dyDescent="0.2">
      <c r="A803">
        <v>1801</v>
      </c>
      <c r="B803" t="s">
        <v>47</v>
      </c>
      <c r="C803" t="s">
        <v>15</v>
      </c>
      <c r="D803">
        <v>2022</v>
      </c>
      <c r="E803" t="s">
        <v>30</v>
      </c>
      <c r="F803">
        <v>116</v>
      </c>
      <c r="G803">
        <v>3</v>
      </c>
      <c r="H803">
        <v>3</v>
      </c>
      <c r="I803">
        <v>352000</v>
      </c>
      <c r="J803">
        <v>3034.5</v>
      </c>
      <c r="K803">
        <v>5</v>
      </c>
      <c r="L803" t="s">
        <v>20</v>
      </c>
      <c r="M803">
        <v>116</v>
      </c>
      <c r="N803" t="s">
        <v>21</v>
      </c>
      <c r="P803" t="e">
        <f t="shared" si="120"/>
        <v>#N/A</v>
      </c>
      <c r="Q803" t="e">
        <f t="shared" si="121"/>
        <v>#N/A</v>
      </c>
      <c r="R803">
        <f t="shared" si="122"/>
        <v>352000</v>
      </c>
      <c r="S803">
        <f t="shared" si="123"/>
        <v>116</v>
      </c>
      <c r="T803" t="e">
        <f t="shared" si="124"/>
        <v>#N/A</v>
      </c>
      <c r="U803" t="e">
        <f t="shared" si="125"/>
        <v>#N/A</v>
      </c>
      <c r="V803" t="e">
        <f t="shared" si="126"/>
        <v>#N/A</v>
      </c>
      <c r="W803" t="e">
        <f t="shared" si="127"/>
        <v>#N/A</v>
      </c>
      <c r="X803" t="e">
        <f t="shared" si="128"/>
        <v>#N/A</v>
      </c>
      <c r="Y803" t="e">
        <f t="shared" si="129"/>
        <v>#N/A</v>
      </c>
    </row>
    <row r="804" spans="1:25" x14ac:dyDescent="0.2">
      <c r="A804">
        <v>1802</v>
      </c>
      <c r="B804" t="s">
        <v>28</v>
      </c>
      <c r="C804" t="s">
        <v>38</v>
      </c>
      <c r="D804">
        <v>2023</v>
      </c>
      <c r="E804" t="s">
        <v>16</v>
      </c>
      <c r="F804">
        <v>45</v>
      </c>
      <c r="G804">
        <v>0</v>
      </c>
      <c r="H804">
        <v>1</v>
      </c>
      <c r="I804">
        <v>171000</v>
      </c>
      <c r="J804">
        <v>3800</v>
      </c>
      <c r="K804">
        <v>3</v>
      </c>
      <c r="L804" t="s">
        <v>34</v>
      </c>
      <c r="M804">
        <v>69</v>
      </c>
      <c r="N804" t="s">
        <v>27</v>
      </c>
      <c r="P804" t="e">
        <f t="shared" si="120"/>
        <v>#N/A</v>
      </c>
      <c r="Q804" t="e">
        <f t="shared" si="121"/>
        <v>#N/A</v>
      </c>
      <c r="R804" t="e">
        <f t="shared" si="122"/>
        <v>#N/A</v>
      </c>
      <c r="S804" t="e">
        <f t="shared" si="123"/>
        <v>#N/A</v>
      </c>
      <c r="T804" t="e">
        <f t="shared" si="124"/>
        <v>#N/A</v>
      </c>
      <c r="U804" t="e">
        <f t="shared" si="125"/>
        <v>#N/A</v>
      </c>
      <c r="V804">
        <f t="shared" si="126"/>
        <v>171000</v>
      </c>
      <c r="W804">
        <f t="shared" si="127"/>
        <v>45</v>
      </c>
      <c r="X804" t="e">
        <f t="shared" si="128"/>
        <v>#N/A</v>
      </c>
      <c r="Y804" t="e">
        <f t="shared" si="129"/>
        <v>#N/A</v>
      </c>
    </row>
    <row r="805" spans="1:25" x14ac:dyDescent="0.2">
      <c r="A805">
        <v>1803</v>
      </c>
      <c r="B805" t="s">
        <v>14</v>
      </c>
      <c r="C805" t="s">
        <v>23</v>
      </c>
      <c r="D805">
        <v>2021</v>
      </c>
      <c r="E805" t="s">
        <v>16</v>
      </c>
      <c r="F805">
        <v>307</v>
      </c>
      <c r="G805">
        <v>5</v>
      </c>
      <c r="H805">
        <v>5</v>
      </c>
      <c r="I805">
        <v>1121000</v>
      </c>
      <c r="J805">
        <v>3651.5</v>
      </c>
      <c r="K805">
        <v>2</v>
      </c>
      <c r="L805" t="s">
        <v>17</v>
      </c>
      <c r="M805">
        <v>51</v>
      </c>
      <c r="N805" t="s">
        <v>18</v>
      </c>
      <c r="P805" t="e">
        <f t="shared" si="120"/>
        <v>#N/A</v>
      </c>
      <c r="Q805" t="e">
        <f t="shared" si="121"/>
        <v>#N/A</v>
      </c>
      <c r="R805" t="e">
        <f t="shared" si="122"/>
        <v>#N/A</v>
      </c>
      <c r="S805" t="e">
        <f t="shared" si="123"/>
        <v>#N/A</v>
      </c>
      <c r="T805">
        <f t="shared" si="124"/>
        <v>1121000</v>
      </c>
      <c r="U805">
        <f t="shared" si="125"/>
        <v>307</v>
      </c>
      <c r="V805" t="e">
        <f t="shared" si="126"/>
        <v>#N/A</v>
      </c>
      <c r="W805" t="e">
        <f t="shared" si="127"/>
        <v>#N/A</v>
      </c>
      <c r="X805" t="e">
        <f t="shared" si="128"/>
        <v>#N/A</v>
      </c>
      <c r="Y805" t="e">
        <f t="shared" si="129"/>
        <v>#N/A</v>
      </c>
    </row>
    <row r="806" spans="1:25" x14ac:dyDescent="0.2">
      <c r="A806">
        <v>1804</v>
      </c>
      <c r="B806" t="s">
        <v>35</v>
      </c>
      <c r="C806" t="s">
        <v>29</v>
      </c>
      <c r="D806">
        <v>2021</v>
      </c>
      <c r="E806" t="s">
        <v>16</v>
      </c>
      <c r="F806">
        <v>515</v>
      </c>
      <c r="G806">
        <v>5</v>
      </c>
      <c r="H806">
        <v>5</v>
      </c>
      <c r="I806">
        <v>2358000</v>
      </c>
      <c r="J806">
        <v>4578.6000000000004</v>
      </c>
      <c r="K806">
        <v>10</v>
      </c>
      <c r="L806" t="s">
        <v>17</v>
      </c>
      <c r="M806">
        <v>142</v>
      </c>
      <c r="N806" t="s">
        <v>18</v>
      </c>
      <c r="P806">
        <f t="shared" si="120"/>
        <v>2358000</v>
      </c>
      <c r="Q806">
        <f t="shared" si="121"/>
        <v>515</v>
      </c>
      <c r="R806" t="e">
        <f t="shared" si="122"/>
        <v>#N/A</v>
      </c>
      <c r="S806" t="e">
        <f t="shared" si="123"/>
        <v>#N/A</v>
      </c>
      <c r="T806" t="e">
        <f t="shared" si="124"/>
        <v>#N/A</v>
      </c>
      <c r="U806" t="e">
        <f t="shared" si="125"/>
        <v>#N/A</v>
      </c>
      <c r="V806" t="e">
        <f t="shared" si="126"/>
        <v>#N/A</v>
      </c>
      <c r="W806" t="e">
        <f t="shared" si="127"/>
        <v>#N/A</v>
      </c>
      <c r="X806" t="e">
        <f t="shared" si="128"/>
        <v>#N/A</v>
      </c>
      <c r="Y806" t="e">
        <f t="shared" si="129"/>
        <v>#N/A</v>
      </c>
    </row>
    <row r="807" spans="1:25" x14ac:dyDescent="0.2">
      <c r="A807">
        <v>1805</v>
      </c>
      <c r="B807" t="s">
        <v>31</v>
      </c>
      <c r="C807" t="s">
        <v>29</v>
      </c>
      <c r="D807">
        <v>2024</v>
      </c>
      <c r="E807" t="s">
        <v>26</v>
      </c>
      <c r="F807">
        <v>478</v>
      </c>
      <c r="G807">
        <v>4</v>
      </c>
      <c r="H807">
        <v>4</v>
      </c>
      <c r="I807">
        <v>2049000</v>
      </c>
      <c r="J807">
        <v>4286.6000000000004</v>
      </c>
      <c r="K807">
        <v>4</v>
      </c>
      <c r="L807" t="s">
        <v>20</v>
      </c>
      <c r="M807">
        <v>23</v>
      </c>
      <c r="N807" t="s">
        <v>21</v>
      </c>
      <c r="P807">
        <f t="shared" si="120"/>
        <v>2049000</v>
      </c>
      <c r="Q807">
        <f t="shared" si="121"/>
        <v>478</v>
      </c>
      <c r="R807" t="e">
        <f t="shared" si="122"/>
        <v>#N/A</v>
      </c>
      <c r="S807" t="e">
        <f t="shared" si="123"/>
        <v>#N/A</v>
      </c>
      <c r="T807" t="e">
        <f t="shared" si="124"/>
        <v>#N/A</v>
      </c>
      <c r="U807" t="e">
        <f t="shared" si="125"/>
        <v>#N/A</v>
      </c>
      <c r="V807" t="e">
        <f t="shared" si="126"/>
        <v>#N/A</v>
      </c>
      <c r="W807" t="e">
        <f t="shared" si="127"/>
        <v>#N/A</v>
      </c>
      <c r="X807" t="e">
        <f t="shared" si="128"/>
        <v>#N/A</v>
      </c>
      <c r="Y807" t="e">
        <f t="shared" si="129"/>
        <v>#N/A</v>
      </c>
    </row>
    <row r="808" spans="1:25" x14ac:dyDescent="0.2">
      <c r="A808">
        <v>1806</v>
      </c>
      <c r="B808" t="s">
        <v>47</v>
      </c>
      <c r="C808" t="s">
        <v>29</v>
      </c>
      <c r="D808">
        <v>2023</v>
      </c>
      <c r="E808" t="s">
        <v>30</v>
      </c>
      <c r="F808">
        <v>500</v>
      </c>
      <c r="G808">
        <v>6</v>
      </c>
      <c r="H808">
        <v>6</v>
      </c>
      <c r="I808">
        <v>2444000</v>
      </c>
      <c r="J808">
        <v>4888</v>
      </c>
      <c r="K808">
        <v>3</v>
      </c>
      <c r="L808" t="s">
        <v>17</v>
      </c>
      <c r="M808">
        <v>64</v>
      </c>
      <c r="N808" t="s">
        <v>21</v>
      </c>
      <c r="P808">
        <f t="shared" si="120"/>
        <v>2444000</v>
      </c>
      <c r="Q808">
        <f t="shared" si="121"/>
        <v>500</v>
      </c>
      <c r="R808" t="e">
        <f t="shared" si="122"/>
        <v>#N/A</v>
      </c>
      <c r="S808" t="e">
        <f t="shared" si="123"/>
        <v>#N/A</v>
      </c>
      <c r="T808" t="e">
        <f t="shared" si="124"/>
        <v>#N/A</v>
      </c>
      <c r="U808" t="e">
        <f t="shared" si="125"/>
        <v>#N/A</v>
      </c>
      <c r="V808" t="e">
        <f t="shared" si="126"/>
        <v>#N/A</v>
      </c>
      <c r="W808" t="e">
        <f t="shared" si="127"/>
        <v>#N/A</v>
      </c>
      <c r="X808" t="e">
        <f t="shared" si="128"/>
        <v>#N/A</v>
      </c>
      <c r="Y808" t="e">
        <f t="shared" si="129"/>
        <v>#N/A</v>
      </c>
    </row>
    <row r="809" spans="1:25" x14ac:dyDescent="0.2">
      <c r="A809">
        <v>1807</v>
      </c>
      <c r="B809" t="s">
        <v>48</v>
      </c>
      <c r="C809" t="s">
        <v>29</v>
      </c>
      <c r="D809">
        <v>2023</v>
      </c>
      <c r="E809" t="s">
        <v>26</v>
      </c>
      <c r="F809">
        <v>359</v>
      </c>
      <c r="G809">
        <v>4</v>
      </c>
      <c r="H809">
        <v>4</v>
      </c>
      <c r="I809">
        <v>1670000</v>
      </c>
      <c r="J809">
        <v>4651.8</v>
      </c>
      <c r="K809">
        <v>3</v>
      </c>
      <c r="L809" t="s">
        <v>17</v>
      </c>
      <c r="M809">
        <v>17</v>
      </c>
      <c r="N809" t="s">
        <v>27</v>
      </c>
      <c r="P809">
        <f t="shared" si="120"/>
        <v>1670000</v>
      </c>
      <c r="Q809">
        <f t="shared" si="121"/>
        <v>359</v>
      </c>
      <c r="R809" t="e">
        <f t="shared" si="122"/>
        <v>#N/A</v>
      </c>
      <c r="S809" t="e">
        <f t="shared" si="123"/>
        <v>#N/A</v>
      </c>
      <c r="T809" t="e">
        <f t="shared" si="124"/>
        <v>#N/A</v>
      </c>
      <c r="U809" t="e">
        <f t="shared" si="125"/>
        <v>#N/A</v>
      </c>
      <c r="V809" t="e">
        <f t="shared" si="126"/>
        <v>#N/A</v>
      </c>
      <c r="W809" t="e">
        <f t="shared" si="127"/>
        <v>#N/A</v>
      </c>
      <c r="X809" t="e">
        <f t="shared" si="128"/>
        <v>#N/A</v>
      </c>
      <c r="Y809" t="e">
        <f t="shared" si="129"/>
        <v>#N/A</v>
      </c>
    </row>
    <row r="810" spans="1:25" x14ac:dyDescent="0.2">
      <c r="A810">
        <v>1808</v>
      </c>
      <c r="B810" t="s">
        <v>39</v>
      </c>
      <c r="C810" t="s">
        <v>15</v>
      </c>
      <c r="D810">
        <v>2022</v>
      </c>
      <c r="E810" t="s">
        <v>30</v>
      </c>
      <c r="F810">
        <v>135</v>
      </c>
      <c r="G810">
        <v>3</v>
      </c>
      <c r="H810">
        <v>3</v>
      </c>
      <c r="I810">
        <v>508000</v>
      </c>
      <c r="J810">
        <v>3763</v>
      </c>
      <c r="K810">
        <v>2</v>
      </c>
      <c r="L810" t="s">
        <v>34</v>
      </c>
      <c r="M810">
        <v>146</v>
      </c>
      <c r="N810" t="s">
        <v>21</v>
      </c>
      <c r="P810" t="e">
        <f t="shared" si="120"/>
        <v>#N/A</v>
      </c>
      <c r="Q810" t="e">
        <f t="shared" si="121"/>
        <v>#N/A</v>
      </c>
      <c r="R810">
        <f t="shared" si="122"/>
        <v>508000</v>
      </c>
      <c r="S810">
        <f t="shared" si="123"/>
        <v>135</v>
      </c>
      <c r="T810" t="e">
        <f t="shared" si="124"/>
        <v>#N/A</v>
      </c>
      <c r="U810" t="e">
        <f t="shared" si="125"/>
        <v>#N/A</v>
      </c>
      <c r="V810" t="e">
        <f t="shared" si="126"/>
        <v>#N/A</v>
      </c>
      <c r="W810" t="e">
        <f t="shared" si="127"/>
        <v>#N/A</v>
      </c>
      <c r="X810" t="e">
        <f t="shared" si="128"/>
        <v>#N/A</v>
      </c>
      <c r="Y810" t="e">
        <f t="shared" si="129"/>
        <v>#N/A</v>
      </c>
    </row>
    <row r="811" spans="1:25" x14ac:dyDescent="0.2">
      <c r="A811">
        <v>1809</v>
      </c>
      <c r="B811" t="s">
        <v>41</v>
      </c>
      <c r="C811" t="s">
        <v>36</v>
      </c>
      <c r="D811">
        <v>2024</v>
      </c>
      <c r="E811" t="s">
        <v>16</v>
      </c>
      <c r="F811">
        <v>335</v>
      </c>
      <c r="G811">
        <v>4</v>
      </c>
      <c r="H811">
        <v>4</v>
      </c>
      <c r="I811">
        <v>1401000</v>
      </c>
      <c r="J811">
        <v>4182.1000000000004</v>
      </c>
      <c r="K811">
        <v>0</v>
      </c>
      <c r="L811" t="s">
        <v>20</v>
      </c>
      <c r="M811">
        <v>150</v>
      </c>
      <c r="N811" t="s">
        <v>21</v>
      </c>
      <c r="P811" t="e">
        <f t="shared" si="120"/>
        <v>#N/A</v>
      </c>
      <c r="Q811" t="e">
        <f t="shared" si="121"/>
        <v>#N/A</v>
      </c>
      <c r="R811" t="e">
        <f t="shared" si="122"/>
        <v>#N/A</v>
      </c>
      <c r="S811" t="e">
        <f t="shared" si="123"/>
        <v>#N/A</v>
      </c>
      <c r="T811" t="e">
        <f t="shared" si="124"/>
        <v>#N/A</v>
      </c>
      <c r="U811" t="e">
        <f t="shared" si="125"/>
        <v>#N/A</v>
      </c>
      <c r="V811" t="e">
        <f t="shared" si="126"/>
        <v>#N/A</v>
      </c>
      <c r="W811" t="e">
        <f t="shared" si="127"/>
        <v>#N/A</v>
      </c>
      <c r="X811">
        <f t="shared" si="128"/>
        <v>1401000</v>
      </c>
      <c r="Y811">
        <f t="shared" si="129"/>
        <v>335</v>
      </c>
    </row>
    <row r="812" spans="1:25" x14ac:dyDescent="0.2">
      <c r="A812">
        <v>1810</v>
      </c>
      <c r="B812" t="s">
        <v>41</v>
      </c>
      <c r="C812" t="s">
        <v>23</v>
      </c>
      <c r="D812">
        <v>2023</v>
      </c>
      <c r="E812" t="s">
        <v>16</v>
      </c>
      <c r="F812">
        <v>303</v>
      </c>
      <c r="G812">
        <v>5</v>
      </c>
      <c r="H812">
        <v>5</v>
      </c>
      <c r="I812">
        <v>1616000</v>
      </c>
      <c r="J812">
        <v>5333.3</v>
      </c>
      <c r="K812">
        <v>20</v>
      </c>
      <c r="L812" t="s">
        <v>34</v>
      </c>
      <c r="M812">
        <v>163</v>
      </c>
      <c r="N812" t="s">
        <v>21</v>
      </c>
      <c r="P812" t="e">
        <f t="shared" si="120"/>
        <v>#N/A</v>
      </c>
      <c r="Q812" t="e">
        <f t="shared" si="121"/>
        <v>#N/A</v>
      </c>
      <c r="R812" t="e">
        <f t="shared" si="122"/>
        <v>#N/A</v>
      </c>
      <c r="S812" t="e">
        <f t="shared" si="123"/>
        <v>#N/A</v>
      </c>
      <c r="T812">
        <f t="shared" si="124"/>
        <v>1616000</v>
      </c>
      <c r="U812">
        <f t="shared" si="125"/>
        <v>303</v>
      </c>
      <c r="V812" t="e">
        <f t="shared" si="126"/>
        <v>#N/A</v>
      </c>
      <c r="W812" t="e">
        <f t="shared" si="127"/>
        <v>#N/A</v>
      </c>
      <c r="X812" t="e">
        <f t="shared" si="128"/>
        <v>#N/A</v>
      </c>
      <c r="Y812" t="e">
        <f t="shared" si="129"/>
        <v>#N/A</v>
      </c>
    </row>
    <row r="813" spans="1:25" x14ac:dyDescent="0.2">
      <c r="A813">
        <v>1811</v>
      </c>
      <c r="B813" t="s">
        <v>22</v>
      </c>
      <c r="C813" t="s">
        <v>15</v>
      </c>
      <c r="D813">
        <v>2022</v>
      </c>
      <c r="E813" t="s">
        <v>24</v>
      </c>
      <c r="F813">
        <v>210</v>
      </c>
      <c r="G813">
        <v>2</v>
      </c>
      <c r="H813">
        <v>2</v>
      </c>
      <c r="I813">
        <v>777000</v>
      </c>
      <c r="J813">
        <v>3700</v>
      </c>
      <c r="K813">
        <v>1</v>
      </c>
      <c r="L813" t="s">
        <v>34</v>
      </c>
      <c r="M813">
        <v>61</v>
      </c>
      <c r="N813" t="s">
        <v>18</v>
      </c>
      <c r="P813" t="e">
        <f t="shared" si="120"/>
        <v>#N/A</v>
      </c>
      <c r="Q813" t="e">
        <f t="shared" si="121"/>
        <v>#N/A</v>
      </c>
      <c r="R813">
        <f t="shared" si="122"/>
        <v>777000</v>
      </c>
      <c r="S813">
        <f t="shared" si="123"/>
        <v>210</v>
      </c>
      <c r="T813" t="e">
        <f t="shared" si="124"/>
        <v>#N/A</v>
      </c>
      <c r="U813" t="e">
        <f t="shared" si="125"/>
        <v>#N/A</v>
      </c>
      <c r="V813" t="e">
        <f t="shared" si="126"/>
        <v>#N/A</v>
      </c>
      <c r="W813" t="e">
        <f t="shared" si="127"/>
        <v>#N/A</v>
      </c>
      <c r="X813" t="e">
        <f t="shared" si="128"/>
        <v>#N/A</v>
      </c>
      <c r="Y813" t="e">
        <f t="shared" si="129"/>
        <v>#N/A</v>
      </c>
    </row>
    <row r="814" spans="1:25" x14ac:dyDescent="0.2">
      <c r="A814">
        <v>1812</v>
      </c>
      <c r="B814" t="s">
        <v>46</v>
      </c>
      <c r="C814" t="s">
        <v>38</v>
      </c>
      <c r="D814">
        <v>2021</v>
      </c>
      <c r="E814" t="s">
        <v>24</v>
      </c>
      <c r="F814">
        <v>49</v>
      </c>
      <c r="G814">
        <v>0</v>
      </c>
      <c r="H814">
        <v>1</v>
      </c>
      <c r="I814">
        <v>205000</v>
      </c>
      <c r="J814">
        <v>4183.7</v>
      </c>
      <c r="K814">
        <v>1</v>
      </c>
      <c r="L814" t="s">
        <v>17</v>
      </c>
      <c r="M814">
        <v>103</v>
      </c>
      <c r="N814" t="s">
        <v>18</v>
      </c>
      <c r="P814" t="e">
        <f t="shared" si="120"/>
        <v>#N/A</v>
      </c>
      <c r="Q814" t="e">
        <f t="shared" si="121"/>
        <v>#N/A</v>
      </c>
      <c r="R814" t="e">
        <f t="shared" si="122"/>
        <v>#N/A</v>
      </c>
      <c r="S814" t="e">
        <f t="shared" si="123"/>
        <v>#N/A</v>
      </c>
      <c r="T814" t="e">
        <f t="shared" si="124"/>
        <v>#N/A</v>
      </c>
      <c r="U814" t="e">
        <f t="shared" si="125"/>
        <v>#N/A</v>
      </c>
      <c r="V814">
        <f t="shared" si="126"/>
        <v>205000</v>
      </c>
      <c r="W814">
        <f t="shared" si="127"/>
        <v>49</v>
      </c>
      <c r="X814" t="e">
        <f t="shared" si="128"/>
        <v>#N/A</v>
      </c>
      <c r="Y814" t="e">
        <f t="shared" si="129"/>
        <v>#N/A</v>
      </c>
    </row>
    <row r="815" spans="1:25" x14ac:dyDescent="0.2">
      <c r="A815">
        <v>1813</v>
      </c>
      <c r="B815" t="s">
        <v>40</v>
      </c>
      <c r="C815" t="s">
        <v>36</v>
      </c>
      <c r="D815">
        <v>2021</v>
      </c>
      <c r="E815" t="s">
        <v>26</v>
      </c>
      <c r="F815">
        <v>406</v>
      </c>
      <c r="G815">
        <v>3</v>
      </c>
      <c r="H815">
        <v>3</v>
      </c>
      <c r="I815">
        <v>966000</v>
      </c>
      <c r="J815">
        <v>2379.3000000000002</v>
      </c>
      <c r="K815">
        <v>5</v>
      </c>
      <c r="L815" t="s">
        <v>17</v>
      </c>
      <c r="M815">
        <v>64</v>
      </c>
      <c r="N815" t="s">
        <v>18</v>
      </c>
      <c r="P815" t="e">
        <f t="shared" si="120"/>
        <v>#N/A</v>
      </c>
      <c r="Q815" t="e">
        <f t="shared" si="121"/>
        <v>#N/A</v>
      </c>
      <c r="R815" t="e">
        <f t="shared" si="122"/>
        <v>#N/A</v>
      </c>
      <c r="S815" t="e">
        <f t="shared" si="123"/>
        <v>#N/A</v>
      </c>
      <c r="T815" t="e">
        <f t="shared" si="124"/>
        <v>#N/A</v>
      </c>
      <c r="U815" t="e">
        <f t="shared" si="125"/>
        <v>#N/A</v>
      </c>
      <c r="V815" t="e">
        <f t="shared" si="126"/>
        <v>#N/A</v>
      </c>
      <c r="W815" t="e">
        <f t="shared" si="127"/>
        <v>#N/A</v>
      </c>
      <c r="X815">
        <f t="shared" si="128"/>
        <v>966000</v>
      </c>
      <c r="Y815">
        <f t="shared" si="129"/>
        <v>406</v>
      </c>
    </row>
    <row r="816" spans="1:25" x14ac:dyDescent="0.2">
      <c r="A816">
        <v>1814</v>
      </c>
      <c r="B816" t="s">
        <v>41</v>
      </c>
      <c r="C816" t="s">
        <v>15</v>
      </c>
      <c r="D816">
        <v>2022</v>
      </c>
      <c r="E816" t="s">
        <v>26</v>
      </c>
      <c r="F816">
        <v>191</v>
      </c>
      <c r="G816">
        <v>3</v>
      </c>
      <c r="H816">
        <v>3</v>
      </c>
      <c r="I816">
        <v>910000</v>
      </c>
      <c r="J816">
        <v>4764.3999999999996</v>
      </c>
      <c r="K816">
        <v>4</v>
      </c>
      <c r="L816" t="s">
        <v>20</v>
      </c>
      <c r="M816">
        <v>93</v>
      </c>
      <c r="N816" t="s">
        <v>21</v>
      </c>
      <c r="P816" t="e">
        <f t="shared" si="120"/>
        <v>#N/A</v>
      </c>
      <c r="Q816" t="e">
        <f t="shared" si="121"/>
        <v>#N/A</v>
      </c>
      <c r="R816">
        <f t="shared" si="122"/>
        <v>910000</v>
      </c>
      <c r="S816">
        <f t="shared" si="123"/>
        <v>191</v>
      </c>
      <c r="T816" t="e">
        <f t="shared" si="124"/>
        <v>#N/A</v>
      </c>
      <c r="U816" t="e">
        <f t="shared" si="125"/>
        <v>#N/A</v>
      </c>
      <c r="V816" t="e">
        <f t="shared" si="126"/>
        <v>#N/A</v>
      </c>
      <c r="W816" t="e">
        <f t="shared" si="127"/>
        <v>#N/A</v>
      </c>
      <c r="X816" t="e">
        <f t="shared" si="128"/>
        <v>#N/A</v>
      </c>
      <c r="Y816" t="e">
        <f t="shared" si="129"/>
        <v>#N/A</v>
      </c>
    </row>
    <row r="817" spans="1:25" x14ac:dyDescent="0.2">
      <c r="A817">
        <v>1815</v>
      </c>
      <c r="B817" t="s">
        <v>45</v>
      </c>
      <c r="C817" t="s">
        <v>29</v>
      </c>
      <c r="D817">
        <v>2024</v>
      </c>
      <c r="E817" t="s">
        <v>30</v>
      </c>
      <c r="F817">
        <v>461</v>
      </c>
      <c r="G817">
        <v>5</v>
      </c>
      <c r="H817">
        <v>5</v>
      </c>
      <c r="I817">
        <v>3149000</v>
      </c>
      <c r="J817">
        <v>6830.8</v>
      </c>
      <c r="K817">
        <v>3</v>
      </c>
      <c r="L817" t="s">
        <v>20</v>
      </c>
      <c r="M817">
        <v>78</v>
      </c>
      <c r="N817" t="s">
        <v>21</v>
      </c>
      <c r="P817">
        <f t="shared" si="120"/>
        <v>3149000</v>
      </c>
      <c r="Q817">
        <f t="shared" si="121"/>
        <v>461</v>
      </c>
      <c r="R817" t="e">
        <f t="shared" si="122"/>
        <v>#N/A</v>
      </c>
      <c r="S817" t="e">
        <f t="shared" si="123"/>
        <v>#N/A</v>
      </c>
      <c r="T817" t="e">
        <f t="shared" si="124"/>
        <v>#N/A</v>
      </c>
      <c r="U817" t="e">
        <f t="shared" si="125"/>
        <v>#N/A</v>
      </c>
      <c r="V817" t="e">
        <f t="shared" si="126"/>
        <v>#N/A</v>
      </c>
      <c r="W817" t="e">
        <f t="shared" si="127"/>
        <v>#N/A</v>
      </c>
      <c r="X817" t="e">
        <f t="shared" si="128"/>
        <v>#N/A</v>
      </c>
      <c r="Y817" t="e">
        <f t="shared" si="129"/>
        <v>#N/A</v>
      </c>
    </row>
    <row r="818" spans="1:25" x14ac:dyDescent="0.2">
      <c r="A818">
        <v>1816</v>
      </c>
      <c r="B818" t="s">
        <v>22</v>
      </c>
      <c r="C818" t="s">
        <v>29</v>
      </c>
      <c r="D818">
        <v>2023</v>
      </c>
      <c r="E818" t="s">
        <v>30</v>
      </c>
      <c r="F818">
        <v>391</v>
      </c>
      <c r="G818">
        <v>5</v>
      </c>
      <c r="H818">
        <v>5</v>
      </c>
      <c r="I818">
        <v>2368000</v>
      </c>
      <c r="J818">
        <v>6056.3</v>
      </c>
      <c r="K818">
        <v>2</v>
      </c>
      <c r="L818" t="s">
        <v>17</v>
      </c>
      <c r="M818">
        <v>65</v>
      </c>
      <c r="N818" t="s">
        <v>18</v>
      </c>
      <c r="P818">
        <f t="shared" si="120"/>
        <v>2368000</v>
      </c>
      <c r="Q818">
        <f t="shared" si="121"/>
        <v>391</v>
      </c>
      <c r="R818" t="e">
        <f t="shared" si="122"/>
        <v>#N/A</v>
      </c>
      <c r="S818" t="e">
        <f t="shared" si="123"/>
        <v>#N/A</v>
      </c>
      <c r="T818" t="e">
        <f t="shared" si="124"/>
        <v>#N/A</v>
      </c>
      <c r="U818" t="e">
        <f t="shared" si="125"/>
        <v>#N/A</v>
      </c>
      <c r="V818" t="e">
        <f t="shared" si="126"/>
        <v>#N/A</v>
      </c>
      <c r="W818" t="e">
        <f t="shared" si="127"/>
        <v>#N/A</v>
      </c>
      <c r="X818" t="e">
        <f t="shared" si="128"/>
        <v>#N/A</v>
      </c>
      <c r="Y818" t="e">
        <f t="shared" si="129"/>
        <v>#N/A</v>
      </c>
    </row>
    <row r="819" spans="1:25" x14ac:dyDescent="0.2">
      <c r="A819">
        <v>1817</v>
      </c>
      <c r="B819" t="s">
        <v>40</v>
      </c>
      <c r="C819" t="s">
        <v>15</v>
      </c>
      <c r="D819">
        <v>2023</v>
      </c>
      <c r="E819" t="s">
        <v>30</v>
      </c>
      <c r="F819">
        <v>120</v>
      </c>
      <c r="G819">
        <v>3</v>
      </c>
      <c r="H819">
        <v>3</v>
      </c>
      <c r="I819">
        <v>408000</v>
      </c>
      <c r="J819">
        <v>3400</v>
      </c>
      <c r="K819">
        <v>2</v>
      </c>
      <c r="L819" t="s">
        <v>20</v>
      </c>
      <c r="M819">
        <v>120</v>
      </c>
      <c r="N819" t="s">
        <v>18</v>
      </c>
      <c r="P819" t="e">
        <f t="shared" si="120"/>
        <v>#N/A</v>
      </c>
      <c r="Q819" t="e">
        <f t="shared" si="121"/>
        <v>#N/A</v>
      </c>
      <c r="R819">
        <f t="shared" si="122"/>
        <v>408000</v>
      </c>
      <c r="S819">
        <f t="shared" si="123"/>
        <v>120</v>
      </c>
      <c r="T819" t="e">
        <f t="shared" si="124"/>
        <v>#N/A</v>
      </c>
      <c r="U819" t="e">
        <f t="shared" si="125"/>
        <v>#N/A</v>
      </c>
      <c r="V819" t="e">
        <f t="shared" si="126"/>
        <v>#N/A</v>
      </c>
      <c r="W819" t="e">
        <f t="shared" si="127"/>
        <v>#N/A</v>
      </c>
      <c r="X819" t="e">
        <f t="shared" si="128"/>
        <v>#N/A</v>
      </c>
      <c r="Y819" t="e">
        <f t="shared" si="129"/>
        <v>#N/A</v>
      </c>
    </row>
    <row r="820" spans="1:25" x14ac:dyDescent="0.2">
      <c r="A820">
        <v>1818</v>
      </c>
      <c r="B820" t="s">
        <v>43</v>
      </c>
      <c r="C820" t="s">
        <v>36</v>
      </c>
      <c r="D820">
        <v>2023</v>
      </c>
      <c r="E820" t="s">
        <v>30</v>
      </c>
      <c r="F820">
        <v>287</v>
      </c>
      <c r="G820">
        <v>5</v>
      </c>
      <c r="H820">
        <v>5</v>
      </c>
      <c r="I820">
        <v>963000</v>
      </c>
      <c r="J820">
        <v>3355.4</v>
      </c>
      <c r="K820">
        <v>7</v>
      </c>
      <c r="L820" t="s">
        <v>17</v>
      </c>
      <c r="M820">
        <v>138</v>
      </c>
      <c r="N820" t="s">
        <v>27</v>
      </c>
      <c r="P820" t="e">
        <f t="shared" si="120"/>
        <v>#N/A</v>
      </c>
      <c r="Q820" t="e">
        <f t="shared" si="121"/>
        <v>#N/A</v>
      </c>
      <c r="R820" t="e">
        <f t="shared" si="122"/>
        <v>#N/A</v>
      </c>
      <c r="S820" t="e">
        <f t="shared" si="123"/>
        <v>#N/A</v>
      </c>
      <c r="T820" t="e">
        <f t="shared" si="124"/>
        <v>#N/A</v>
      </c>
      <c r="U820" t="e">
        <f t="shared" si="125"/>
        <v>#N/A</v>
      </c>
      <c r="V820" t="e">
        <f t="shared" si="126"/>
        <v>#N/A</v>
      </c>
      <c r="W820" t="e">
        <f t="shared" si="127"/>
        <v>#N/A</v>
      </c>
      <c r="X820">
        <f t="shared" si="128"/>
        <v>963000</v>
      </c>
      <c r="Y820">
        <f t="shared" si="129"/>
        <v>287</v>
      </c>
    </row>
    <row r="821" spans="1:25" x14ac:dyDescent="0.2">
      <c r="A821">
        <v>1819</v>
      </c>
      <c r="B821" t="s">
        <v>47</v>
      </c>
      <c r="C821" t="s">
        <v>29</v>
      </c>
      <c r="D821">
        <v>2024</v>
      </c>
      <c r="E821" t="s">
        <v>16</v>
      </c>
      <c r="F821">
        <v>263</v>
      </c>
      <c r="G821">
        <v>4</v>
      </c>
      <c r="H821">
        <v>4</v>
      </c>
      <c r="I821">
        <v>1360000</v>
      </c>
      <c r="J821">
        <v>5171.1000000000004</v>
      </c>
      <c r="K821">
        <v>1</v>
      </c>
      <c r="L821" t="s">
        <v>17</v>
      </c>
      <c r="M821">
        <v>139</v>
      </c>
      <c r="N821" t="s">
        <v>21</v>
      </c>
      <c r="P821">
        <f t="shared" si="120"/>
        <v>1360000</v>
      </c>
      <c r="Q821">
        <f t="shared" si="121"/>
        <v>263</v>
      </c>
      <c r="R821" t="e">
        <f t="shared" si="122"/>
        <v>#N/A</v>
      </c>
      <c r="S821" t="e">
        <f t="shared" si="123"/>
        <v>#N/A</v>
      </c>
      <c r="T821" t="e">
        <f t="shared" si="124"/>
        <v>#N/A</v>
      </c>
      <c r="U821" t="e">
        <f t="shared" si="125"/>
        <v>#N/A</v>
      </c>
      <c r="V821" t="e">
        <f t="shared" si="126"/>
        <v>#N/A</v>
      </c>
      <c r="W821" t="e">
        <f t="shared" si="127"/>
        <v>#N/A</v>
      </c>
      <c r="X821" t="e">
        <f t="shared" si="128"/>
        <v>#N/A</v>
      </c>
      <c r="Y821" t="e">
        <f t="shared" si="129"/>
        <v>#N/A</v>
      </c>
    </row>
    <row r="822" spans="1:25" x14ac:dyDescent="0.2">
      <c r="A822">
        <v>1820</v>
      </c>
      <c r="B822" t="s">
        <v>46</v>
      </c>
      <c r="C822" t="s">
        <v>15</v>
      </c>
      <c r="D822">
        <v>2023</v>
      </c>
      <c r="E822" t="s">
        <v>26</v>
      </c>
      <c r="F822">
        <v>138</v>
      </c>
      <c r="G822">
        <v>2</v>
      </c>
      <c r="H822">
        <v>2</v>
      </c>
      <c r="I822">
        <v>507000</v>
      </c>
      <c r="J822">
        <v>3673.9</v>
      </c>
      <c r="K822">
        <v>2</v>
      </c>
      <c r="L822" t="s">
        <v>20</v>
      </c>
      <c r="M822">
        <v>78</v>
      </c>
      <c r="N822" t="s">
        <v>18</v>
      </c>
      <c r="P822" t="e">
        <f t="shared" si="120"/>
        <v>#N/A</v>
      </c>
      <c r="Q822" t="e">
        <f t="shared" si="121"/>
        <v>#N/A</v>
      </c>
      <c r="R822">
        <f t="shared" si="122"/>
        <v>507000</v>
      </c>
      <c r="S822">
        <f t="shared" si="123"/>
        <v>138</v>
      </c>
      <c r="T822" t="e">
        <f t="shared" si="124"/>
        <v>#N/A</v>
      </c>
      <c r="U822" t="e">
        <f t="shared" si="125"/>
        <v>#N/A</v>
      </c>
      <c r="V822" t="e">
        <f t="shared" si="126"/>
        <v>#N/A</v>
      </c>
      <c r="W822" t="e">
        <f t="shared" si="127"/>
        <v>#N/A</v>
      </c>
      <c r="X822" t="e">
        <f t="shared" si="128"/>
        <v>#N/A</v>
      </c>
      <c r="Y822" t="e">
        <f t="shared" si="129"/>
        <v>#N/A</v>
      </c>
    </row>
    <row r="823" spans="1:25" x14ac:dyDescent="0.2">
      <c r="A823">
        <v>1821</v>
      </c>
      <c r="B823" t="s">
        <v>25</v>
      </c>
      <c r="C823" t="s">
        <v>15</v>
      </c>
      <c r="D823">
        <v>2022</v>
      </c>
      <c r="E823" t="s">
        <v>16</v>
      </c>
      <c r="F823">
        <v>137</v>
      </c>
      <c r="G823">
        <v>3</v>
      </c>
      <c r="H823">
        <v>3</v>
      </c>
      <c r="I823">
        <v>342000</v>
      </c>
      <c r="J823">
        <v>2496.4</v>
      </c>
      <c r="K823">
        <v>1</v>
      </c>
      <c r="L823" t="s">
        <v>34</v>
      </c>
      <c r="M823">
        <v>36</v>
      </c>
      <c r="N823" t="s">
        <v>27</v>
      </c>
      <c r="P823" t="e">
        <f t="shared" si="120"/>
        <v>#N/A</v>
      </c>
      <c r="Q823" t="e">
        <f t="shared" si="121"/>
        <v>#N/A</v>
      </c>
      <c r="R823">
        <f t="shared" si="122"/>
        <v>342000</v>
      </c>
      <c r="S823">
        <f t="shared" si="123"/>
        <v>137</v>
      </c>
      <c r="T823" t="e">
        <f t="shared" si="124"/>
        <v>#N/A</v>
      </c>
      <c r="U823" t="e">
        <f t="shared" si="125"/>
        <v>#N/A</v>
      </c>
      <c r="V823" t="e">
        <f t="shared" si="126"/>
        <v>#N/A</v>
      </c>
      <c r="W823" t="e">
        <f t="shared" si="127"/>
        <v>#N/A</v>
      </c>
      <c r="X823" t="e">
        <f t="shared" si="128"/>
        <v>#N/A</v>
      </c>
      <c r="Y823" t="e">
        <f t="shared" si="129"/>
        <v>#N/A</v>
      </c>
    </row>
    <row r="824" spans="1:25" x14ac:dyDescent="0.2">
      <c r="A824">
        <v>1822</v>
      </c>
      <c r="B824" t="s">
        <v>14</v>
      </c>
      <c r="C824" t="s">
        <v>23</v>
      </c>
      <c r="D824">
        <v>2022</v>
      </c>
      <c r="E824" t="s">
        <v>16</v>
      </c>
      <c r="F824">
        <v>323</v>
      </c>
      <c r="G824">
        <v>4</v>
      </c>
      <c r="H824">
        <v>4</v>
      </c>
      <c r="I824">
        <v>1440000</v>
      </c>
      <c r="J824">
        <v>4458.2</v>
      </c>
      <c r="K824">
        <v>3</v>
      </c>
      <c r="L824" t="s">
        <v>20</v>
      </c>
      <c r="M824">
        <v>35</v>
      </c>
      <c r="N824" t="s">
        <v>18</v>
      </c>
      <c r="P824" t="e">
        <f t="shared" si="120"/>
        <v>#N/A</v>
      </c>
      <c r="Q824" t="e">
        <f t="shared" si="121"/>
        <v>#N/A</v>
      </c>
      <c r="R824" t="e">
        <f t="shared" si="122"/>
        <v>#N/A</v>
      </c>
      <c r="S824" t="e">
        <f t="shared" si="123"/>
        <v>#N/A</v>
      </c>
      <c r="T824">
        <f t="shared" si="124"/>
        <v>1440000</v>
      </c>
      <c r="U824">
        <f t="shared" si="125"/>
        <v>323</v>
      </c>
      <c r="V824" t="e">
        <f t="shared" si="126"/>
        <v>#N/A</v>
      </c>
      <c r="W824" t="e">
        <f t="shared" si="127"/>
        <v>#N/A</v>
      </c>
      <c r="X824" t="e">
        <f t="shared" si="128"/>
        <v>#N/A</v>
      </c>
      <c r="Y824" t="e">
        <f t="shared" si="129"/>
        <v>#N/A</v>
      </c>
    </row>
    <row r="825" spans="1:25" x14ac:dyDescent="0.2">
      <c r="A825">
        <v>1823</v>
      </c>
      <c r="B825" t="s">
        <v>45</v>
      </c>
      <c r="C825" t="s">
        <v>29</v>
      </c>
      <c r="D825">
        <v>2022</v>
      </c>
      <c r="E825" t="s">
        <v>30</v>
      </c>
      <c r="F825">
        <v>373</v>
      </c>
      <c r="G825">
        <v>6</v>
      </c>
      <c r="H825">
        <v>6</v>
      </c>
      <c r="I825">
        <v>2285000</v>
      </c>
      <c r="J825">
        <v>6126</v>
      </c>
      <c r="K825">
        <v>2</v>
      </c>
      <c r="L825" t="s">
        <v>17</v>
      </c>
      <c r="M825">
        <v>42</v>
      </c>
      <c r="N825" t="s">
        <v>21</v>
      </c>
      <c r="P825">
        <f t="shared" si="120"/>
        <v>2285000</v>
      </c>
      <c r="Q825">
        <f t="shared" si="121"/>
        <v>373</v>
      </c>
      <c r="R825" t="e">
        <f t="shared" si="122"/>
        <v>#N/A</v>
      </c>
      <c r="S825" t="e">
        <f t="shared" si="123"/>
        <v>#N/A</v>
      </c>
      <c r="T825" t="e">
        <f t="shared" si="124"/>
        <v>#N/A</v>
      </c>
      <c r="U825" t="e">
        <f t="shared" si="125"/>
        <v>#N/A</v>
      </c>
      <c r="V825" t="e">
        <f t="shared" si="126"/>
        <v>#N/A</v>
      </c>
      <c r="W825" t="e">
        <f t="shared" si="127"/>
        <v>#N/A</v>
      </c>
      <c r="X825" t="e">
        <f t="shared" si="128"/>
        <v>#N/A</v>
      </c>
      <c r="Y825" t="e">
        <f t="shared" si="129"/>
        <v>#N/A</v>
      </c>
    </row>
    <row r="826" spans="1:25" x14ac:dyDescent="0.2">
      <c r="A826">
        <v>1824</v>
      </c>
      <c r="B826" t="s">
        <v>32</v>
      </c>
      <c r="C826" t="s">
        <v>29</v>
      </c>
      <c r="D826">
        <v>2021</v>
      </c>
      <c r="E826" t="s">
        <v>26</v>
      </c>
      <c r="F826">
        <v>407</v>
      </c>
      <c r="G826">
        <v>4</v>
      </c>
      <c r="H826">
        <v>4</v>
      </c>
      <c r="I826">
        <v>1623000</v>
      </c>
      <c r="J826">
        <v>3987.7</v>
      </c>
      <c r="K826">
        <v>2</v>
      </c>
      <c r="L826" t="s">
        <v>34</v>
      </c>
      <c r="M826">
        <v>129</v>
      </c>
      <c r="N826" t="s">
        <v>18</v>
      </c>
      <c r="P826">
        <f t="shared" si="120"/>
        <v>1623000</v>
      </c>
      <c r="Q826">
        <f t="shared" si="121"/>
        <v>407</v>
      </c>
      <c r="R826" t="e">
        <f t="shared" si="122"/>
        <v>#N/A</v>
      </c>
      <c r="S826" t="e">
        <f t="shared" si="123"/>
        <v>#N/A</v>
      </c>
      <c r="T826" t="e">
        <f t="shared" si="124"/>
        <v>#N/A</v>
      </c>
      <c r="U826" t="e">
        <f t="shared" si="125"/>
        <v>#N/A</v>
      </c>
      <c r="V826" t="e">
        <f t="shared" si="126"/>
        <v>#N/A</v>
      </c>
      <c r="W826" t="e">
        <f t="shared" si="127"/>
        <v>#N/A</v>
      </c>
      <c r="X826" t="e">
        <f t="shared" si="128"/>
        <v>#N/A</v>
      </c>
      <c r="Y826" t="e">
        <f t="shared" si="129"/>
        <v>#N/A</v>
      </c>
    </row>
    <row r="827" spans="1:25" x14ac:dyDescent="0.2">
      <c r="A827">
        <v>1825</v>
      </c>
      <c r="B827" t="s">
        <v>46</v>
      </c>
      <c r="C827" t="s">
        <v>15</v>
      </c>
      <c r="D827">
        <v>2021</v>
      </c>
      <c r="E827" t="s">
        <v>16</v>
      </c>
      <c r="F827">
        <v>153</v>
      </c>
      <c r="G827">
        <v>2</v>
      </c>
      <c r="H827">
        <v>2</v>
      </c>
      <c r="I827">
        <v>449000</v>
      </c>
      <c r="J827">
        <v>2934.6</v>
      </c>
      <c r="K827">
        <v>10</v>
      </c>
      <c r="L827" t="s">
        <v>20</v>
      </c>
      <c r="M827">
        <v>85</v>
      </c>
      <c r="N827" t="s">
        <v>18</v>
      </c>
      <c r="P827" t="e">
        <f t="shared" si="120"/>
        <v>#N/A</v>
      </c>
      <c r="Q827" t="e">
        <f t="shared" si="121"/>
        <v>#N/A</v>
      </c>
      <c r="R827">
        <f t="shared" si="122"/>
        <v>449000</v>
      </c>
      <c r="S827">
        <f t="shared" si="123"/>
        <v>153</v>
      </c>
      <c r="T827" t="e">
        <f t="shared" si="124"/>
        <v>#N/A</v>
      </c>
      <c r="U827" t="e">
        <f t="shared" si="125"/>
        <v>#N/A</v>
      </c>
      <c r="V827" t="e">
        <f t="shared" si="126"/>
        <v>#N/A</v>
      </c>
      <c r="W827" t="e">
        <f t="shared" si="127"/>
        <v>#N/A</v>
      </c>
      <c r="X827" t="e">
        <f t="shared" si="128"/>
        <v>#N/A</v>
      </c>
      <c r="Y827" t="e">
        <f t="shared" si="129"/>
        <v>#N/A</v>
      </c>
    </row>
    <row r="828" spans="1:25" x14ac:dyDescent="0.2">
      <c r="A828">
        <v>1826</v>
      </c>
      <c r="B828" t="s">
        <v>25</v>
      </c>
      <c r="C828" t="s">
        <v>15</v>
      </c>
      <c r="D828">
        <v>2022</v>
      </c>
      <c r="E828" t="s">
        <v>24</v>
      </c>
      <c r="F828">
        <v>160</v>
      </c>
      <c r="G828">
        <v>4</v>
      </c>
      <c r="H828">
        <v>4</v>
      </c>
      <c r="I828">
        <v>408000</v>
      </c>
      <c r="J828">
        <v>2550</v>
      </c>
      <c r="K828">
        <v>0</v>
      </c>
      <c r="L828" t="s">
        <v>17</v>
      </c>
      <c r="M828">
        <v>123</v>
      </c>
      <c r="N828" t="s">
        <v>27</v>
      </c>
      <c r="P828" t="e">
        <f t="shared" si="120"/>
        <v>#N/A</v>
      </c>
      <c r="Q828" t="e">
        <f t="shared" si="121"/>
        <v>#N/A</v>
      </c>
      <c r="R828">
        <f t="shared" si="122"/>
        <v>408000</v>
      </c>
      <c r="S828">
        <f t="shared" si="123"/>
        <v>160</v>
      </c>
      <c r="T828" t="e">
        <f t="shared" si="124"/>
        <v>#N/A</v>
      </c>
      <c r="U828" t="e">
        <f t="shared" si="125"/>
        <v>#N/A</v>
      </c>
      <c r="V828" t="e">
        <f t="shared" si="126"/>
        <v>#N/A</v>
      </c>
      <c r="W828" t="e">
        <f t="shared" si="127"/>
        <v>#N/A</v>
      </c>
      <c r="X828" t="e">
        <f t="shared" si="128"/>
        <v>#N/A</v>
      </c>
      <c r="Y828" t="e">
        <f t="shared" si="129"/>
        <v>#N/A</v>
      </c>
    </row>
    <row r="829" spans="1:25" x14ac:dyDescent="0.2">
      <c r="A829">
        <v>1827</v>
      </c>
      <c r="B829" t="s">
        <v>45</v>
      </c>
      <c r="C829" t="s">
        <v>15</v>
      </c>
      <c r="D829">
        <v>2023</v>
      </c>
      <c r="E829" t="s">
        <v>24</v>
      </c>
      <c r="F829">
        <v>167</v>
      </c>
      <c r="G829">
        <v>3</v>
      </c>
      <c r="H829">
        <v>3</v>
      </c>
      <c r="I829">
        <v>708000</v>
      </c>
      <c r="J829">
        <v>4239.5</v>
      </c>
      <c r="K829">
        <v>3</v>
      </c>
      <c r="L829" t="s">
        <v>34</v>
      </c>
      <c r="M829">
        <v>24</v>
      </c>
      <c r="N829" t="s">
        <v>21</v>
      </c>
      <c r="P829" t="e">
        <f t="shared" si="120"/>
        <v>#N/A</v>
      </c>
      <c r="Q829" t="e">
        <f t="shared" si="121"/>
        <v>#N/A</v>
      </c>
      <c r="R829">
        <f t="shared" si="122"/>
        <v>708000</v>
      </c>
      <c r="S829">
        <f t="shared" si="123"/>
        <v>167</v>
      </c>
      <c r="T829" t="e">
        <f t="shared" si="124"/>
        <v>#N/A</v>
      </c>
      <c r="U829" t="e">
        <f t="shared" si="125"/>
        <v>#N/A</v>
      </c>
      <c r="V829" t="e">
        <f t="shared" si="126"/>
        <v>#N/A</v>
      </c>
      <c r="W829" t="e">
        <f t="shared" si="127"/>
        <v>#N/A</v>
      </c>
      <c r="X829" t="e">
        <f t="shared" si="128"/>
        <v>#N/A</v>
      </c>
      <c r="Y829" t="e">
        <f t="shared" si="129"/>
        <v>#N/A</v>
      </c>
    </row>
    <row r="830" spans="1:25" x14ac:dyDescent="0.2">
      <c r="A830">
        <v>1828</v>
      </c>
      <c r="B830" t="s">
        <v>25</v>
      </c>
      <c r="C830" t="s">
        <v>15</v>
      </c>
      <c r="D830">
        <v>2022</v>
      </c>
      <c r="E830" t="s">
        <v>16</v>
      </c>
      <c r="F830">
        <v>150</v>
      </c>
      <c r="G830">
        <v>4</v>
      </c>
      <c r="H830">
        <v>4</v>
      </c>
      <c r="I830">
        <v>394000</v>
      </c>
      <c r="J830">
        <v>2626.7</v>
      </c>
      <c r="K830">
        <v>5</v>
      </c>
      <c r="L830" t="s">
        <v>17</v>
      </c>
      <c r="M830">
        <v>86</v>
      </c>
      <c r="N830" t="s">
        <v>27</v>
      </c>
      <c r="P830" t="e">
        <f t="shared" si="120"/>
        <v>#N/A</v>
      </c>
      <c r="Q830" t="e">
        <f t="shared" si="121"/>
        <v>#N/A</v>
      </c>
      <c r="R830">
        <f t="shared" si="122"/>
        <v>394000</v>
      </c>
      <c r="S830">
        <f t="shared" si="123"/>
        <v>150</v>
      </c>
      <c r="T830" t="e">
        <f t="shared" si="124"/>
        <v>#N/A</v>
      </c>
      <c r="U830" t="e">
        <f t="shared" si="125"/>
        <v>#N/A</v>
      </c>
      <c r="V830" t="e">
        <f t="shared" si="126"/>
        <v>#N/A</v>
      </c>
      <c r="W830" t="e">
        <f t="shared" si="127"/>
        <v>#N/A</v>
      </c>
      <c r="X830" t="e">
        <f t="shared" si="128"/>
        <v>#N/A</v>
      </c>
      <c r="Y830" t="e">
        <f t="shared" si="129"/>
        <v>#N/A</v>
      </c>
    </row>
    <row r="831" spans="1:25" x14ac:dyDescent="0.2">
      <c r="A831">
        <v>1829</v>
      </c>
      <c r="B831" t="s">
        <v>40</v>
      </c>
      <c r="C831" t="s">
        <v>29</v>
      </c>
      <c r="D831">
        <v>2022</v>
      </c>
      <c r="E831" t="s">
        <v>30</v>
      </c>
      <c r="F831">
        <v>316</v>
      </c>
      <c r="G831">
        <v>6</v>
      </c>
      <c r="H831">
        <v>6</v>
      </c>
      <c r="I831">
        <v>1689000</v>
      </c>
      <c r="J831">
        <v>5344.9</v>
      </c>
      <c r="K831">
        <v>7</v>
      </c>
      <c r="L831" t="s">
        <v>34</v>
      </c>
      <c r="M831">
        <v>137</v>
      </c>
      <c r="N831" t="s">
        <v>18</v>
      </c>
      <c r="P831">
        <f t="shared" si="120"/>
        <v>1689000</v>
      </c>
      <c r="Q831">
        <f t="shared" si="121"/>
        <v>316</v>
      </c>
      <c r="R831" t="e">
        <f t="shared" si="122"/>
        <v>#N/A</v>
      </c>
      <c r="S831" t="e">
        <f t="shared" si="123"/>
        <v>#N/A</v>
      </c>
      <c r="T831" t="e">
        <f t="shared" si="124"/>
        <v>#N/A</v>
      </c>
      <c r="U831" t="e">
        <f t="shared" si="125"/>
        <v>#N/A</v>
      </c>
      <c r="V831" t="e">
        <f t="shared" si="126"/>
        <v>#N/A</v>
      </c>
      <c r="W831" t="e">
        <f t="shared" si="127"/>
        <v>#N/A</v>
      </c>
      <c r="X831" t="e">
        <f t="shared" si="128"/>
        <v>#N/A</v>
      </c>
      <c r="Y831" t="e">
        <f t="shared" si="129"/>
        <v>#N/A</v>
      </c>
    </row>
    <row r="832" spans="1:25" x14ac:dyDescent="0.2">
      <c r="A832">
        <v>1830</v>
      </c>
      <c r="B832" t="s">
        <v>31</v>
      </c>
      <c r="C832" t="s">
        <v>36</v>
      </c>
      <c r="D832">
        <v>2023</v>
      </c>
      <c r="E832" t="s">
        <v>26</v>
      </c>
      <c r="F832">
        <v>374</v>
      </c>
      <c r="G832">
        <v>4</v>
      </c>
      <c r="H832">
        <v>4</v>
      </c>
      <c r="I832">
        <v>871000</v>
      </c>
      <c r="J832">
        <v>2328.9</v>
      </c>
      <c r="K832">
        <v>3</v>
      </c>
      <c r="L832" t="s">
        <v>34</v>
      </c>
      <c r="M832">
        <v>91</v>
      </c>
      <c r="N832" t="s">
        <v>21</v>
      </c>
      <c r="P832" t="e">
        <f t="shared" si="120"/>
        <v>#N/A</v>
      </c>
      <c r="Q832" t="e">
        <f t="shared" si="121"/>
        <v>#N/A</v>
      </c>
      <c r="R832" t="e">
        <f t="shared" si="122"/>
        <v>#N/A</v>
      </c>
      <c r="S832" t="e">
        <f t="shared" si="123"/>
        <v>#N/A</v>
      </c>
      <c r="T832" t="e">
        <f t="shared" si="124"/>
        <v>#N/A</v>
      </c>
      <c r="U832" t="e">
        <f t="shared" si="125"/>
        <v>#N/A</v>
      </c>
      <c r="V832" t="e">
        <f t="shared" si="126"/>
        <v>#N/A</v>
      </c>
      <c r="W832" t="e">
        <f t="shared" si="127"/>
        <v>#N/A</v>
      </c>
      <c r="X832">
        <f t="shared" si="128"/>
        <v>871000</v>
      </c>
      <c r="Y832">
        <f t="shared" si="129"/>
        <v>374</v>
      </c>
    </row>
    <row r="833" spans="1:25" x14ac:dyDescent="0.2">
      <c r="A833">
        <v>1831</v>
      </c>
      <c r="B833" t="s">
        <v>41</v>
      </c>
      <c r="C833" t="s">
        <v>15</v>
      </c>
      <c r="D833">
        <v>2023</v>
      </c>
      <c r="E833" t="s">
        <v>16</v>
      </c>
      <c r="F833">
        <v>125</v>
      </c>
      <c r="G833">
        <v>3</v>
      </c>
      <c r="H833">
        <v>3</v>
      </c>
      <c r="I833">
        <v>586000</v>
      </c>
      <c r="J833">
        <v>4688</v>
      </c>
      <c r="K833">
        <v>1</v>
      </c>
      <c r="L833" t="s">
        <v>34</v>
      </c>
      <c r="M833">
        <v>90</v>
      </c>
      <c r="N833" t="s">
        <v>21</v>
      </c>
      <c r="P833" t="e">
        <f t="shared" si="120"/>
        <v>#N/A</v>
      </c>
      <c r="Q833" t="e">
        <f t="shared" si="121"/>
        <v>#N/A</v>
      </c>
      <c r="R833">
        <f t="shared" si="122"/>
        <v>586000</v>
      </c>
      <c r="S833">
        <f t="shared" si="123"/>
        <v>125</v>
      </c>
      <c r="T833" t="e">
        <f t="shared" si="124"/>
        <v>#N/A</v>
      </c>
      <c r="U833" t="e">
        <f t="shared" si="125"/>
        <v>#N/A</v>
      </c>
      <c r="V833" t="e">
        <f t="shared" si="126"/>
        <v>#N/A</v>
      </c>
      <c r="W833" t="e">
        <f t="shared" si="127"/>
        <v>#N/A</v>
      </c>
      <c r="X833" t="e">
        <f t="shared" si="128"/>
        <v>#N/A</v>
      </c>
      <c r="Y833" t="e">
        <f t="shared" si="129"/>
        <v>#N/A</v>
      </c>
    </row>
    <row r="834" spans="1:25" x14ac:dyDescent="0.2">
      <c r="A834">
        <v>1832</v>
      </c>
      <c r="B834" t="s">
        <v>31</v>
      </c>
      <c r="C834" t="s">
        <v>38</v>
      </c>
      <c r="D834">
        <v>2021</v>
      </c>
      <c r="E834" t="s">
        <v>16</v>
      </c>
      <c r="F834">
        <v>67</v>
      </c>
      <c r="G834">
        <v>0</v>
      </c>
      <c r="H834">
        <v>1</v>
      </c>
      <c r="I834">
        <v>226000</v>
      </c>
      <c r="J834">
        <v>3373.1</v>
      </c>
      <c r="K834">
        <v>5</v>
      </c>
      <c r="L834" t="s">
        <v>20</v>
      </c>
      <c r="M834">
        <v>1</v>
      </c>
      <c r="N834" t="s">
        <v>21</v>
      </c>
      <c r="P834" t="e">
        <f t="shared" si="120"/>
        <v>#N/A</v>
      </c>
      <c r="Q834" t="e">
        <f t="shared" si="121"/>
        <v>#N/A</v>
      </c>
      <c r="R834" t="e">
        <f t="shared" si="122"/>
        <v>#N/A</v>
      </c>
      <c r="S834" t="e">
        <f t="shared" si="123"/>
        <v>#N/A</v>
      </c>
      <c r="T834" t="e">
        <f t="shared" si="124"/>
        <v>#N/A</v>
      </c>
      <c r="U834" t="e">
        <f t="shared" si="125"/>
        <v>#N/A</v>
      </c>
      <c r="V834">
        <f t="shared" si="126"/>
        <v>226000</v>
      </c>
      <c r="W834">
        <f t="shared" si="127"/>
        <v>67</v>
      </c>
      <c r="X834" t="e">
        <f t="shared" si="128"/>
        <v>#N/A</v>
      </c>
      <c r="Y834" t="e">
        <f t="shared" si="129"/>
        <v>#N/A</v>
      </c>
    </row>
    <row r="835" spans="1:25" x14ac:dyDescent="0.2">
      <c r="A835">
        <v>1833</v>
      </c>
      <c r="B835" t="s">
        <v>33</v>
      </c>
      <c r="C835" t="s">
        <v>15</v>
      </c>
      <c r="D835">
        <v>2021</v>
      </c>
      <c r="E835" t="s">
        <v>26</v>
      </c>
      <c r="F835">
        <v>146</v>
      </c>
      <c r="G835">
        <v>3</v>
      </c>
      <c r="H835">
        <v>3</v>
      </c>
      <c r="I835">
        <v>341000</v>
      </c>
      <c r="J835">
        <v>2335.6</v>
      </c>
      <c r="K835">
        <v>7</v>
      </c>
      <c r="L835" t="s">
        <v>17</v>
      </c>
      <c r="M835">
        <v>31</v>
      </c>
      <c r="N835" t="s">
        <v>27</v>
      </c>
      <c r="P835" t="e">
        <f t="shared" ref="P835:P898" si="130">IF(C835="Villa", I835, NA())</f>
        <v>#N/A</v>
      </c>
      <c r="Q835" t="e">
        <f t="shared" ref="Q835:Q898" si="131">IF(C835="Villa", F835, NA())</f>
        <v>#N/A</v>
      </c>
      <c r="R835">
        <f t="shared" ref="R835:R898" si="132">IF(C835="Apartment",I835,NA())</f>
        <v>341000</v>
      </c>
      <c r="S835">
        <f t="shared" ref="S835:S898" si="133">IF(C835="Apartment",F835,NA())</f>
        <v>146</v>
      </c>
      <c r="T835" t="e">
        <f t="shared" ref="T835:T898" si="134">IF(C835="Duplex",I835,NA())</f>
        <v>#N/A</v>
      </c>
      <c r="U835" t="e">
        <f t="shared" ref="U835:U898" si="135">IF(C835="Duplex",F835,NA())</f>
        <v>#N/A</v>
      </c>
      <c r="V835" t="e">
        <f t="shared" ref="V835:V898" si="136">IF(C835="Studio",I835,NA())</f>
        <v>#N/A</v>
      </c>
      <c r="W835" t="e">
        <f t="shared" ref="W835:W898" si="137">IF(C835="Studio",F835,NA())</f>
        <v>#N/A</v>
      </c>
      <c r="X835" t="e">
        <f t="shared" ref="X835:X898" si="138">IF(C835="Floor",I835,NA())</f>
        <v>#N/A</v>
      </c>
      <c r="Y835" t="e">
        <f t="shared" ref="Y835:Y898" si="139">IF(C835="Floor",F835,NA())</f>
        <v>#N/A</v>
      </c>
    </row>
    <row r="836" spans="1:25" x14ac:dyDescent="0.2">
      <c r="A836">
        <v>1834</v>
      </c>
      <c r="B836" t="s">
        <v>19</v>
      </c>
      <c r="C836" t="s">
        <v>29</v>
      </c>
      <c r="D836">
        <v>2023</v>
      </c>
      <c r="E836" t="s">
        <v>30</v>
      </c>
      <c r="F836">
        <v>439</v>
      </c>
      <c r="G836">
        <v>5</v>
      </c>
      <c r="H836">
        <v>5</v>
      </c>
      <c r="I836">
        <v>2145000</v>
      </c>
      <c r="J836">
        <v>4886.1000000000004</v>
      </c>
      <c r="K836">
        <v>15</v>
      </c>
      <c r="L836" t="s">
        <v>20</v>
      </c>
      <c r="M836">
        <v>177</v>
      </c>
      <c r="N836" t="s">
        <v>21</v>
      </c>
      <c r="P836">
        <f t="shared" si="130"/>
        <v>2145000</v>
      </c>
      <c r="Q836">
        <f t="shared" si="131"/>
        <v>439</v>
      </c>
      <c r="R836" t="e">
        <f t="shared" si="132"/>
        <v>#N/A</v>
      </c>
      <c r="S836" t="e">
        <f t="shared" si="133"/>
        <v>#N/A</v>
      </c>
      <c r="T836" t="e">
        <f t="shared" si="134"/>
        <v>#N/A</v>
      </c>
      <c r="U836" t="e">
        <f t="shared" si="135"/>
        <v>#N/A</v>
      </c>
      <c r="V836" t="e">
        <f t="shared" si="136"/>
        <v>#N/A</v>
      </c>
      <c r="W836" t="e">
        <f t="shared" si="137"/>
        <v>#N/A</v>
      </c>
      <c r="X836" t="e">
        <f t="shared" si="138"/>
        <v>#N/A</v>
      </c>
      <c r="Y836" t="e">
        <f t="shared" si="139"/>
        <v>#N/A</v>
      </c>
    </row>
    <row r="837" spans="1:25" x14ac:dyDescent="0.2">
      <c r="A837">
        <v>1835</v>
      </c>
      <c r="B837" t="s">
        <v>40</v>
      </c>
      <c r="C837" t="s">
        <v>29</v>
      </c>
      <c r="D837">
        <v>2021</v>
      </c>
      <c r="E837" t="s">
        <v>24</v>
      </c>
      <c r="F837">
        <v>628</v>
      </c>
      <c r="G837">
        <v>4</v>
      </c>
      <c r="H837">
        <v>4</v>
      </c>
      <c r="I837">
        <v>2935000</v>
      </c>
      <c r="J837">
        <v>4673.6000000000004</v>
      </c>
      <c r="K837">
        <v>15</v>
      </c>
      <c r="L837" t="s">
        <v>20</v>
      </c>
      <c r="M837">
        <v>25</v>
      </c>
      <c r="N837" t="s">
        <v>18</v>
      </c>
      <c r="P837">
        <f t="shared" si="130"/>
        <v>2935000</v>
      </c>
      <c r="Q837">
        <f t="shared" si="131"/>
        <v>628</v>
      </c>
      <c r="R837" t="e">
        <f t="shared" si="132"/>
        <v>#N/A</v>
      </c>
      <c r="S837" t="e">
        <f t="shared" si="133"/>
        <v>#N/A</v>
      </c>
      <c r="T837" t="e">
        <f t="shared" si="134"/>
        <v>#N/A</v>
      </c>
      <c r="U837" t="e">
        <f t="shared" si="135"/>
        <v>#N/A</v>
      </c>
      <c r="V837" t="e">
        <f t="shared" si="136"/>
        <v>#N/A</v>
      </c>
      <c r="W837" t="e">
        <f t="shared" si="137"/>
        <v>#N/A</v>
      </c>
      <c r="X837" t="e">
        <f t="shared" si="138"/>
        <v>#N/A</v>
      </c>
      <c r="Y837" t="e">
        <f t="shared" si="139"/>
        <v>#N/A</v>
      </c>
    </row>
    <row r="838" spans="1:25" x14ac:dyDescent="0.2">
      <c r="A838">
        <v>1836</v>
      </c>
      <c r="B838" t="s">
        <v>25</v>
      </c>
      <c r="C838" t="s">
        <v>15</v>
      </c>
      <c r="D838">
        <v>2021</v>
      </c>
      <c r="E838" t="s">
        <v>30</v>
      </c>
      <c r="F838">
        <v>168</v>
      </c>
      <c r="G838">
        <v>3</v>
      </c>
      <c r="H838">
        <v>3</v>
      </c>
      <c r="I838">
        <v>388000</v>
      </c>
      <c r="J838">
        <v>2309.5</v>
      </c>
      <c r="K838">
        <v>1</v>
      </c>
      <c r="L838" t="s">
        <v>20</v>
      </c>
      <c r="M838">
        <v>119</v>
      </c>
      <c r="N838" t="s">
        <v>27</v>
      </c>
      <c r="P838" t="e">
        <f t="shared" si="130"/>
        <v>#N/A</v>
      </c>
      <c r="Q838" t="e">
        <f t="shared" si="131"/>
        <v>#N/A</v>
      </c>
      <c r="R838">
        <f t="shared" si="132"/>
        <v>388000</v>
      </c>
      <c r="S838">
        <f t="shared" si="133"/>
        <v>168</v>
      </c>
      <c r="T838" t="e">
        <f t="shared" si="134"/>
        <v>#N/A</v>
      </c>
      <c r="U838" t="e">
        <f t="shared" si="135"/>
        <v>#N/A</v>
      </c>
      <c r="V838" t="e">
        <f t="shared" si="136"/>
        <v>#N/A</v>
      </c>
      <c r="W838" t="e">
        <f t="shared" si="137"/>
        <v>#N/A</v>
      </c>
      <c r="X838" t="e">
        <f t="shared" si="138"/>
        <v>#N/A</v>
      </c>
      <c r="Y838" t="e">
        <f t="shared" si="139"/>
        <v>#N/A</v>
      </c>
    </row>
    <row r="839" spans="1:25" x14ac:dyDescent="0.2">
      <c r="A839">
        <v>1837</v>
      </c>
      <c r="B839" t="s">
        <v>33</v>
      </c>
      <c r="C839" t="s">
        <v>15</v>
      </c>
      <c r="D839">
        <v>2024</v>
      </c>
      <c r="E839" t="s">
        <v>24</v>
      </c>
      <c r="F839">
        <v>156</v>
      </c>
      <c r="G839">
        <v>3</v>
      </c>
      <c r="H839">
        <v>3</v>
      </c>
      <c r="I839">
        <v>467000</v>
      </c>
      <c r="J839">
        <v>2993.6</v>
      </c>
      <c r="K839">
        <v>1</v>
      </c>
      <c r="L839" t="s">
        <v>17</v>
      </c>
      <c r="M839">
        <v>146</v>
      </c>
      <c r="N839" t="s">
        <v>27</v>
      </c>
      <c r="P839" t="e">
        <f t="shared" si="130"/>
        <v>#N/A</v>
      </c>
      <c r="Q839" t="e">
        <f t="shared" si="131"/>
        <v>#N/A</v>
      </c>
      <c r="R839">
        <f t="shared" si="132"/>
        <v>467000</v>
      </c>
      <c r="S839">
        <f t="shared" si="133"/>
        <v>156</v>
      </c>
      <c r="T839" t="e">
        <f t="shared" si="134"/>
        <v>#N/A</v>
      </c>
      <c r="U839" t="e">
        <f t="shared" si="135"/>
        <v>#N/A</v>
      </c>
      <c r="V839" t="e">
        <f t="shared" si="136"/>
        <v>#N/A</v>
      </c>
      <c r="W839" t="e">
        <f t="shared" si="137"/>
        <v>#N/A</v>
      </c>
      <c r="X839" t="e">
        <f t="shared" si="138"/>
        <v>#N/A</v>
      </c>
      <c r="Y839" t="e">
        <f t="shared" si="139"/>
        <v>#N/A</v>
      </c>
    </row>
    <row r="840" spans="1:25" x14ac:dyDescent="0.2">
      <c r="A840">
        <v>1838</v>
      </c>
      <c r="B840" t="s">
        <v>47</v>
      </c>
      <c r="C840" t="s">
        <v>15</v>
      </c>
      <c r="D840">
        <v>2022</v>
      </c>
      <c r="E840" t="s">
        <v>26</v>
      </c>
      <c r="F840">
        <v>141</v>
      </c>
      <c r="G840">
        <v>3</v>
      </c>
      <c r="H840">
        <v>3</v>
      </c>
      <c r="I840">
        <v>378000</v>
      </c>
      <c r="J840">
        <v>2680.9</v>
      </c>
      <c r="K840">
        <v>4</v>
      </c>
      <c r="L840" t="s">
        <v>17</v>
      </c>
      <c r="M840">
        <v>147</v>
      </c>
      <c r="N840" t="s">
        <v>21</v>
      </c>
      <c r="P840" t="e">
        <f t="shared" si="130"/>
        <v>#N/A</v>
      </c>
      <c r="Q840" t="e">
        <f t="shared" si="131"/>
        <v>#N/A</v>
      </c>
      <c r="R840">
        <f t="shared" si="132"/>
        <v>378000</v>
      </c>
      <c r="S840">
        <f t="shared" si="133"/>
        <v>141</v>
      </c>
      <c r="T840" t="e">
        <f t="shared" si="134"/>
        <v>#N/A</v>
      </c>
      <c r="U840" t="e">
        <f t="shared" si="135"/>
        <v>#N/A</v>
      </c>
      <c r="V840" t="e">
        <f t="shared" si="136"/>
        <v>#N/A</v>
      </c>
      <c r="W840" t="e">
        <f t="shared" si="137"/>
        <v>#N/A</v>
      </c>
      <c r="X840" t="e">
        <f t="shared" si="138"/>
        <v>#N/A</v>
      </c>
      <c r="Y840" t="e">
        <f t="shared" si="139"/>
        <v>#N/A</v>
      </c>
    </row>
    <row r="841" spans="1:25" x14ac:dyDescent="0.2">
      <c r="A841">
        <v>1839</v>
      </c>
      <c r="B841" t="s">
        <v>22</v>
      </c>
      <c r="C841" t="s">
        <v>15</v>
      </c>
      <c r="D841">
        <v>2024</v>
      </c>
      <c r="E841" t="s">
        <v>16</v>
      </c>
      <c r="F841">
        <v>108</v>
      </c>
      <c r="G841">
        <v>3</v>
      </c>
      <c r="H841">
        <v>3</v>
      </c>
      <c r="I841">
        <v>409000</v>
      </c>
      <c r="J841">
        <v>3787</v>
      </c>
      <c r="K841">
        <v>15</v>
      </c>
      <c r="L841" t="s">
        <v>34</v>
      </c>
      <c r="M841">
        <v>124</v>
      </c>
      <c r="N841" t="s">
        <v>18</v>
      </c>
      <c r="P841" t="e">
        <f t="shared" si="130"/>
        <v>#N/A</v>
      </c>
      <c r="Q841" t="e">
        <f t="shared" si="131"/>
        <v>#N/A</v>
      </c>
      <c r="R841">
        <f t="shared" si="132"/>
        <v>409000</v>
      </c>
      <c r="S841">
        <f t="shared" si="133"/>
        <v>108</v>
      </c>
      <c r="T841" t="e">
        <f t="shared" si="134"/>
        <v>#N/A</v>
      </c>
      <c r="U841" t="e">
        <f t="shared" si="135"/>
        <v>#N/A</v>
      </c>
      <c r="V841" t="e">
        <f t="shared" si="136"/>
        <v>#N/A</v>
      </c>
      <c r="W841" t="e">
        <f t="shared" si="137"/>
        <v>#N/A</v>
      </c>
      <c r="X841" t="e">
        <f t="shared" si="138"/>
        <v>#N/A</v>
      </c>
      <c r="Y841" t="e">
        <f t="shared" si="139"/>
        <v>#N/A</v>
      </c>
    </row>
    <row r="842" spans="1:25" x14ac:dyDescent="0.2">
      <c r="A842">
        <v>1840</v>
      </c>
      <c r="B842" t="s">
        <v>40</v>
      </c>
      <c r="C842" t="s">
        <v>15</v>
      </c>
      <c r="D842">
        <v>2021</v>
      </c>
      <c r="E842" t="s">
        <v>26</v>
      </c>
      <c r="F842">
        <v>139</v>
      </c>
      <c r="G842">
        <v>3</v>
      </c>
      <c r="H842">
        <v>3</v>
      </c>
      <c r="I842">
        <v>443000</v>
      </c>
      <c r="J842">
        <v>3187.1</v>
      </c>
      <c r="K842">
        <v>10</v>
      </c>
      <c r="L842" t="s">
        <v>20</v>
      </c>
      <c r="M842">
        <v>136</v>
      </c>
      <c r="N842" t="s">
        <v>18</v>
      </c>
      <c r="P842" t="e">
        <f t="shared" si="130"/>
        <v>#N/A</v>
      </c>
      <c r="Q842" t="e">
        <f t="shared" si="131"/>
        <v>#N/A</v>
      </c>
      <c r="R842">
        <f t="shared" si="132"/>
        <v>443000</v>
      </c>
      <c r="S842">
        <f t="shared" si="133"/>
        <v>139</v>
      </c>
      <c r="T842" t="e">
        <f t="shared" si="134"/>
        <v>#N/A</v>
      </c>
      <c r="U842" t="e">
        <f t="shared" si="135"/>
        <v>#N/A</v>
      </c>
      <c r="V842" t="e">
        <f t="shared" si="136"/>
        <v>#N/A</v>
      </c>
      <c r="W842" t="e">
        <f t="shared" si="137"/>
        <v>#N/A</v>
      </c>
      <c r="X842" t="e">
        <f t="shared" si="138"/>
        <v>#N/A</v>
      </c>
      <c r="Y842" t="e">
        <f t="shared" si="139"/>
        <v>#N/A</v>
      </c>
    </row>
    <row r="843" spans="1:25" x14ac:dyDescent="0.2">
      <c r="A843">
        <v>1841</v>
      </c>
      <c r="B843" t="s">
        <v>41</v>
      </c>
      <c r="C843" t="s">
        <v>29</v>
      </c>
      <c r="D843">
        <v>2024</v>
      </c>
      <c r="E843" t="s">
        <v>26</v>
      </c>
      <c r="F843">
        <v>352</v>
      </c>
      <c r="G843">
        <v>4</v>
      </c>
      <c r="H843">
        <v>4</v>
      </c>
      <c r="I843">
        <v>2656000</v>
      </c>
      <c r="J843">
        <v>7545.5</v>
      </c>
      <c r="K843">
        <v>20</v>
      </c>
      <c r="L843" t="s">
        <v>20</v>
      </c>
      <c r="M843">
        <v>139</v>
      </c>
      <c r="N843" t="s">
        <v>21</v>
      </c>
      <c r="P843">
        <f t="shared" si="130"/>
        <v>2656000</v>
      </c>
      <c r="Q843">
        <f t="shared" si="131"/>
        <v>352</v>
      </c>
      <c r="R843" t="e">
        <f t="shared" si="132"/>
        <v>#N/A</v>
      </c>
      <c r="S843" t="e">
        <f t="shared" si="133"/>
        <v>#N/A</v>
      </c>
      <c r="T843" t="e">
        <f t="shared" si="134"/>
        <v>#N/A</v>
      </c>
      <c r="U843" t="e">
        <f t="shared" si="135"/>
        <v>#N/A</v>
      </c>
      <c r="V843" t="e">
        <f t="shared" si="136"/>
        <v>#N/A</v>
      </c>
      <c r="W843" t="e">
        <f t="shared" si="137"/>
        <v>#N/A</v>
      </c>
      <c r="X843" t="e">
        <f t="shared" si="138"/>
        <v>#N/A</v>
      </c>
      <c r="Y843" t="e">
        <f t="shared" si="139"/>
        <v>#N/A</v>
      </c>
    </row>
    <row r="844" spans="1:25" x14ac:dyDescent="0.2">
      <c r="A844">
        <v>1842</v>
      </c>
      <c r="B844" t="s">
        <v>35</v>
      </c>
      <c r="C844" t="s">
        <v>15</v>
      </c>
      <c r="D844">
        <v>2021</v>
      </c>
      <c r="E844" t="s">
        <v>30</v>
      </c>
      <c r="F844">
        <v>195</v>
      </c>
      <c r="G844">
        <v>2</v>
      </c>
      <c r="H844">
        <v>2</v>
      </c>
      <c r="I844">
        <v>621000</v>
      </c>
      <c r="J844">
        <v>3184.6</v>
      </c>
      <c r="K844">
        <v>0</v>
      </c>
      <c r="L844" t="s">
        <v>34</v>
      </c>
      <c r="M844">
        <v>161</v>
      </c>
      <c r="N844" t="s">
        <v>18</v>
      </c>
      <c r="P844" t="e">
        <f t="shared" si="130"/>
        <v>#N/A</v>
      </c>
      <c r="Q844" t="e">
        <f t="shared" si="131"/>
        <v>#N/A</v>
      </c>
      <c r="R844">
        <f t="shared" si="132"/>
        <v>621000</v>
      </c>
      <c r="S844">
        <f t="shared" si="133"/>
        <v>195</v>
      </c>
      <c r="T844" t="e">
        <f t="shared" si="134"/>
        <v>#N/A</v>
      </c>
      <c r="U844" t="e">
        <f t="shared" si="135"/>
        <v>#N/A</v>
      </c>
      <c r="V844" t="e">
        <f t="shared" si="136"/>
        <v>#N/A</v>
      </c>
      <c r="W844" t="e">
        <f t="shared" si="137"/>
        <v>#N/A</v>
      </c>
      <c r="X844" t="e">
        <f t="shared" si="138"/>
        <v>#N/A</v>
      </c>
      <c r="Y844" t="e">
        <f t="shared" si="139"/>
        <v>#N/A</v>
      </c>
    </row>
    <row r="845" spans="1:25" x14ac:dyDescent="0.2">
      <c r="A845">
        <v>1843</v>
      </c>
      <c r="B845" t="s">
        <v>22</v>
      </c>
      <c r="C845" t="s">
        <v>15</v>
      </c>
      <c r="D845">
        <v>2024</v>
      </c>
      <c r="E845" t="s">
        <v>16</v>
      </c>
      <c r="F845">
        <v>157</v>
      </c>
      <c r="G845">
        <v>3</v>
      </c>
      <c r="H845">
        <v>3</v>
      </c>
      <c r="I845">
        <v>589000</v>
      </c>
      <c r="J845">
        <v>3751.6</v>
      </c>
      <c r="K845">
        <v>5</v>
      </c>
      <c r="L845" t="s">
        <v>20</v>
      </c>
      <c r="M845">
        <v>9</v>
      </c>
      <c r="N845" t="s">
        <v>18</v>
      </c>
      <c r="P845" t="e">
        <f t="shared" si="130"/>
        <v>#N/A</v>
      </c>
      <c r="Q845" t="e">
        <f t="shared" si="131"/>
        <v>#N/A</v>
      </c>
      <c r="R845">
        <f t="shared" si="132"/>
        <v>589000</v>
      </c>
      <c r="S845">
        <f t="shared" si="133"/>
        <v>157</v>
      </c>
      <c r="T845" t="e">
        <f t="shared" si="134"/>
        <v>#N/A</v>
      </c>
      <c r="U845" t="e">
        <f t="shared" si="135"/>
        <v>#N/A</v>
      </c>
      <c r="V845" t="e">
        <f t="shared" si="136"/>
        <v>#N/A</v>
      </c>
      <c r="W845" t="e">
        <f t="shared" si="137"/>
        <v>#N/A</v>
      </c>
      <c r="X845" t="e">
        <f t="shared" si="138"/>
        <v>#N/A</v>
      </c>
      <c r="Y845" t="e">
        <f t="shared" si="139"/>
        <v>#N/A</v>
      </c>
    </row>
    <row r="846" spans="1:25" x14ac:dyDescent="0.2">
      <c r="A846">
        <v>1844</v>
      </c>
      <c r="B846" t="s">
        <v>31</v>
      </c>
      <c r="C846" t="s">
        <v>15</v>
      </c>
      <c r="D846">
        <v>2024</v>
      </c>
      <c r="E846" t="s">
        <v>16</v>
      </c>
      <c r="F846">
        <v>181</v>
      </c>
      <c r="G846">
        <v>2</v>
      </c>
      <c r="H846">
        <v>2</v>
      </c>
      <c r="I846">
        <v>557000</v>
      </c>
      <c r="J846">
        <v>3077.3</v>
      </c>
      <c r="K846">
        <v>3</v>
      </c>
      <c r="L846" t="s">
        <v>20</v>
      </c>
      <c r="M846">
        <v>118</v>
      </c>
      <c r="N846" t="s">
        <v>21</v>
      </c>
      <c r="P846" t="e">
        <f t="shared" si="130"/>
        <v>#N/A</v>
      </c>
      <c r="Q846" t="e">
        <f t="shared" si="131"/>
        <v>#N/A</v>
      </c>
      <c r="R846">
        <f t="shared" si="132"/>
        <v>557000</v>
      </c>
      <c r="S846">
        <f t="shared" si="133"/>
        <v>181</v>
      </c>
      <c r="T846" t="e">
        <f t="shared" si="134"/>
        <v>#N/A</v>
      </c>
      <c r="U846" t="e">
        <f t="shared" si="135"/>
        <v>#N/A</v>
      </c>
      <c r="V846" t="e">
        <f t="shared" si="136"/>
        <v>#N/A</v>
      </c>
      <c r="W846" t="e">
        <f t="shared" si="137"/>
        <v>#N/A</v>
      </c>
      <c r="X846" t="e">
        <f t="shared" si="138"/>
        <v>#N/A</v>
      </c>
      <c r="Y846" t="e">
        <f t="shared" si="139"/>
        <v>#N/A</v>
      </c>
    </row>
    <row r="847" spans="1:25" x14ac:dyDescent="0.2">
      <c r="A847">
        <v>1845</v>
      </c>
      <c r="B847" t="s">
        <v>46</v>
      </c>
      <c r="C847" t="s">
        <v>36</v>
      </c>
      <c r="D847">
        <v>2024</v>
      </c>
      <c r="E847" t="s">
        <v>30</v>
      </c>
      <c r="F847">
        <v>313</v>
      </c>
      <c r="G847">
        <v>3</v>
      </c>
      <c r="H847">
        <v>3</v>
      </c>
      <c r="I847">
        <v>812000</v>
      </c>
      <c r="J847">
        <v>2594.1999999999998</v>
      </c>
      <c r="K847">
        <v>0</v>
      </c>
      <c r="L847" t="s">
        <v>34</v>
      </c>
      <c r="M847">
        <v>65</v>
      </c>
      <c r="N847" t="s">
        <v>18</v>
      </c>
      <c r="P847" t="e">
        <f t="shared" si="130"/>
        <v>#N/A</v>
      </c>
      <c r="Q847" t="e">
        <f t="shared" si="131"/>
        <v>#N/A</v>
      </c>
      <c r="R847" t="e">
        <f t="shared" si="132"/>
        <v>#N/A</v>
      </c>
      <c r="S847" t="e">
        <f t="shared" si="133"/>
        <v>#N/A</v>
      </c>
      <c r="T847" t="e">
        <f t="shared" si="134"/>
        <v>#N/A</v>
      </c>
      <c r="U847" t="e">
        <f t="shared" si="135"/>
        <v>#N/A</v>
      </c>
      <c r="V847" t="e">
        <f t="shared" si="136"/>
        <v>#N/A</v>
      </c>
      <c r="W847" t="e">
        <f t="shared" si="137"/>
        <v>#N/A</v>
      </c>
      <c r="X847">
        <f t="shared" si="138"/>
        <v>812000</v>
      </c>
      <c r="Y847">
        <f t="shared" si="139"/>
        <v>313</v>
      </c>
    </row>
    <row r="848" spans="1:25" x14ac:dyDescent="0.2">
      <c r="A848">
        <v>1846</v>
      </c>
      <c r="B848" t="s">
        <v>25</v>
      </c>
      <c r="C848" t="s">
        <v>15</v>
      </c>
      <c r="D848">
        <v>2023</v>
      </c>
      <c r="E848" t="s">
        <v>30</v>
      </c>
      <c r="F848">
        <v>121</v>
      </c>
      <c r="G848">
        <v>2</v>
      </c>
      <c r="H848">
        <v>2</v>
      </c>
      <c r="I848">
        <v>343000</v>
      </c>
      <c r="J848">
        <v>2834.7</v>
      </c>
      <c r="K848">
        <v>4</v>
      </c>
      <c r="L848" t="s">
        <v>17</v>
      </c>
      <c r="M848">
        <v>123</v>
      </c>
      <c r="N848" t="s">
        <v>27</v>
      </c>
      <c r="P848" t="e">
        <f t="shared" si="130"/>
        <v>#N/A</v>
      </c>
      <c r="Q848" t="e">
        <f t="shared" si="131"/>
        <v>#N/A</v>
      </c>
      <c r="R848">
        <f t="shared" si="132"/>
        <v>343000</v>
      </c>
      <c r="S848">
        <f t="shared" si="133"/>
        <v>121</v>
      </c>
      <c r="T848" t="e">
        <f t="shared" si="134"/>
        <v>#N/A</v>
      </c>
      <c r="U848" t="e">
        <f t="shared" si="135"/>
        <v>#N/A</v>
      </c>
      <c r="V848" t="e">
        <f t="shared" si="136"/>
        <v>#N/A</v>
      </c>
      <c r="W848" t="e">
        <f t="shared" si="137"/>
        <v>#N/A</v>
      </c>
      <c r="X848" t="e">
        <f t="shared" si="138"/>
        <v>#N/A</v>
      </c>
      <c r="Y848" t="e">
        <f t="shared" si="139"/>
        <v>#N/A</v>
      </c>
    </row>
    <row r="849" spans="1:25" x14ac:dyDescent="0.2">
      <c r="A849">
        <v>1847</v>
      </c>
      <c r="B849" t="s">
        <v>45</v>
      </c>
      <c r="C849" t="s">
        <v>38</v>
      </c>
      <c r="D849">
        <v>2023</v>
      </c>
      <c r="E849" t="s">
        <v>24</v>
      </c>
      <c r="F849">
        <v>61</v>
      </c>
      <c r="G849">
        <v>0</v>
      </c>
      <c r="H849">
        <v>1</v>
      </c>
      <c r="I849">
        <v>325000</v>
      </c>
      <c r="J849">
        <v>5327.9</v>
      </c>
      <c r="K849">
        <v>7</v>
      </c>
      <c r="L849" t="s">
        <v>34</v>
      </c>
      <c r="M849">
        <v>146</v>
      </c>
      <c r="N849" t="s">
        <v>21</v>
      </c>
      <c r="P849" t="e">
        <f t="shared" si="130"/>
        <v>#N/A</v>
      </c>
      <c r="Q849" t="e">
        <f t="shared" si="131"/>
        <v>#N/A</v>
      </c>
      <c r="R849" t="e">
        <f t="shared" si="132"/>
        <v>#N/A</v>
      </c>
      <c r="S849" t="e">
        <f t="shared" si="133"/>
        <v>#N/A</v>
      </c>
      <c r="T849" t="e">
        <f t="shared" si="134"/>
        <v>#N/A</v>
      </c>
      <c r="U849" t="e">
        <f t="shared" si="135"/>
        <v>#N/A</v>
      </c>
      <c r="V849">
        <f t="shared" si="136"/>
        <v>325000</v>
      </c>
      <c r="W849">
        <f t="shared" si="137"/>
        <v>61</v>
      </c>
      <c r="X849" t="e">
        <f t="shared" si="138"/>
        <v>#N/A</v>
      </c>
      <c r="Y849" t="e">
        <f t="shared" si="139"/>
        <v>#N/A</v>
      </c>
    </row>
    <row r="850" spans="1:25" x14ac:dyDescent="0.2">
      <c r="A850">
        <v>1848</v>
      </c>
      <c r="B850" t="s">
        <v>39</v>
      </c>
      <c r="C850" t="s">
        <v>23</v>
      </c>
      <c r="D850">
        <v>2022</v>
      </c>
      <c r="E850" t="s">
        <v>16</v>
      </c>
      <c r="F850">
        <v>236</v>
      </c>
      <c r="G850">
        <v>4</v>
      </c>
      <c r="H850">
        <v>4</v>
      </c>
      <c r="I850">
        <v>989000</v>
      </c>
      <c r="J850">
        <v>4190.7</v>
      </c>
      <c r="K850">
        <v>10</v>
      </c>
      <c r="L850" t="s">
        <v>34</v>
      </c>
      <c r="M850">
        <v>87</v>
      </c>
      <c r="N850" t="s">
        <v>21</v>
      </c>
      <c r="P850" t="e">
        <f t="shared" si="130"/>
        <v>#N/A</v>
      </c>
      <c r="Q850" t="e">
        <f t="shared" si="131"/>
        <v>#N/A</v>
      </c>
      <c r="R850" t="e">
        <f t="shared" si="132"/>
        <v>#N/A</v>
      </c>
      <c r="S850" t="e">
        <f t="shared" si="133"/>
        <v>#N/A</v>
      </c>
      <c r="T850">
        <f t="shared" si="134"/>
        <v>989000</v>
      </c>
      <c r="U850">
        <f t="shared" si="135"/>
        <v>236</v>
      </c>
      <c r="V850" t="e">
        <f t="shared" si="136"/>
        <v>#N/A</v>
      </c>
      <c r="W850" t="e">
        <f t="shared" si="137"/>
        <v>#N/A</v>
      </c>
      <c r="X850" t="e">
        <f t="shared" si="138"/>
        <v>#N/A</v>
      </c>
      <c r="Y850" t="e">
        <f t="shared" si="139"/>
        <v>#N/A</v>
      </c>
    </row>
    <row r="851" spans="1:25" x14ac:dyDescent="0.2">
      <c r="A851">
        <v>1849</v>
      </c>
      <c r="B851" t="s">
        <v>39</v>
      </c>
      <c r="C851" t="s">
        <v>15</v>
      </c>
      <c r="D851">
        <v>2024</v>
      </c>
      <c r="E851" t="s">
        <v>24</v>
      </c>
      <c r="F851">
        <v>132</v>
      </c>
      <c r="G851">
        <v>3</v>
      </c>
      <c r="H851">
        <v>3</v>
      </c>
      <c r="I851">
        <v>593000</v>
      </c>
      <c r="J851">
        <v>4492.3999999999996</v>
      </c>
      <c r="K851">
        <v>1</v>
      </c>
      <c r="L851" t="s">
        <v>17</v>
      </c>
      <c r="M851">
        <v>58</v>
      </c>
      <c r="N851" t="s">
        <v>21</v>
      </c>
      <c r="P851" t="e">
        <f t="shared" si="130"/>
        <v>#N/A</v>
      </c>
      <c r="Q851" t="e">
        <f t="shared" si="131"/>
        <v>#N/A</v>
      </c>
      <c r="R851">
        <f t="shared" si="132"/>
        <v>593000</v>
      </c>
      <c r="S851">
        <f t="shared" si="133"/>
        <v>132</v>
      </c>
      <c r="T851" t="e">
        <f t="shared" si="134"/>
        <v>#N/A</v>
      </c>
      <c r="U851" t="e">
        <f t="shared" si="135"/>
        <v>#N/A</v>
      </c>
      <c r="V851" t="e">
        <f t="shared" si="136"/>
        <v>#N/A</v>
      </c>
      <c r="W851" t="e">
        <f t="shared" si="137"/>
        <v>#N/A</v>
      </c>
      <c r="X851" t="e">
        <f t="shared" si="138"/>
        <v>#N/A</v>
      </c>
      <c r="Y851" t="e">
        <f t="shared" si="139"/>
        <v>#N/A</v>
      </c>
    </row>
    <row r="852" spans="1:25" x14ac:dyDescent="0.2">
      <c r="A852">
        <v>1850</v>
      </c>
      <c r="B852" t="s">
        <v>42</v>
      </c>
      <c r="C852" t="s">
        <v>29</v>
      </c>
      <c r="D852">
        <v>2024</v>
      </c>
      <c r="E852" t="s">
        <v>24</v>
      </c>
      <c r="F852">
        <v>558</v>
      </c>
      <c r="G852">
        <v>6</v>
      </c>
      <c r="H852">
        <v>6</v>
      </c>
      <c r="I852">
        <v>4466000</v>
      </c>
      <c r="J852">
        <v>8003.6</v>
      </c>
      <c r="K852">
        <v>5</v>
      </c>
      <c r="L852" t="s">
        <v>17</v>
      </c>
      <c r="M852">
        <v>89</v>
      </c>
      <c r="N852" t="s">
        <v>21</v>
      </c>
      <c r="P852">
        <f t="shared" si="130"/>
        <v>4466000</v>
      </c>
      <c r="Q852">
        <f t="shared" si="131"/>
        <v>558</v>
      </c>
      <c r="R852" t="e">
        <f t="shared" si="132"/>
        <v>#N/A</v>
      </c>
      <c r="S852" t="e">
        <f t="shared" si="133"/>
        <v>#N/A</v>
      </c>
      <c r="T852" t="e">
        <f t="shared" si="134"/>
        <v>#N/A</v>
      </c>
      <c r="U852" t="e">
        <f t="shared" si="135"/>
        <v>#N/A</v>
      </c>
      <c r="V852" t="e">
        <f t="shared" si="136"/>
        <v>#N/A</v>
      </c>
      <c r="W852" t="e">
        <f t="shared" si="137"/>
        <v>#N/A</v>
      </c>
      <c r="X852" t="e">
        <f t="shared" si="138"/>
        <v>#N/A</v>
      </c>
      <c r="Y852" t="e">
        <f t="shared" si="139"/>
        <v>#N/A</v>
      </c>
    </row>
    <row r="853" spans="1:25" x14ac:dyDescent="0.2">
      <c r="A853">
        <v>1851</v>
      </c>
      <c r="B853" t="s">
        <v>31</v>
      </c>
      <c r="C853" t="s">
        <v>38</v>
      </c>
      <c r="D853">
        <v>2024</v>
      </c>
      <c r="E853" t="s">
        <v>30</v>
      </c>
      <c r="F853">
        <v>51</v>
      </c>
      <c r="G853">
        <v>0</v>
      </c>
      <c r="H853">
        <v>1</v>
      </c>
      <c r="I853">
        <v>208000</v>
      </c>
      <c r="J853">
        <v>4078.4</v>
      </c>
      <c r="K853">
        <v>2</v>
      </c>
      <c r="L853" t="s">
        <v>20</v>
      </c>
      <c r="M853">
        <v>154</v>
      </c>
      <c r="N853" t="s">
        <v>21</v>
      </c>
      <c r="P853" t="e">
        <f t="shared" si="130"/>
        <v>#N/A</v>
      </c>
      <c r="Q853" t="e">
        <f t="shared" si="131"/>
        <v>#N/A</v>
      </c>
      <c r="R853" t="e">
        <f t="shared" si="132"/>
        <v>#N/A</v>
      </c>
      <c r="S853" t="e">
        <f t="shared" si="133"/>
        <v>#N/A</v>
      </c>
      <c r="T853" t="e">
        <f t="shared" si="134"/>
        <v>#N/A</v>
      </c>
      <c r="U853" t="e">
        <f t="shared" si="135"/>
        <v>#N/A</v>
      </c>
      <c r="V853">
        <f t="shared" si="136"/>
        <v>208000</v>
      </c>
      <c r="W853">
        <f t="shared" si="137"/>
        <v>51</v>
      </c>
      <c r="X853" t="e">
        <f t="shared" si="138"/>
        <v>#N/A</v>
      </c>
      <c r="Y853" t="e">
        <f t="shared" si="139"/>
        <v>#N/A</v>
      </c>
    </row>
    <row r="854" spans="1:25" x14ac:dyDescent="0.2">
      <c r="A854">
        <v>1852</v>
      </c>
      <c r="B854" t="s">
        <v>28</v>
      </c>
      <c r="C854" t="s">
        <v>29</v>
      </c>
      <c r="D854">
        <v>2022</v>
      </c>
      <c r="E854" t="s">
        <v>30</v>
      </c>
      <c r="F854">
        <v>307</v>
      </c>
      <c r="G854">
        <v>5</v>
      </c>
      <c r="H854">
        <v>5</v>
      </c>
      <c r="I854">
        <v>1356000</v>
      </c>
      <c r="J854">
        <v>4416.8999999999996</v>
      </c>
      <c r="K854">
        <v>2</v>
      </c>
      <c r="L854" t="s">
        <v>20</v>
      </c>
      <c r="M854">
        <v>154</v>
      </c>
      <c r="N854" t="s">
        <v>27</v>
      </c>
      <c r="P854">
        <f t="shared" si="130"/>
        <v>1356000</v>
      </c>
      <c r="Q854">
        <f t="shared" si="131"/>
        <v>307</v>
      </c>
      <c r="R854" t="e">
        <f t="shared" si="132"/>
        <v>#N/A</v>
      </c>
      <c r="S854" t="e">
        <f t="shared" si="133"/>
        <v>#N/A</v>
      </c>
      <c r="T854" t="e">
        <f t="shared" si="134"/>
        <v>#N/A</v>
      </c>
      <c r="U854" t="e">
        <f t="shared" si="135"/>
        <v>#N/A</v>
      </c>
      <c r="V854" t="e">
        <f t="shared" si="136"/>
        <v>#N/A</v>
      </c>
      <c r="W854" t="e">
        <f t="shared" si="137"/>
        <v>#N/A</v>
      </c>
      <c r="X854" t="e">
        <f t="shared" si="138"/>
        <v>#N/A</v>
      </c>
      <c r="Y854" t="e">
        <f t="shared" si="139"/>
        <v>#N/A</v>
      </c>
    </row>
    <row r="855" spans="1:25" x14ac:dyDescent="0.2">
      <c r="A855">
        <v>1853</v>
      </c>
      <c r="B855" t="s">
        <v>42</v>
      </c>
      <c r="C855" t="s">
        <v>15</v>
      </c>
      <c r="D855">
        <v>2022</v>
      </c>
      <c r="E855" t="s">
        <v>30</v>
      </c>
      <c r="F855">
        <v>92</v>
      </c>
      <c r="G855">
        <v>3</v>
      </c>
      <c r="H855">
        <v>3</v>
      </c>
      <c r="I855">
        <v>366000</v>
      </c>
      <c r="J855">
        <v>3978.3</v>
      </c>
      <c r="K855">
        <v>10</v>
      </c>
      <c r="L855" t="s">
        <v>17</v>
      </c>
      <c r="M855">
        <v>77</v>
      </c>
      <c r="N855" t="s">
        <v>21</v>
      </c>
      <c r="P855" t="e">
        <f t="shared" si="130"/>
        <v>#N/A</v>
      </c>
      <c r="Q855" t="e">
        <f t="shared" si="131"/>
        <v>#N/A</v>
      </c>
      <c r="R855">
        <f t="shared" si="132"/>
        <v>366000</v>
      </c>
      <c r="S855">
        <f t="shared" si="133"/>
        <v>92</v>
      </c>
      <c r="T855" t="e">
        <f t="shared" si="134"/>
        <v>#N/A</v>
      </c>
      <c r="U855" t="e">
        <f t="shared" si="135"/>
        <v>#N/A</v>
      </c>
      <c r="V855" t="e">
        <f t="shared" si="136"/>
        <v>#N/A</v>
      </c>
      <c r="W855" t="e">
        <f t="shared" si="137"/>
        <v>#N/A</v>
      </c>
      <c r="X855" t="e">
        <f t="shared" si="138"/>
        <v>#N/A</v>
      </c>
      <c r="Y855" t="e">
        <f t="shared" si="139"/>
        <v>#N/A</v>
      </c>
    </row>
    <row r="856" spans="1:25" x14ac:dyDescent="0.2">
      <c r="A856">
        <v>1854</v>
      </c>
      <c r="B856" t="s">
        <v>19</v>
      </c>
      <c r="C856" t="s">
        <v>23</v>
      </c>
      <c r="D856">
        <v>2021</v>
      </c>
      <c r="E856" t="s">
        <v>26</v>
      </c>
      <c r="F856">
        <v>204</v>
      </c>
      <c r="G856">
        <v>3</v>
      </c>
      <c r="H856">
        <v>3</v>
      </c>
      <c r="I856">
        <v>710000</v>
      </c>
      <c r="J856">
        <v>3480.4</v>
      </c>
      <c r="K856">
        <v>0</v>
      </c>
      <c r="L856" t="s">
        <v>20</v>
      </c>
      <c r="M856">
        <v>3</v>
      </c>
      <c r="N856" t="s">
        <v>21</v>
      </c>
      <c r="P856" t="e">
        <f t="shared" si="130"/>
        <v>#N/A</v>
      </c>
      <c r="Q856" t="e">
        <f t="shared" si="131"/>
        <v>#N/A</v>
      </c>
      <c r="R856" t="e">
        <f t="shared" si="132"/>
        <v>#N/A</v>
      </c>
      <c r="S856" t="e">
        <f t="shared" si="133"/>
        <v>#N/A</v>
      </c>
      <c r="T856">
        <f t="shared" si="134"/>
        <v>710000</v>
      </c>
      <c r="U856">
        <f t="shared" si="135"/>
        <v>204</v>
      </c>
      <c r="V856" t="e">
        <f t="shared" si="136"/>
        <v>#N/A</v>
      </c>
      <c r="W856" t="e">
        <f t="shared" si="137"/>
        <v>#N/A</v>
      </c>
      <c r="X856" t="e">
        <f t="shared" si="138"/>
        <v>#N/A</v>
      </c>
      <c r="Y856" t="e">
        <f t="shared" si="139"/>
        <v>#N/A</v>
      </c>
    </row>
    <row r="857" spans="1:25" x14ac:dyDescent="0.2">
      <c r="A857">
        <v>1855</v>
      </c>
      <c r="B857" t="s">
        <v>42</v>
      </c>
      <c r="C857" t="s">
        <v>15</v>
      </c>
      <c r="D857">
        <v>2022</v>
      </c>
      <c r="E857" t="s">
        <v>26</v>
      </c>
      <c r="F857">
        <v>183</v>
      </c>
      <c r="G857">
        <v>3</v>
      </c>
      <c r="H857">
        <v>3</v>
      </c>
      <c r="I857">
        <v>739000</v>
      </c>
      <c r="J857">
        <v>4038.3</v>
      </c>
      <c r="K857">
        <v>10</v>
      </c>
      <c r="L857" t="s">
        <v>17</v>
      </c>
      <c r="M857">
        <v>117</v>
      </c>
      <c r="N857" t="s">
        <v>21</v>
      </c>
      <c r="P857" t="e">
        <f t="shared" si="130"/>
        <v>#N/A</v>
      </c>
      <c r="Q857" t="e">
        <f t="shared" si="131"/>
        <v>#N/A</v>
      </c>
      <c r="R857">
        <f t="shared" si="132"/>
        <v>739000</v>
      </c>
      <c r="S857">
        <f t="shared" si="133"/>
        <v>183</v>
      </c>
      <c r="T857" t="e">
        <f t="shared" si="134"/>
        <v>#N/A</v>
      </c>
      <c r="U857" t="e">
        <f t="shared" si="135"/>
        <v>#N/A</v>
      </c>
      <c r="V857" t="e">
        <f t="shared" si="136"/>
        <v>#N/A</v>
      </c>
      <c r="W857" t="e">
        <f t="shared" si="137"/>
        <v>#N/A</v>
      </c>
      <c r="X857" t="e">
        <f t="shared" si="138"/>
        <v>#N/A</v>
      </c>
      <c r="Y857" t="e">
        <f t="shared" si="139"/>
        <v>#N/A</v>
      </c>
    </row>
    <row r="858" spans="1:25" x14ac:dyDescent="0.2">
      <c r="A858">
        <v>1856</v>
      </c>
      <c r="B858" t="s">
        <v>41</v>
      </c>
      <c r="C858" t="s">
        <v>15</v>
      </c>
      <c r="D858">
        <v>2022</v>
      </c>
      <c r="E858" t="s">
        <v>30</v>
      </c>
      <c r="F858">
        <v>128</v>
      </c>
      <c r="G858">
        <v>2</v>
      </c>
      <c r="H858">
        <v>2</v>
      </c>
      <c r="I858">
        <v>594000</v>
      </c>
      <c r="J858">
        <v>4640.6000000000004</v>
      </c>
      <c r="K858">
        <v>3</v>
      </c>
      <c r="L858" t="s">
        <v>17</v>
      </c>
      <c r="M858">
        <v>171</v>
      </c>
      <c r="N858" t="s">
        <v>21</v>
      </c>
      <c r="P858" t="e">
        <f t="shared" si="130"/>
        <v>#N/A</v>
      </c>
      <c r="Q858" t="e">
        <f t="shared" si="131"/>
        <v>#N/A</v>
      </c>
      <c r="R858">
        <f t="shared" si="132"/>
        <v>594000</v>
      </c>
      <c r="S858">
        <f t="shared" si="133"/>
        <v>128</v>
      </c>
      <c r="T858" t="e">
        <f t="shared" si="134"/>
        <v>#N/A</v>
      </c>
      <c r="U858" t="e">
        <f t="shared" si="135"/>
        <v>#N/A</v>
      </c>
      <c r="V858" t="e">
        <f t="shared" si="136"/>
        <v>#N/A</v>
      </c>
      <c r="W858" t="e">
        <f t="shared" si="137"/>
        <v>#N/A</v>
      </c>
      <c r="X858" t="e">
        <f t="shared" si="138"/>
        <v>#N/A</v>
      </c>
      <c r="Y858" t="e">
        <f t="shared" si="139"/>
        <v>#N/A</v>
      </c>
    </row>
    <row r="859" spans="1:25" x14ac:dyDescent="0.2">
      <c r="A859">
        <v>1857</v>
      </c>
      <c r="B859" t="s">
        <v>48</v>
      </c>
      <c r="C859" t="s">
        <v>29</v>
      </c>
      <c r="D859">
        <v>2023</v>
      </c>
      <c r="E859" t="s">
        <v>24</v>
      </c>
      <c r="F859">
        <v>625</v>
      </c>
      <c r="G859">
        <v>5</v>
      </c>
      <c r="H859">
        <v>5</v>
      </c>
      <c r="I859">
        <v>2757000</v>
      </c>
      <c r="J859">
        <v>4411.2</v>
      </c>
      <c r="K859">
        <v>20</v>
      </c>
      <c r="L859" t="s">
        <v>17</v>
      </c>
      <c r="M859">
        <v>177</v>
      </c>
      <c r="N859" t="s">
        <v>27</v>
      </c>
      <c r="P859">
        <f t="shared" si="130"/>
        <v>2757000</v>
      </c>
      <c r="Q859">
        <f t="shared" si="131"/>
        <v>625</v>
      </c>
      <c r="R859" t="e">
        <f t="shared" si="132"/>
        <v>#N/A</v>
      </c>
      <c r="S859" t="e">
        <f t="shared" si="133"/>
        <v>#N/A</v>
      </c>
      <c r="T859" t="e">
        <f t="shared" si="134"/>
        <v>#N/A</v>
      </c>
      <c r="U859" t="e">
        <f t="shared" si="135"/>
        <v>#N/A</v>
      </c>
      <c r="V859" t="e">
        <f t="shared" si="136"/>
        <v>#N/A</v>
      </c>
      <c r="W859" t="e">
        <f t="shared" si="137"/>
        <v>#N/A</v>
      </c>
      <c r="X859" t="e">
        <f t="shared" si="138"/>
        <v>#N/A</v>
      </c>
      <c r="Y859" t="e">
        <f t="shared" si="139"/>
        <v>#N/A</v>
      </c>
    </row>
    <row r="860" spans="1:25" x14ac:dyDescent="0.2">
      <c r="A860">
        <v>1858</v>
      </c>
      <c r="B860" t="s">
        <v>45</v>
      </c>
      <c r="C860" t="s">
        <v>23</v>
      </c>
      <c r="D860">
        <v>2024</v>
      </c>
      <c r="E860" t="s">
        <v>30</v>
      </c>
      <c r="F860">
        <v>357</v>
      </c>
      <c r="G860">
        <v>5</v>
      </c>
      <c r="H860">
        <v>5</v>
      </c>
      <c r="I860">
        <v>1850000</v>
      </c>
      <c r="J860">
        <v>5182.1000000000004</v>
      </c>
      <c r="K860">
        <v>20</v>
      </c>
      <c r="L860" t="s">
        <v>17</v>
      </c>
      <c r="M860">
        <v>14</v>
      </c>
      <c r="N860" t="s">
        <v>21</v>
      </c>
      <c r="P860" t="e">
        <f t="shared" si="130"/>
        <v>#N/A</v>
      </c>
      <c r="Q860" t="e">
        <f t="shared" si="131"/>
        <v>#N/A</v>
      </c>
      <c r="R860" t="e">
        <f t="shared" si="132"/>
        <v>#N/A</v>
      </c>
      <c r="S860" t="e">
        <f t="shared" si="133"/>
        <v>#N/A</v>
      </c>
      <c r="T860">
        <f t="shared" si="134"/>
        <v>1850000</v>
      </c>
      <c r="U860">
        <f t="shared" si="135"/>
        <v>357</v>
      </c>
      <c r="V860" t="e">
        <f t="shared" si="136"/>
        <v>#N/A</v>
      </c>
      <c r="W860" t="e">
        <f t="shared" si="137"/>
        <v>#N/A</v>
      </c>
      <c r="X860" t="e">
        <f t="shared" si="138"/>
        <v>#N/A</v>
      </c>
      <c r="Y860" t="e">
        <f t="shared" si="139"/>
        <v>#N/A</v>
      </c>
    </row>
    <row r="861" spans="1:25" x14ac:dyDescent="0.2">
      <c r="A861">
        <v>1859</v>
      </c>
      <c r="B861" t="s">
        <v>48</v>
      </c>
      <c r="C861" t="s">
        <v>29</v>
      </c>
      <c r="D861">
        <v>2024</v>
      </c>
      <c r="E861" t="s">
        <v>26</v>
      </c>
      <c r="F861">
        <v>580</v>
      </c>
      <c r="G861">
        <v>5</v>
      </c>
      <c r="H861">
        <v>5</v>
      </c>
      <c r="I861">
        <v>2963000</v>
      </c>
      <c r="J861">
        <v>5108.6000000000004</v>
      </c>
      <c r="K861">
        <v>3</v>
      </c>
      <c r="L861" t="s">
        <v>20</v>
      </c>
      <c r="M861">
        <v>19</v>
      </c>
      <c r="N861" t="s">
        <v>27</v>
      </c>
      <c r="P861">
        <f t="shared" si="130"/>
        <v>2963000</v>
      </c>
      <c r="Q861">
        <f t="shared" si="131"/>
        <v>580</v>
      </c>
      <c r="R861" t="e">
        <f t="shared" si="132"/>
        <v>#N/A</v>
      </c>
      <c r="S861" t="e">
        <f t="shared" si="133"/>
        <v>#N/A</v>
      </c>
      <c r="T861" t="e">
        <f t="shared" si="134"/>
        <v>#N/A</v>
      </c>
      <c r="U861" t="e">
        <f t="shared" si="135"/>
        <v>#N/A</v>
      </c>
      <c r="V861" t="e">
        <f t="shared" si="136"/>
        <v>#N/A</v>
      </c>
      <c r="W861" t="e">
        <f t="shared" si="137"/>
        <v>#N/A</v>
      </c>
      <c r="X861" t="e">
        <f t="shared" si="138"/>
        <v>#N/A</v>
      </c>
      <c r="Y861" t="e">
        <f t="shared" si="139"/>
        <v>#N/A</v>
      </c>
    </row>
    <row r="862" spans="1:25" x14ac:dyDescent="0.2">
      <c r="A862">
        <v>1860</v>
      </c>
      <c r="B862" t="s">
        <v>28</v>
      </c>
      <c r="C862" t="s">
        <v>29</v>
      </c>
      <c r="D862">
        <v>2023</v>
      </c>
      <c r="E862" t="s">
        <v>30</v>
      </c>
      <c r="F862">
        <v>502</v>
      </c>
      <c r="G862">
        <v>5</v>
      </c>
      <c r="H862">
        <v>5</v>
      </c>
      <c r="I862">
        <v>2243000</v>
      </c>
      <c r="J862">
        <v>4468.1000000000004</v>
      </c>
      <c r="K862">
        <v>0</v>
      </c>
      <c r="L862" t="s">
        <v>20</v>
      </c>
      <c r="M862">
        <v>2</v>
      </c>
      <c r="N862" t="s">
        <v>27</v>
      </c>
      <c r="P862">
        <f t="shared" si="130"/>
        <v>2243000</v>
      </c>
      <c r="Q862">
        <f t="shared" si="131"/>
        <v>502</v>
      </c>
      <c r="R862" t="e">
        <f t="shared" si="132"/>
        <v>#N/A</v>
      </c>
      <c r="S862" t="e">
        <f t="shared" si="133"/>
        <v>#N/A</v>
      </c>
      <c r="T862" t="e">
        <f t="shared" si="134"/>
        <v>#N/A</v>
      </c>
      <c r="U862" t="e">
        <f t="shared" si="135"/>
        <v>#N/A</v>
      </c>
      <c r="V862" t="e">
        <f t="shared" si="136"/>
        <v>#N/A</v>
      </c>
      <c r="W862" t="e">
        <f t="shared" si="137"/>
        <v>#N/A</v>
      </c>
      <c r="X862" t="e">
        <f t="shared" si="138"/>
        <v>#N/A</v>
      </c>
      <c r="Y862" t="e">
        <f t="shared" si="139"/>
        <v>#N/A</v>
      </c>
    </row>
    <row r="863" spans="1:25" x14ac:dyDescent="0.2">
      <c r="A863">
        <v>1861</v>
      </c>
      <c r="B863" t="s">
        <v>44</v>
      </c>
      <c r="C863" t="s">
        <v>15</v>
      </c>
      <c r="D863">
        <v>2022</v>
      </c>
      <c r="E863" t="s">
        <v>30</v>
      </c>
      <c r="F863">
        <v>163</v>
      </c>
      <c r="G863">
        <v>3</v>
      </c>
      <c r="H863">
        <v>3</v>
      </c>
      <c r="I863">
        <v>510000</v>
      </c>
      <c r="J863">
        <v>3128.8</v>
      </c>
      <c r="K863">
        <v>5</v>
      </c>
      <c r="L863" t="s">
        <v>17</v>
      </c>
      <c r="M863">
        <v>143</v>
      </c>
      <c r="N863" t="s">
        <v>18</v>
      </c>
      <c r="P863" t="e">
        <f t="shared" si="130"/>
        <v>#N/A</v>
      </c>
      <c r="Q863" t="e">
        <f t="shared" si="131"/>
        <v>#N/A</v>
      </c>
      <c r="R863">
        <f t="shared" si="132"/>
        <v>510000</v>
      </c>
      <c r="S863">
        <f t="shared" si="133"/>
        <v>163</v>
      </c>
      <c r="T863" t="e">
        <f t="shared" si="134"/>
        <v>#N/A</v>
      </c>
      <c r="U863" t="e">
        <f t="shared" si="135"/>
        <v>#N/A</v>
      </c>
      <c r="V863" t="e">
        <f t="shared" si="136"/>
        <v>#N/A</v>
      </c>
      <c r="W863" t="e">
        <f t="shared" si="137"/>
        <v>#N/A</v>
      </c>
      <c r="X863" t="e">
        <f t="shared" si="138"/>
        <v>#N/A</v>
      </c>
      <c r="Y863" t="e">
        <f t="shared" si="139"/>
        <v>#N/A</v>
      </c>
    </row>
    <row r="864" spans="1:25" x14ac:dyDescent="0.2">
      <c r="A864">
        <v>1862</v>
      </c>
      <c r="B864" t="s">
        <v>19</v>
      </c>
      <c r="C864" t="s">
        <v>15</v>
      </c>
      <c r="D864">
        <v>2021</v>
      </c>
      <c r="E864" t="s">
        <v>24</v>
      </c>
      <c r="F864">
        <v>120</v>
      </c>
      <c r="G864">
        <v>2</v>
      </c>
      <c r="H864">
        <v>2</v>
      </c>
      <c r="I864">
        <v>317000</v>
      </c>
      <c r="J864">
        <v>2641.7</v>
      </c>
      <c r="K864">
        <v>4</v>
      </c>
      <c r="L864" t="s">
        <v>17</v>
      </c>
      <c r="M864">
        <v>71</v>
      </c>
      <c r="N864" t="s">
        <v>21</v>
      </c>
      <c r="P864" t="e">
        <f t="shared" si="130"/>
        <v>#N/A</v>
      </c>
      <c r="Q864" t="e">
        <f t="shared" si="131"/>
        <v>#N/A</v>
      </c>
      <c r="R864">
        <f t="shared" si="132"/>
        <v>317000</v>
      </c>
      <c r="S864">
        <f t="shared" si="133"/>
        <v>120</v>
      </c>
      <c r="T864" t="e">
        <f t="shared" si="134"/>
        <v>#N/A</v>
      </c>
      <c r="U864" t="e">
        <f t="shared" si="135"/>
        <v>#N/A</v>
      </c>
      <c r="V864" t="e">
        <f t="shared" si="136"/>
        <v>#N/A</v>
      </c>
      <c r="W864" t="e">
        <f t="shared" si="137"/>
        <v>#N/A</v>
      </c>
      <c r="X864" t="e">
        <f t="shared" si="138"/>
        <v>#N/A</v>
      </c>
      <c r="Y864" t="e">
        <f t="shared" si="139"/>
        <v>#N/A</v>
      </c>
    </row>
    <row r="865" spans="1:25" x14ac:dyDescent="0.2">
      <c r="A865">
        <v>1863</v>
      </c>
      <c r="B865" t="s">
        <v>28</v>
      </c>
      <c r="C865" t="s">
        <v>36</v>
      </c>
      <c r="D865">
        <v>2021</v>
      </c>
      <c r="E865" t="s">
        <v>24</v>
      </c>
      <c r="F865">
        <v>350</v>
      </c>
      <c r="G865">
        <v>3</v>
      </c>
      <c r="H865">
        <v>3</v>
      </c>
      <c r="I865">
        <v>683000</v>
      </c>
      <c r="J865">
        <v>1951.4</v>
      </c>
      <c r="K865">
        <v>5</v>
      </c>
      <c r="L865" t="s">
        <v>17</v>
      </c>
      <c r="M865">
        <v>106</v>
      </c>
      <c r="N865" t="s">
        <v>27</v>
      </c>
      <c r="P865" t="e">
        <f t="shared" si="130"/>
        <v>#N/A</v>
      </c>
      <c r="Q865" t="e">
        <f t="shared" si="131"/>
        <v>#N/A</v>
      </c>
      <c r="R865" t="e">
        <f t="shared" si="132"/>
        <v>#N/A</v>
      </c>
      <c r="S865" t="e">
        <f t="shared" si="133"/>
        <v>#N/A</v>
      </c>
      <c r="T865" t="e">
        <f t="shared" si="134"/>
        <v>#N/A</v>
      </c>
      <c r="U865" t="e">
        <f t="shared" si="135"/>
        <v>#N/A</v>
      </c>
      <c r="V865" t="e">
        <f t="shared" si="136"/>
        <v>#N/A</v>
      </c>
      <c r="W865" t="e">
        <f t="shared" si="137"/>
        <v>#N/A</v>
      </c>
      <c r="X865">
        <f t="shared" si="138"/>
        <v>683000</v>
      </c>
      <c r="Y865">
        <f t="shared" si="139"/>
        <v>350</v>
      </c>
    </row>
    <row r="866" spans="1:25" x14ac:dyDescent="0.2">
      <c r="A866">
        <v>1864</v>
      </c>
      <c r="B866" t="s">
        <v>19</v>
      </c>
      <c r="C866" t="s">
        <v>15</v>
      </c>
      <c r="D866">
        <v>2022</v>
      </c>
      <c r="E866" t="s">
        <v>26</v>
      </c>
      <c r="F866">
        <v>166</v>
      </c>
      <c r="G866">
        <v>2</v>
      </c>
      <c r="H866">
        <v>2</v>
      </c>
      <c r="I866">
        <v>532000</v>
      </c>
      <c r="J866">
        <v>3204.8</v>
      </c>
      <c r="K866">
        <v>10</v>
      </c>
      <c r="L866" t="s">
        <v>17</v>
      </c>
      <c r="M866">
        <v>139</v>
      </c>
      <c r="N866" t="s">
        <v>21</v>
      </c>
      <c r="P866" t="e">
        <f t="shared" si="130"/>
        <v>#N/A</v>
      </c>
      <c r="Q866" t="e">
        <f t="shared" si="131"/>
        <v>#N/A</v>
      </c>
      <c r="R866">
        <f t="shared" si="132"/>
        <v>532000</v>
      </c>
      <c r="S866">
        <f t="shared" si="133"/>
        <v>166</v>
      </c>
      <c r="T866" t="e">
        <f t="shared" si="134"/>
        <v>#N/A</v>
      </c>
      <c r="U866" t="e">
        <f t="shared" si="135"/>
        <v>#N/A</v>
      </c>
      <c r="V866" t="e">
        <f t="shared" si="136"/>
        <v>#N/A</v>
      </c>
      <c r="W866" t="e">
        <f t="shared" si="137"/>
        <v>#N/A</v>
      </c>
      <c r="X866" t="e">
        <f t="shared" si="138"/>
        <v>#N/A</v>
      </c>
      <c r="Y866" t="e">
        <f t="shared" si="139"/>
        <v>#N/A</v>
      </c>
    </row>
    <row r="867" spans="1:25" x14ac:dyDescent="0.2">
      <c r="A867">
        <v>1865</v>
      </c>
      <c r="B867" t="s">
        <v>22</v>
      </c>
      <c r="C867" t="s">
        <v>36</v>
      </c>
      <c r="D867">
        <v>2023</v>
      </c>
      <c r="E867" t="s">
        <v>26</v>
      </c>
      <c r="F867">
        <v>407</v>
      </c>
      <c r="G867">
        <v>4</v>
      </c>
      <c r="H867">
        <v>4</v>
      </c>
      <c r="I867">
        <v>1171000</v>
      </c>
      <c r="J867">
        <v>2877.1</v>
      </c>
      <c r="K867">
        <v>7</v>
      </c>
      <c r="L867" t="s">
        <v>34</v>
      </c>
      <c r="M867">
        <v>8</v>
      </c>
      <c r="N867" t="s">
        <v>18</v>
      </c>
      <c r="P867" t="e">
        <f t="shared" si="130"/>
        <v>#N/A</v>
      </c>
      <c r="Q867" t="e">
        <f t="shared" si="131"/>
        <v>#N/A</v>
      </c>
      <c r="R867" t="e">
        <f t="shared" si="132"/>
        <v>#N/A</v>
      </c>
      <c r="S867" t="e">
        <f t="shared" si="133"/>
        <v>#N/A</v>
      </c>
      <c r="T867" t="e">
        <f t="shared" si="134"/>
        <v>#N/A</v>
      </c>
      <c r="U867" t="e">
        <f t="shared" si="135"/>
        <v>#N/A</v>
      </c>
      <c r="V867" t="e">
        <f t="shared" si="136"/>
        <v>#N/A</v>
      </c>
      <c r="W867" t="e">
        <f t="shared" si="137"/>
        <v>#N/A</v>
      </c>
      <c r="X867">
        <f t="shared" si="138"/>
        <v>1171000</v>
      </c>
      <c r="Y867">
        <f t="shared" si="139"/>
        <v>407</v>
      </c>
    </row>
    <row r="868" spans="1:25" x14ac:dyDescent="0.2">
      <c r="A868">
        <v>1866</v>
      </c>
      <c r="B868" t="s">
        <v>47</v>
      </c>
      <c r="C868" t="s">
        <v>15</v>
      </c>
      <c r="D868">
        <v>2021</v>
      </c>
      <c r="E868" t="s">
        <v>16</v>
      </c>
      <c r="F868">
        <v>111</v>
      </c>
      <c r="G868">
        <v>4</v>
      </c>
      <c r="H868">
        <v>4</v>
      </c>
      <c r="I868">
        <v>291000</v>
      </c>
      <c r="J868">
        <v>2621.6</v>
      </c>
      <c r="K868">
        <v>10</v>
      </c>
      <c r="L868" t="s">
        <v>17</v>
      </c>
      <c r="M868">
        <v>157</v>
      </c>
      <c r="N868" t="s">
        <v>21</v>
      </c>
      <c r="P868" t="e">
        <f t="shared" si="130"/>
        <v>#N/A</v>
      </c>
      <c r="Q868" t="e">
        <f t="shared" si="131"/>
        <v>#N/A</v>
      </c>
      <c r="R868">
        <f t="shared" si="132"/>
        <v>291000</v>
      </c>
      <c r="S868">
        <f t="shared" si="133"/>
        <v>111</v>
      </c>
      <c r="T868" t="e">
        <f t="shared" si="134"/>
        <v>#N/A</v>
      </c>
      <c r="U868" t="e">
        <f t="shared" si="135"/>
        <v>#N/A</v>
      </c>
      <c r="V868" t="e">
        <f t="shared" si="136"/>
        <v>#N/A</v>
      </c>
      <c r="W868" t="e">
        <f t="shared" si="137"/>
        <v>#N/A</v>
      </c>
      <c r="X868" t="e">
        <f t="shared" si="138"/>
        <v>#N/A</v>
      </c>
      <c r="Y868" t="e">
        <f t="shared" si="139"/>
        <v>#N/A</v>
      </c>
    </row>
    <row r="869" spans="1:25" x14ac:dyDescent="0.2">
      <c r="A869">
        <v>1867</v>
      </c>
      <c r="B869" t="s">
        <v>39</v>
      </c>
      <c r="C869" t="s">
        <v>29</v>
      </c>
      <c r="D869">
        <v>2024</v>
      </c>
      <c r="E869" t="s">
        <v>24</v>
      </c>
      <c r="F869">
        <v>405</v>
      </c>
      <c r="G869">
        <v>5</v>
      </c>
      <c r="H869">
        <v>5</v>
      </c>
      <c r="I869">
        <v>2583000</v>
      </c>
      <c r="J869">
        <v>6377.8</v>
      </c>
      <c r="K869">
        <v>2</v>
      </c>
      <c r="L869" t="s">
        <v>17</v>
      </c>
      <c r="M869">
        <v>17</v>
      </c>
      <c r="N869" t="s">
        <v>21</v>
      </c>
      <c r="P869">
        <f t="shared" si="130"/>
        <v>2583000</v>
      </c>
      <c r="Q869">
        <f t="shared" si="131"/>
        <v>405</v>
      </c>
      <c r="R869" t="e">
        <f t="shared" si="132"/>
        <v>#N/A</v>
      </c>
      <c r="S869" t="e">
        <f t="shared" si="133"/>
        <v>#N/A</v>
      </c>
      <c r="T869" t="e">
        <f t="shared" si="134"/>
        <v>#N/A</v>
      </c>
      <c r="U869" t="e">
        <f t="shared" si="135"/>
        <v>#N/A</v>
      </c>
      <c r="V869" t="e">
        <f t="shared" si="136"/>
        <v>#N/A</v>
      </c>
      <c r="W869" t="e">
        <f t="shared" si="137"/>
        <v>#N/A</v>
      </c>
      <c r="X869" t="e">
        <f t="shared" si="138"/>
        <v>#N/A</v>
      </c>
      <c r="Y869" t="e">
        <f t="shared" si="139"/>
        <v>#N/A</v>
      </c>
    </row>
    <row r="870" spans="1:25" x14ac:dyDescent="0.2">
      <c r="A870">
        <v>1868</v>
      </c>
      <c r="B870" t="s">
        <v>22</v>
      </c>
      <c r="C870" t="s">
        <v>23</v>
      </c>
      <c r="D870">
        <v>2024</v>
      </c>
      <c r="E870" t="s">
        <v>24</v>
      </c>
      <c r="F870">
        <v>276</v>
      </c>
      <c r="G870">
        <v>4</v>
      </c>
      <c r="H870">
        <v>4</v>
      </c>
      <c r="I870">
        <v>1297000</v>
      </c>
      <c r="J870">
        <v>4699.3</v>
      </c>
      <c r="K870">
        <v>20</v>
      </c>
      <c r="L870" t="s">
        <v>34</v>
      </c>
      <c r="M870">
        <v>175</v>
      </c>
      <c r="N870" t="s">
        <v>18</v>
      </c>
      <c r="P870" t="e">
        <f t="shared" si="130"/>
        <v>#N/A</v>
      </c>
      <c r="Q870" t="e">
        <f t="shared" si="131"/>
        <v>#N/A</v>
      </c>
      <c r="R870" t="e">
        <f t="shared" si="132"/>
        <v>#N/A</v>
      </c>
      <c r="S870" t="e">
        <f t="shared" si="133"/>
        <v>#N/A</v>
      </c>
      <c r="T870">
        <f t="shared" si="134"/>
        <v>1297000</v>
      </c>
      <c r="U870">
        <f t="shared" si="135"/>
        <v>276</v>
      </c>
      <c r="V870" t="e">
        <f t="shared" si="136"/>
        <v>#N/A</v>
      </c>
      <c r="W870" t="e">
        <f t="shared" si="137"/>
        <v>#N/A</v>
      </c>
      <c r="X870" t="e">
        <f t="shared" si="138"/>
        <v>#N/A</v>
      </c>
      <c r="Y870" t="e">
        <f t="shared" si="139"/>
        <v>#N/A</v>
      </c>
    </row>
    <row r="871" spans="1:25" x14ac:dyDescent="0.2">
      <c r="A871">
        <v>1869</v>
      </c>
      <c r="B871" t="s">
        <v>43</v>
      </c>
      <c r="C871" t="s">
        <v>15</v>
      </c>
      <c r="D871">
        <v>2023</v>
      </c>
      <c r="E871" t="s">
        <v>26</v>
      </c>
      <c r="F871">
        <v>141</v>
      </c>
      <c r="G871">
        <v>4</v>
      </c>
      <c r="H871">
        <v>4</v>
      </c>
      <c r="I871">
        <v>645000</v>
      </c>
      <c r="J871">
        <v>4574.5</v>
      </c>
      <c r="K871">
        <v>4</v>
      </c>
      <c r="L871" t="s">
        <v>17</v>
      </c>
      <c r="M871">
        <v>57</v>
      </c>
      <c r="N871" t="s">
        <v>27</v>
      </c>
      <c r="P871" t="e">
        <f t="shared" si="130"/>
        <v>#N/A</v>
      </c>
      <c r="Q871" t="e">
        <f t="shared" si="131"/>
        <v>#N/A</v>
      </c>
      <c r="R871">
        <f t="shared" si="132"/>
        <v>645000</v>
      </c>
      <c r="S871">
        <f t="shared" si="133"/>
        <v>141</v>
      </c>
      <c r="T871" t="e">
        <f t="shared" si="134"/>
        <v>#N/A</v>
      </c>
      <c r="U871" t="e">
        <f t="shared" si="135"/>
        <v>#N/A</v>
      </c>
      <c r="V871" t="e">
        <f t="shared" si="136"/>
        <v>#N/A</v>
      </c>
      <c r="W871" t="e">
        <f t="shared" si="137"/>
        <v>#N/A</v>
      </c>
      <c r="X871" t="e">
        <f t="shared" si="138"/>
        <v>#N/A</v>
      </c>
      <c r="Y871" t="e">
        <f t="shared" si="139"/>
        <v>#N/A</v>
      </c>
    </row>
    <row r="872" spans="1:25" x14ac:dyDescent="0.2">
      <c r="A872">
        <v>1870</v>
      </c>
      <c r="B872" t="s">
        <v>39</v>
      </c>
      <c r="C872" t="s">
        <v>23</v>
      </c>
      <c r="D872">
        <v>2024</v>
      </c>
      <c r="E872" t="s">
        <v>24</v>
      </c>
      <c r="F872">
        <v>229</v>
      </c>
      <c r="G872">
        <v>3</v>
      </c>
      <c r="H872">
        <v>3</v>
      </c>
      <c r="I872">
        <v>1162000</v>
      </c>
      <c r="J872">
        <v>5074.2</v>
      </c>
      <c r="K872">
        <v>15</v>
      </c>
      <c r="L872" t="s">
        <v>20</v>
      </c>
      <c r="M872">
        <v>154</v>
      </c>
      <c r="N872" t="s">
        <v>21</v>
      </c>
      <c r="P872" t="e">
        <f t="shared" si="130"/>
        <v>#N/A</v>
      </c>
      <c r="Q872" t="e">
        <f t="shared" si="131"/>
        <v>#N/A</v>
      </c>
      <c r="R872" t="e">
        <f t="shared" si="132"/>
        <v>#N/A</v>
      </c>
      <c r="S872" t="e">
        <f t="shared" si="133"/>
        <v>#N/A</v>
      </c>
      <c r="T872">
        <f t="shared" si="134"/>
        <v>1162000</v>
      </c>
      <c r="U872">
        <f t="shared" si="135"/>
        <v>229</v>
      </c>
      <c r="V872" t="e">
        <f t="shared" si="136"/>
        <v>#N/A</v>
      </c>
      <c r="W872" t="e">
        <f t="shared" si="137"/>
        <v>#N/A</v>
      </c>
      <c r="X872" t="e">
        <f t="shared" si="138"/>
        <v>#N/A</v>
      </c>
      <c r="Y872" t="e">
        <f t="shared" si="139"/>
        <v>#N/A</v>
      </c>
    </row>
    <row r="873" spans="1:25" x14ac:dyDescent="0.2">
      <c r="A873">
        <v>1871</v>
      </c>
      <c r="B873" t="s">
        <v>44</v>
      </c>
      <c r="C873" t="s">
        <v>15</v>
      </c>
      <c r="D873">
        <v>2024</v>
      </c>
      <c r="E873" t="s">
        <v>30</v>
      </c>
      <c r="F873">
        <v>201</v>
      </c>
      <c r="G873">
        <v>3</v>
      </c>
      <c r="H873">
        <v>3</v>
      </c>
      <c r="I873">
        <v>717000</v>
      </c>
      <c r="J873">
        <v>3567.2</v>
      </c>
      <c r="K873">
        <v>0</v>
      </c>
      <c r="L873" t="s">
        <v>17</v>
      </c>
      <c r="M873">
        <v>116</v>
      </c>
      <c r="N873" t="s">
        <v>18</v>
      </c>
      <c r="P873" t="e">
        <f t="shared" si="130"/>
        <v>#N/A</v>
      </c>
      <c r="Q873" t="e">
        <f t="shared" si="131"/>
        <v>#N/A</v>
      </c>
      <c r="R873">
        <f t="shared" si="132"/>
        <v>717000</v>
      </c>
      <c r="S873">
        <f t="shared" si="133"/>
        <v>201</v>
      </c>
      <c r="T873" t="e">
        <f t="shared" si="134"/>
        <v>#N/A</v>
      </c>
      <c r="U873" t="e">
        <f t="shared" si="135"/>
        <v>#N/A</v>
      </c>
      <c r="V873" t="e">
        <f t="shared" si="136"/>
        <v>#N/A</v>
      </c>
      <c r="W873" t="e">
        <f t="shared" si="137"/>
        <v>#N/A</v>
      </c>
      <c r="X873" t="e">
        <f t="shared" si="138"/>
        <v>#N/A</v>
      </c>
      <c r="Y873" t="e">
        <f t="shared" si="139"/>
        <v>#N/A</v>
      </c>
    </row>
    <row r="874" spans="1:25" x14ac:dyDescent="0.2">
      <c r="A874">
        <v>1872</v>
      </c>
      <c r="B874" t="s">
        <v>48</v>
      </c>
      <c r="C874" t="s">
        <v>15</v>
      </c>
      <c r="D874">
        <v>2022</v>
      </c>
      <c r="E874" t="s">
        <v>30</v>
      </c>
      <c r="F874">
        <v>138</v>
      </c>
      <c r="G874">
        <v>4</v>
      </c>
      <c r="H874">
        <v>4</v>
      </c>
      <c r="I874">
        <v>419000</v>
      </c>
      <c r="J874">
        <v>3036.2</v>
      </c>
      <c r="K874">
        <v>2</v>
      </c>
      <c r="L874" t="s">
        <v>17</v>
      </c>
      <c r="M874">
        <v>180</v>
      </c>
      <c r="N874" t="s">
        <v>27</v>
      </c>
      <c r="P874" t="e">
        <f t="shared" si="130"/>
        <v>#N/A</v>
      </c>
      <c r="Q874" t="e">
        <f t="shared" si="131"/>
        <v>#N/A</v>
      </c>
      <c r="R874">
        <f t="shared" si="132"/>
        <v>419000</v>
      </c>
      <c r="S874">
        <f t="shared" si="133"/>
        <v>138</v>
      </c>
      <c r="T874" t="e">
        <f t="shared" si="134"/>
        <v>#N/A</v>
      </c>
      <c r="U874" t="e">
        <f t="shared" si="135"/>
        <v>#N/A</v>
      </c>
      <c r="V874" t="e">
        <f t="shared" si="136"/>
        <v>#N/A</v>
      </c>
      <c r="W874" t="e">
        <f t="shared" si="137"/>
        <v>#N/A</v>
      </c>
      <c r="X874" t="e">
        <f t="shared" si="138"/>
        <v>#N/A</v>
      </c>
      <c r="Y874" t="e">
        <f t="shared" si="139"/>
        <v>#N/A</v>
      </c>
    </row>
    <row r="875" spans="1:25" x14ac:dyDescent="0.2">
      <c r="A875">
        <v>1873</v>
      </c>
      <c r="B875" t="s">
        <v>43</v>
      </c>
      <c r="C875" t="s">
        <v>15</v>
      </c>
      <c r="D875">
        <v>2024</v>
      </c>
      <c r="E875" t="s">
        <v>30</v>
      </c>
      <c r="F875">
        <v>116</v>
      </c>
      <c r="G875">
        <v>3</v>
      </c>
      <c r="H875">
        <v>3</v>
      </c>
      <c r="I875">
        <v>532000</v>
      </c>
      <c r="J875">
        <v>4586.2</v>
      </c>
      <c r="K875">
        <v>1</v>
      </c>
      <c r="L875" t="s">
        <v>17</v>
      </c>
      <c r="M875">
        <v>116</v>
      </c>
      <c r="N875" t="s">
        <v>27</v>
      </c>
      <c r="P875" t="e">
        <f t="shared" si="130"/>
        <v>#N/A</v>
      </c>
      <c r="Q875" t="e">
        <f t="shared" si="131"/>
        <v>#N/A</v>
      </c>
      <c r="R875">
        <f t="shared" si="132"/>
        <v>532000</v>
      </c>
      <c r="S875">
        <f t="shared" si="133"/>
        <v>116</v>
      </c>
      <c r="T875" t="e">
        <f t="shared" si="134"/>
        <v>#N/A</v>
      </c>
      <c r="U875" t="e">
        <f t="shared" si="135"/>
        <v>#N/A</v>
      </c>
      <c r="V875" t="e">
        <f t="shared" si="136"/>
        <v>#N/A</v>
      </c>
      <c r="W875" t="e">
        <f t="shared" si="137"/>
        <v>#N/A</v>
      </c>
      <c r="X875" t="e">
        <f t="shared" si="138"/>
        <v>#N/A</v>
      </c>
      <c r="Y875" t="e">
        <f t="shared" si="139"/>
        <v>#N/A</v>
      </c>
    </row>
    <row r="876" spans="1:25" x14ac:dyDescent="0.2">
      <c r="A876">
        <v>1874</v>
      </c>
      <c r="B876" t="s">
        <v>32</v>
      </c>
      <c r="C876" t="s">
        <v>29</v>
      </c>
      <c r="D876">
        <v>2024</v>
      </c>
      <c r="E876" t="s">
        <v>30</v>
      </c>
      <c r="F876">
        <v>571</v>
      </c>
      <c r="G876">
        <v>6</v>
      </c>
      <c r="H876">
        <v>6</v>
      </c>
      <c r="I876">
        <v>2576000</v>
      </c>
      <c r="J876">
        <v>4511.3999999999996</v>
      </c>
      <c r="K876">
        <v>0</v>
      </c>
      <c r="L876" t="s">
        <v>34</v>
      </c>
      <c r="M876">
        <v>172</v>
      </c>
      <c r="N876" t="s">
        <v>18</v>
      </c>
      <c r="P876">
        <f t="shared" si="130"/>
        <v>2576000</v>
      </c>
      <c r="Q876">
        <f t="shared" si="131"/>
        <v>571</v>
      </c>
      <c r="R876" t="e">
        <f t="shared" si="132"/>
        <v>#N/A</v>
      </c>
      <c r="S876" t="e">
        <f t="shared" si="133"/>
        <v>#N/A</v>
      </c>
      <c r="T876" t="e">
        <f t="shared" si="134"/>
        <v>#N/A</v>
      </c>
      <c r="U876" t="e">
        <f t="shared" si="135"/>
        <v>#N/A</v>
      </c>
      <c r="V876" t="e">
        <f t="shared" si="136"/>
        <v>#N/A</v>
      </c>
      <c r="W876" t="e">
        <f t="shared" si="137"/>
        <v>#N/A</v>
      </c>
      <c r="X876" t="e">
        <f t="shared" si="138"/>
        <v>#N/A</v>
      </c>
      <c r="Y876" t="e">
        <f t="shared" si="139"/>
        <v>#N/A</v>
      </c>
    </row>
    <row r="877" spans="1:25" x14ac:dyDescent="0.2">
      <c r="A877">
        <v>1875</v>
      </c>
      <c r="B877" t="s">
        <v>42</v>
      </c>
      <c r="C877" t="s">
        <v>15</v>
      </c>
      <c r="D877">
        <v>2022</v>
      </c>
      <c r="E877" t="s">
        <v>30</v>
      </c>
      <c r="F877">
        <v>191</v>
      </c>
      <c r="G877">
        <v>3</v>
      </c>
      <c r="H877">
        <v>3</v>
      </c>
      <c r="I877">
        <v>806000</v>
      </c>
      <c r="J877">
        <v>4219.8999999999996</v>
      </c>
      <c r="K877">
        <v>0</v>
      </c>
      <c r="L877" t="s">
        <v>34</v>
      </c>
      <c r="M877">
        <v>82</v>
      </c>
      <c r="N877" t="s">
        <v>21</v>
      </c>
      <c r="P877" t="e">
        <f t="shared" si="130"/>
        <v>#N/A</v>
      </c>
      <c r="Q877" t="e">
        <f t="shared" si="131"/>
        <v>#N/A</v>
      </c>
      <c r="R877">
        <f t="shared" si="132"/>
        <v>806000</v>
      </c>
      <c r="S877">
        <f t="shared" si="133"/>
        <v>191</v>
      </c>
      <c r="T877" t="e">
        <f t="shared" si="134"/>
        <v>#N/A</v>
      </c>
      <c r="U877" t="e">
        <f t="shared" si="135"/>
        <v>#N/A</v>
      </c>
      <c r="V877" t="e">
        <f t="shared" si="136"/>
        <v>#N/A</v>
      </c>
      <c r="W877" t="e">
        <f t="shared" si="137"/>
        <v>#N/A</v>
      </c>
      <c r="X877" t="e">
        <f t="shared" si="138"/>
        <v>#N/A</v>
      </c>
      <c r="Y877" t="e">
        <f t="shared" si="139"/>
        <v>#N/A</v>
      </c>
    </row>
    <row r="878" spans="1:25" x14ac:dyDescent="0.2">
      <c r="A878">
        <v>1876</v>
      </c>
      <c r="B878" t="s">
        <v>42</v>
      </c>
      <c r="C878" t="s">
        <v>29</v>
      </c>
      <c r="D878">
        <v>2023</v>
      </c>
      <c r="E878" t="s">
        <v>16</v>
      </c>
      <c r="F878">
        <v>431</v>
      </c>
      <c r="G878">
        <v>6</v>
      </c>
      <c r="H878">
        <v>6</v>
      </c>
      <c r="I878">
        <v>2967000</v>
      </c>
      <c r="J878">
        <v>6884</v>
      </c>
      <c r="K878">
        <v>20</v>
      </c>
      <c r="L878" t="s">
        <v>20</v>
      </c>
      <c r="M878">
        <v>36</v>
      </c>
      <c r="N878" t="s">
        <v>21</v>
      </c>
      <c r="P878">
        <f t="shared" si="130"/>
        <v>2967000</v>
      </c>
      <c r="Q878">
        <f t="shared" si="131"/>
        <v>431</v>
      </c>
      <c r="R878" t="e">
        <f t="shared" si="132"/>
        <v>#N/A</v>
      </c>
      <c r="S878" t="e">
        <f t="shared" si="133"/>
        <v>#N/A</v>
      </c>
      <c r="T878" t="e">
        <f t="shared" si="134"/>
        <v>#N/A</v>
      </c>
      <c r="U878" t="e">
        <f t="shared" si="135"/>
        <v>#N/A</v>
      </c>
      <c r="V878" t="e">
        <f t="shared" si="136"/>
        <v>#N/A</v>
      </c>
      <c r="W878" t="e">
        <f t="shared" si="137"/>
        <v>#N/A</v>
      </c>
      <c r="X878" t="e">
        <f t="shared" si="138"/>
        <v>#N/A</v>
      </c>
      <c r="Y878" t="e">
        <f t="shared" si="139"/>
        <v>#N/A</v>
      </c>
    </row>
    <row r="879" spans="1:25" x14ac:dyDescent="0.2">
      <c r="A879">
        <v>1877</v>
      </c>
      <c r="B879" t="s">
        <v>42</v>
      </c>
      <c r="C879" t="s">
        <v>29</v>
      </c>
      <c r="D879">
        <v>2022</v>
      </c>
      <c r="E879" t="s">
        <v>26</v>
      </c>
      <c r="F879">
        <v>279</v>
      </c>
      <c r="G879">
        <v>4</v>
      </c>
      <c r="H879">
        <v>4</v>
      </c>
      <c r="I879">
        <v>1961000</v>
      </c>
      <c r="J879">
        <v>7028.7</v>
      </c>
      <c r="K879">
        <v>10</v>
      </c>
      <c r="L879" t="s">
        <v>17</v>
      </c>
      <c r="M879">
        <v>15</v>
      </c>
      <c r="N879" t="s">
        <v>21</v>
      </c>
      <c r="P879">
        <f t="shared" si="130"/>
        <v>1961000</v>
      </c>
      <c r="Q879">
        <f t="shared" si="131"/>
        <v>279</v>
      </c>
      <c r="R879" t="e">
        <f t="shared" si="132"/>
        <v>#N/A</v>
      </c>
      <c r="S879" t="e">
        <f t="shared" si="133"/>
        <v>#N/A</v>
      </c>
      <c r="T879" t="e">
        <f t="shared" si="134"/>
        <v>#N/A</v>
      </c>
      <c r="U879" t="e">
        <f t="shared" si="135"/>
        <v>#N/A</v>
      </c>
      <c r="V879" t="e">
        <f t="shared" si="136"/>
        <v>#N/A</v>
      </c>
      <c r="W879" t="e">
        <f t="shared" si="137"/>
        <v>#N/A</v>
      </c>
      <c r="X879" t="e">
        <f t="shared" si="138"/>
        <v>#N/A</v>
      </c>
      <c r="Y879" t="e">
        <f t="shared" si="139"/>
        <v>#N/A</v>
      </c>
    </row>
    <row r="880" spans="1:25" x14ac:dyDescent="0.2">
      <c r="A880">
        <v>1878</v>
      </c>
      <c r="B880" t="s">
        <v>33</v>
      </c>
      <c r="C880" t="s">
        <v>29</v>
      </c>
      <c r="D880">
        <v>2023</v>
      </c>
      <c r="E880" t="s">
        <v>24</v>
      </c>
      <c r="F880">
        <v>383</v>
      </c>
      <c r="G880">
        <v>6</v>
      </c>
      <c r="H880">
        <v>6</v>
      </c>
      <c r="I880">
        <v>1673000</v>
      </c>
      <c r="J880">
        <v>4368.1000000000004</v>
      </c>
      <c r="K880">
        <v>4</v>
      </c>
      <c r="L880" t="s">
        <v>17</v>
      </c>
      <c r="M880">
        <v>143</v>
      </c>
      <c r="N880" t="s">
        <v>27</v>
      </c>
      <c r="P880">
        <f t="shared" si="130"/>
        <v>1673000</v>
      </c>
      <c r="Q880">
        <f t="shared" si="131"/>
        <v>383</v>
      </c>
      <c r="R880" t="e">
        <f t="shared" si="132"/>
        <v>#N/A</v>
      </c>
      <c r="S880" t="e">
        <f t="shared" si="133"/>
        <v>#N/A</v>
      </c>
      <c r="T880" t="e">
        <f t="shared" si="134"/>
        <v>#N/A</v>
      </c>
      <c r="U880" t="e">
        <f t="shared" si="135"/>
        <v>#N/A</v>
      </c>
      <c r="V880" t="e">
        <f t="shared" si="136"/>
        <v>#N/A</v>
      </c>
      <c r="W880" t="e">
        <f t="shared" si="137"/>
        <v>#N/A</v>
      </c>
      <c r="X880" t="e">
        <f t="shared" si="138"/>
        <v>#N/A</v>
      </c>
      <c r="Y880" t="e">
        <f t="shared" si="139"/>
        <v>#N/A</v>
      </c>
    </row>
    <row r="881" spans="1:25" x14ac:dyDescent="0.2">
      <c r="A881">
        <v>1879</v>
      </c>
      <c r="B881" t="s">
        <v>42</v>
      </c>
      <c r="C881" t="s">
        <v>15</v>
      </c>
      <c r="D881">
        <v>2021</v>
      </c>
      <c r="E881" t="s">
        <v>26</v>
      </c>
      <c r="F881">
        <v>97</v>
      </c>
      <c r="G881">
        <v>3</v>
      </c>
      <c r="H881">
        <v>3</v>
      </c>
      <c r="I881">
        <v>409000</v>
      </c>
      <c r="J881">
        <v>4216.5</v>
      </c>
      <c r="K881">
        <v>1</v>
      </c>
      <c r="L881" t="s">
        <v>34</v>
      </c>
      <c r="M881">
        <v>76</v>
      </c>
      <c r="N881" t="s">
        <v>21</v>
      </c>
      <c r="P881" t="e">
        <f t="shared" si="130"/>
        <v>#N/A</v>
      </c>
      <c r="Q881" t="e">
        <f t="shared" si="131"/>
        <v>#N/A</v>
      </c>
      <c r="R881">
        <f t="shared" si="132"/>
        <v>409000</v>
      </c>
      <c r="S881">
        <f t="shared" si="133"/>
        <v>97</v>
      </c>
      <c r="T881" t="e">
        <f t="shared" si="134"/>
        <v>#N/A</v>
      </c>
      <c r="U881" t="e">
        <f t="shared" si="135"/>
        <v>#N/A</v>
      </c>
      <c r="V881" t="e">
        <f t="shared" si="136"/>
        <v>#N/A</v>
      </c>
      <c r="W881" t="e">
        <f t="shared" si="137"/>
        <v>#N/A</v>
      </c>
      <c r="X881" t="e">
        <f t="shared" si="138"/>
        <v>#N/A</v>
      </c>
      <c r="Y881" t="e">
        <f t="shared" si="139"/>
        <v>#N/A</v>
      </c>
    </row>
    <row r="882" spans="1:25" x14ac:dyDescent="0.2">
      <c r="A882">
        <v>1880</v>
      </c>
      <c r="B882" t="s">
        <v>31</v>
      </c>
      <c r="C882" t="s">
        <v>23</v>
      </c>
      <c r="D882">
        <v>2024</v>
      </c>
      <c r="E882" t="s">
        <v>16</v>
      </c>
      <c r="F882">
        <v>306</v>
      </c>
      <c r="G882">
        <v>4</v>
      </c>
      <c r="H882">
        <v>4</v>
      </c>
      <c r="I882">
        <v>1087000</v>
      </c>
      <c r="J882">
        <v>3552.3</v>
      </c>
      <c r="K882">
        <v>5</v>
      </c>
      <c r="L882" t="s">
        <v>20</v>
      </c>
      <c r="M882">
        <v>147</v>
      </c>
      <c r="N882" t="s">
        <v>21</v>
      </c>
      <c r="P882" t="e">
        <f t="shared" si="130"/>
        <v>#N/A</v>
      </c>
      <c r="Q882" t="e">
        <f t="shared" si="131"/>
        <v>#N/A</v>
      </c>
      <c r="R882" t="e">
        <f t="shared" si="132"/>
        <v>#N/A</v>
      </c>
      <c r="S882" t="e">
        <f t="shared" si="133"/>
        <v>#N/A</v>
      </c>
      <c r="T882">
        <f t="shared" si="134"/>
        <v>1087000</v>
      </c>
      <c r="U882">
        <f t="shared" si="135"/>
        <v>306</v>
      </c>
      <c r="V882" t="e">
        <f t="shared" si="136"/>
        <v>#N/A</v>
      </c>
      <c r="W882" t="e">
        <f t="shared" si="137"/>
        <v>#N/A</v>
      </c>
      <c r="X882" t="e">
        <f t="shared" si="138"/>
        <v>#N/A</v>
      </c>
      <c r="Y882" t="e">
        <f t="shared" si="139"/>
        <v>#N/A</v>
      </c>
    </row>
    <row r="883" spans="1:25" x14ac:dyDescent="0.2">
      <c r="A883">
        <v>1881</v>
      </c>
      <c r="B883" t="s">
        <v>41</v>
      </c>
      <c r="C883" t="s">
        <v>15</v>
      </c>
      <c r="D883">
        <v>2023</v>
      </c>
      <c r="E883" t="s">
        <v>30</v>
      </c>
      <c r="F883">
        <v>129</v>
      </c>
      <c r="G883">
        <v>4</v>
      </c>
      <c r="H883">
        <v>4</v>
      </c>
      <c r="I883">
        <v>632000</v>
      </c>
      <c r="J883">
        <v>4899.2</v>
      </c>
      <c r="K883">
        <v>2</v>
      </c>
      <c r="L883" t="s">
        <v>34</v>
      </c>
      <c r="M883">
        <v>77</v>
      </c>
      <c r="N883" t="s">
        <v>21</v>
      </c>
      <c r="P883" t="e">
        <f t="shared" si="130"/>
        <v>#N/A</v>
      </c>
      <c r="Q883" t="e">
        <f t="shared" si="131"/>
        <v>#N/A</v>
      </c>
      <c r="R883">
        <f t="shared" si="132"/>
        <v>632000</v>
      </c>
      <c r="S883">
        <f t="shared" si="133"/>
        <v>129</v>
      </c>
      <c r="T883" t="e">
        <f t="shared" si="134"/>
        <v>#N/A</v>
      </c>
      <c r="U883" t="e">
        <f t="shared" si="135"/>
        <v>#N/A</v>
      </c>
      <c r="V883" t="e">
        <f t="shared" si="136"/>
        <v>#N/A</v>
      </c>
      <c r="W883" t="e">
        <f t="shared" si="137"/>
        <v>#N/A</v>
      </c>
      <c r="X883" t="e">
        <f t="shared" si="138"/>
        <v>#N/A</v>
      </c>
      <c r="Y883" t="e">
        <f t="shared" si="139"/>
        <v>#N/A</v>
      </c>
    </row>
    <row r="884" spans="1:25" x14ac:dyDescent="0.2">
      <c r="A884">
        <v>1882</v>
      </c>
      <c r="B884" t="s">
        <v>32</v>
      </c>
      <c r="C884" t="s">
        <v>15</v>
      </c>
      <c r="D884">
        <v>2022</v>
      </c>
      <c r="E884" t="s">
        <v>26</v>
      </c>
      <c r="F884">
        <v>144</v>
      </c>
      <c r="G884">
        <v>4</v>
      </c>
      <c r="H884">
        <v>4</v>
      </c>
      <c r="I884">
        <v>388000</v>
      </c>
      <c r="J884">
        <v>2694.4</v>
      </c>
      <c r="K884">
        <v>5</v>
      </c>
      <c r="L884" t="s">
        <v>17</v>
      </c>
      <c r="M884">
        <v>69</v>
      </c>
      <c r="N884" t="s">
        <v>18</v>
      </c>
      <c r="P884" t="e">
        <f t="shared" si="130"/>
        <v>#N/A</v>
      </c>
      <c r="Q884" t="e">
        <f t="shared" si="131"/>
        <v>#N/A</v>
      </c>
      <c r="R884">
        <f t="shared" si="132"/>
        <v>388000</v>
      </c>
      <c r="S884">
        <f t="shared" si="133"/>
        <v>144</v>
      </c>
      <c r="T884" t="e">
        <f t="shared" si="134"/>
        <v>#N/A</v>
      </c>
      <c r="U884" t="e">
        <f t="shared" si="135"/>
        <v>#N/A</v>
      </c>
      <c r="V884" t="e">
        <f t="shared" si="136"/>
        <v>#N/A</v>
      </c>
      <c r="W884" t="e">
        <f t="shared" si="137"/>
        <v>#N/A</v>
      </c>
      <c r="X884" t="e">
        <f t="shared" si="138"/>
        <v>#N/A</v>
      </c>
      <c r="Y884" t="e">
        <f t="shared" si="139"/>
        <v>#N/A</v>
      </c>
    </row>
    <row r="885" spans="1:25" x14ac:dyDescent="0.2">
      <c r="A885">
        <v>1883</v>
      </c>
      <c r="B885" t="s">
        <v>42</v>
      </c>
      <c r="C885" t="s">
        <v>29</v>
      </c>
      <c r="D885">
        <v>2021</v>
      </c>
      <c r="E885" t="s">
        <v>30</v>
      </c>
      <c r="F885">
        <v>562</v>
      </c>
      <c r="G885">
        <v>4</v>
      </c>
      <c r="H885">
        <v>4</v>
      </c>
      <c r="I885">
        <v>3542000</v>
      </c>
      <c r="J885">
        <v>6302.5</v>
      </c>
      <c r="K885">
        <v>20</v>
      </c>
      <c r="L885" t="s">
        <v>20</v>
      </c>
      <c r="M885">
        <v>135</v>
      </c>
      <c r="N885" t="s">
        <v>21</v>
      </c>
      <c r="P885">
        <f t="shared" si="130"/>
        <v>3542000</v>
      </c>
      <c r="Q885">
        <f t="shared" si="131"/>
        <v>562</v>
      </c>
      <c r="R885" t="e">
        <f t="shared" si="132"/>
        <v>#N/A</v>
      </c>
      <c r="S885" t="e">
        <f t="shared" si="133"/>
        <v>#N/A</v>
      </c>
      <c r="T885" t="e">
        <f t="shared" si="134"/>
        <v>#N/A</v>
      </c>
      <c r="U885" t="e">
        <f t="shared" si="135"/>
        <v>#N/A</v>
      </c>
      <c r="V885" t="e">
        <f t="shared" si="136"/>
        <v>#N/A</v>
      </c>
      <c r="W885" t="e">
        <f t="shared" si="137"/>
        <v>#N/A</v>
      </c>
      <c r="X885" t="e">
        <f t="shared" si="138"/>
        <v>#N/A</v>
      </c>
      <c r="Y885" t="e">
        <f t="shared" si="139"/>
        <v>#N/A</v>
      </c>
    </row>
    <row r="886" spans="1:25" x14ac:dyDescent="0.2">
      <c r="A886">
        <v>1884</v>
      </c>
      <c r="B886" t="s">
        <v>25</v>
      </c>
      <c r="C886" t="s">
        <v>36</v>
      </c>
      <c r="D886">
        <v>2021</v>
      </c>
      <c r="E886" t="s">
        <v>26</v>
      </c>
      <c r="F886">
        <v>314</v>
      </c>
      <c r="G886">
        <v>3</v>
      </c>
      <c r="H886">
        <v>3</v>
      </c>
      <c r="I886">
        <v>555000</v>
      </c>
      <c r="J886">
        <v>1767.5</v>
      </c>
      <c r="K886">
        <v>1</v>
      </c>
      <c r="L886" t="s">
        <v>17</v>
      </c>
      <c r="M886">
        <v>69</v>
      </c>
      <c r="N886" t="s">
        <v>27</v>
      </c>
      <c r="P886" t="e">
        <f t="shared" si="130"/>
        <v>#N/A</v>
      </c>
      <c r="Q886" t="e">
        <f t="shared" si="131"/>
        <v>#N/A</v>
      </c>
      <c r="R886" t="e">
        <f t="shared" si="132"/>
        <v>#N/A</v>
      </c>
      <c r="S886" t="e">
        <f t="shared" si="133"/>
        <v>#N/A</v>
      </c>
      <c r="T886" t="e">
        <f t="shared" si="134"/>
        <v>#N/A</v>
      </c>
      <c r="U886" t="e">
        <f t="shared" si="135"/>
        <v>#N/A</v>
      </c>
      <c r="V886" t="e">
        <f t="shared" si="136"/>
        <v>#N/A</v>
      </c>
      <c r="W886" t="e">
        <f t="shared" si="137"/>
        <v>#N/A</v>
      </c>
      <c r="X886">
        <f t="shared" si="138"/>
        <v>555000</v>
      </c>
      <c r="Y886">
        <f t="shared" si="139"/>
        <v>314</v>
      </c>
    </row>
    <row r="887" spans="1:25" x14ac:dyDescent="0.2">
      <c r="A887">
        <v>1885</v>
      </c>
      <c r="B887" t="s">
        <v>40</v>
      </c>
      <c r="C887" t="s">
        <v>38</v>
      </c>
      <c r="D887">
        <v>2021</v>
      </c>
      <c r="E887" t="s">
        <v>24</v>
      </c>
      <c r="F887">
        <v>60</v>
      </c>
      <c r="G887">
        <v>0</v>
      </c>
      <c r="H887">
        <v>1</v>
      </c>
      <c r="I887">
        <v>227000</v>
      </c>
      <c r="J887">
        <v>3783.3</v>
      </c>
      <c r="K887">
        <v>20</v>
      </c>
      <c r="L887" t="s">
        <v>34</v>
      </c>
      <c r="M887">
        <v>92</v>
      </c>
      <c r="N887" t="s">
        <v>18</v>
      </c>
      <c r="P887" t="e">
        <f t="shared" si="130"/>
        <v>#N/A</v>
      </c>
      <c r="Q887" t="e">
        <f t="shared" si="131"/>
        <v>#N/A</v>
      </c>
      <c r="R887" t="e">
        <f t="shared" si="132"/>
        <v>#N/A</v>
      </c>
      <c r="S887" t="e">
        <f t="shared" si="133"/>
        <v>#N/A</v>
      </c>
      <c r="T887" t="e">
        <f t="shared" si="134"/>
        <v>#N/A</v>
      </c>
      <c r="U887" t="e">
        <f t="shared" si="135"/>
        <v>#N/A</v>
      </c>
      <c r="V887">
        <f t="shared" si="136"/>
        <v>227000</v>
      </c>
      <c r="W887">
        <f t="shared" si="137"/>
        <v>60</v>
      </c>
      <c r="X887" t="e">
        <f t="shared" si="138"/>
        <v>#N/A</v>
      </c>
      <c r="Y887" t="e">
        <f t="shared" si="139"/>
        <v>#N/A</v>
      </c>
    </row>
    <row r="888" spans="1:25" x14ac:dyDescent="0.2">
      <c r="A888">
        <v>1886</v>
      </c>
      <c r="B888" t="s">
        <v>35</v>
      </c>
      <c r="C888" t="s">
        <v>38</v>
      </c>
      <c r="D888">
        <v>2023</v>
      </c>
      <c r="E888" t="s">
        <v>24</v>
      </c>
      <c r="F888">
        <v>63</v>
      </c>
      <c r="G888">
        <v>0</v>
      </c>
      <c r="H888">
        <v>1</v>
      </c>
      <c r="I888">
        <v>326000</v>
      </c>
      <c r="J888">
        <v>5174.6000000000004</v>
      </c>
      <c r="K888">
        <v>0</v>
      </c>
      <c r="L888" t="s">
        <v>20</v>
      </c>
      <c r="M888">
        <v>143</v>
      </c>
      <c r="N888" t="s">
        <v>18</v>
      </c>
      <c r="P888" t="e">
        <f t="shared" si="130"/>
        <v>#N/A</v>
      </c>
      <c r="Q888" t="e">
        <f t="shared" si="131"/>
        <v>#N/A</v>
      </c>
      <c r="R888" t="e">
        <f t="shared" si="132"/>
        <v>#N/A</v>
      </c>
      <c r="S888" t="e">
        <f t="shared" si="133"/>
        <v>#N/A</v>
      </c>
      <c r="T888" t="e">
        <f t="shared" si="134"/>
        <v>#N/A</v>
      </c>
      <c r="U888" t="e">
        <f t="shared" si="135"/>
        <v>#N/A</v>
      </c>
      <c r="V888">
        <f t="shared" si="136"/>
        <v>326000</v>
      </c>
      <c r="W888">
        <f t="shared" si="137"/>
        <v>63</v>
      </c>
      <c r="X888" t="e">
        <f t="shared" si="138"/>
        <v>#N/A</v>
      </c>
      <c r="Y888" t="e">
        <f t="shared" si="139"/>
        <v>#N/A</v>
      </c>
    </row>
    <row r="889" spans="1:25" x14ac:dyDescent="0.2">
      <c r="A889">
        <v>1887</v>
      </c>
      <c r="B889" t="s">
        <v>37</v>
      </c>
      <c r="C889" t="s">
        <v>38</v>
      </c>
      <c r="D889">
        <v>2023</v>
      </c>
      <c r="E889" t="s">
        <v>24</v>
      </c>
      <c r="F889">
        <v>67</v>
      </c>
      <c r="G889">
        <v>0</v>
      </c>
      <c r="H889">
        <v>1</v>
      </c>
      <c r="I889">
        <v>357000</v>
      </c>
      <c r="J889">
        <v>5328.4</v>
      </c>
      <c r="K889">
        <v>20</v>
      </c>
      <c r="L889" t="s">
        <v>20</v>
      </c>
      <c r="M889">
        <v>116</v>
      </c>
      <c r="N889" t="s">
        <v>27</v>
      </c>
      <c r="P889" t="e">
        <f t="shared" si="130"/>
        <v>#N/A</v>
      </c>
      <c r="Q889" t="e">
        <f t="shared" si="131"/>
        <v>#N/A</v>
      </c>
      <c r="R889" t="e">
        <f t="shared" si="132"/>
        <v>#N/A</v>
      </c>
      <c r="S889" t="e">
        <f t="shared" si="133"/>
        <v>#N/A</v>
      </c>
      <c r="T889" t="e">
        <f t="shared" si="134"/>
        <v>#N/A</v>
      </c>
      <c r="U889" t="e">
        <f t="shared" si="135"/>
        <v>#N/A</v>
      </c>
      <c r="V889">
        <f t="shared" si="136"/>
        <v>357000</v>
      </c>
      <c r="W889">
        <f t="shared" si="137"/>
        <v>67</v>
      </c>
      <c r="X889" t="e">
        <f t="shared" si="138"/>
        <v>#N/A</v>
      </c>
      <c r="Y889" t="e">
        <f t="shared" si="139"/>
        <v>#N/A</v>
      </c>
    </row>
    <row r="890" spans="1:25" x14ac:dyDescent="0.2">
      <c r="A890">
        <v>1888</v>
      </c>
      <c r="B890" t="s">
        <v>19</v>
      </c>
      <c r="C890" t="s">
        <v>38</v>
      </c>
      <c r="D890">
        <v>2024</v>
      </c>
      <c r="E890" t="s">
        <v>16</v>
      </c>
      <c r="F890">
        <v>54</v>
      </c>
      <c r="G890">
        <v>0</v>
      </c>
      <c r="H890">
        <v>1</v>
      </c>
      <c r="I890">
        <v>241000</v>
      </c>
      <c r="J890">
        <v>4463</v>
      </c>
      <c r="K890">
        <v>4</v>
      </c>
      <c r="L890" t="s">
        <v>17</v>
      </c>
      <c r="M890">
        <v>18</v>
      </c>
      <c r="N890" t="s">
        <v>21</v>
      </c>
      <c r="P890" t="e">
        <f t="shared" si="130"/>
        <v>#N/A</v>
      </c>
      <c r="Q890" t="e">
        <f t="shared" si="131"/>
        <v>#N/A</v>
      </c>
      <c r="R890" t="e">
        <f t="shared" si="132"/>
        <v>#N/A</v>
      </c>
      <c r="S890" t="e">
        <f t="shared" si="133"/>
        <v>#N/A</v>
      </c>
      <c r="T890" t="e">
        <f t="shared" si="134"/>
        <v>#N/A</v>
      </c>
      <c r="U890" t="e">
        <f t="shared" si="135"/>
        <v>#N/A</v>
      </c>
      <c r="V890">
        <f t="shared" si="136"/>
        <v>241000</v>
      </c>
      <c r="W890">
        <f t="shared" si="137"/>
        <v>54</v>
      </c>
      <c r="X890" t="e">
        <f t="shared" si="138"/>
        <v>#N/A</v>
      </c>
      <c r="Y890" t="e">
        <f t="shared" si="139"/>
        <v>#N/A</v>
      </c>
    </row>
    <row r="891" spans="1:25" x14ac:dyDescent="0.2">
      <c r="A891">
        <v>1889</v>
      </c>
      <c r="B891" t="s">
        <v>45</v>
      </c>
      <c r="C891" t="s">
        <v>29</v>
      </c>
      <c r="D891">
        <v>2024</v>
      </c>
      <c r="E891" t="s">
        <v>24</v>
      </c>
      <c r="F891">
        <v>404</v>
      </c>
      <c r="G891">
        <v>5</v>
      </c>
      <c r="H891">
        <v>5</v>
      </c>
      <c r="I891">
        <v>2583000</v>
      </c>
      <c r="J891">
        <v>6393.6</v>
      </c>
      <c r="K891">
        <v>0</v>
      </c>
      <c r="L891" t="s">
        <v>17</v>
      </c>
      <c r="M891">
        <v>114</v>
      </c>
      <c r="N891" t="s">
        <v>21</v>
      </c>
      <c r="P891">
        <f t="shared" si="130"/>
        <v>2583000</v>
      </c>
      <c r="Q891">
        <f t="shared" si="131"/>
        <v>404</v>
      </c>
      <c r="R891" t="e">
        <f t="shared" si="132"/>
        <v>#N/A</v>
      </c>
      <c r="S891" t="e">
        <f t="shared" si="133"/>
        <v>#N/A</v>
      </c>
      <c r="T891" t="e">
        <f t="shared" si="134"/>
        <v>#N/A</v>
      </c>
      <c r="U891" t="e">
        <f t="shared" si="135"/>
        <v>#N/A</v>
      </c>
      <c r="V891" t="e">
        <f t="shared" si="136"/>
        <v>#N/A</v>
      </c>
      <c r="W891" t="e">
        <f t="shared" si="137"/>
        <v>#N/A</v>
      </c>
      <c r="X891" t="e">
        <f t="shared" si="138"/>
        <v>#N/A</v>
      </c>
      <c r="Y891" t="e">
        <f t="shared" si="139"/>
        <v>#N/A</v>
      </c>
    </row>
    <row r="892" spans="1:25" x14ac:dyDescent="0.2">
      <c r="A892">
        <v>1890</v>
      </c>
      <c r="B892" t="s">
        <v>33</v>
      </c>
      <c r="C892" t="s">
        <v>15</v>
      </c>
      <c r="D892">
        <v>2021</v>
      </c>
      <c r="E892" t="s">
        <v>26</v>
      </c>
      <c r="F892">
        <v>138</v>
      </c>
      <c r="G892">
        <v>2</v>
      </c>
      <c r="H892">
        <v>2</v>
      </c>
      <c r="I892">
        <v>308000</v>
      </c>
      <c r="J892">
        <v>2231.9</v>
      </c>
      <c r="K892">
        <v>7</v>
      </c>
      <c r="L892" t="s">
        <v>17</v>
      </c>
      <c r="M892">
        <v>44</v>
      </c>
      <c r="N892" t="s">
        <v>27</v>
      </c>
      <c r="P892" t="e">
        <f t="shared" si="130"/>
        <v>#N/A</v>
      </c>
      <c r="Q892" t="e">
        <f t="shared" si="131"/>
        <v>#N/A</v>
      </c>
      <c r="R892">
        <f t="shared" si="132"/>
        <v>308000</v>
      </c>
      <c r="S892">
        <f t="shared" si="133"/>
        <v>138</v>
      </c>
      <c r="T892" t="e">
        <f t="shared" si="134"/>
        <v>#N/A</v>
      </c>
      <c r="U892" t="e">
        <f t="shared" si="135"/>
        <v>#N/A</v>
      </c>
      <c r="V892" t="e">
        <f t="shared" si="136"/>
        <v>#N/A</v>
      </c>
      <c r="W892" t="e">
        <f t="shared" si="137"/>
        <v>#N/A</v>
      </c>
      <c r="X892" t="e">
        <f t="shared" si="138"/>
        <v>#N/A</v>
      </c>
      <c r="Y892" t="e">
        <f t="shared" si="139"/>
        <v>#N/A</v>
      </c>
    </row>
    <row r="893" spans="1:25" x14ac:dyDescent="0.2">
      <c r="A893">
        <v>1891</v>
      </c>
      <c r="B893" t="s">
        <v>46</v>
      </c>
      <c r="C893" t="s">
        <v>15</v>
      </c>
      <c r="D893">
        <v>2022</v>
      </c>
      <c r="E893" t="s">
        <v>26</v>
      </c>
      <c r="F893">
        <v>156</v>
      </c>
      <c r="G893">
        <v>3</v>
      </c>
      <c r="H893">
        <v>3</v>
      </c>
      <c r="I893">
        <v>518000</v>
      </c>
      <c r="J893">
        <v>3320.5</v>
      </c>
      <c r="K893">
        <v>20</v>
      </c>
      <c r="L893" t="s">
        <v>17</v>
      </c>
      <c r="M893">
        <v>115</v>
      </c>
      <c r="N893" t="s">
        <v>18</v>
      </c>
      <c r="P893" t="e">
        <f t="shared" si="130"/>
        <v>#N/A</v>
      </c>
      <c r="Q893" t="e">
        <f t="shared" si="131"/>
        <v>#N/A</v>
      </c>
      <c r="R893">
        <f t="shared" si="132"/>
        <v>518000</v>
      </c>
      <c r="S893">
        <f t="shared" si="133"/>
        <v>156</v>
      </c>
      <c r="T893" t="e">
        <f t="shared" si="134"/>
        <v>#N/A</v>
      </c>
      <c r="U893" t="e">
        <f t="shared" si="135"/>
        <v>#N/A</v>
      </c>
      <c r="V893" t="e">
        <f t="shared" si="136"/>
        <v>#N/A</v>
      </c>
      <c r="W893" t="e">
        <f t="shared" si="137"/>
        <v>#N/A</v>
      </c>
      <c r="X893" t="e">
        <f t="shared" si="138"/>
        <v>#N/A</v>
      </c>
      <c r="Y893" t="e">
        <f t="shared" si="139"/>
        <v>#N/A</v>
      </c>
    </row>
    <row r="894" spans="1:25" x14ac:dyDescent="0.2">
      <c r="A894">
        <v>1892</v>
      </c>
      <c r="B894" t="s">
        <v>33</v>
      </c>
      <c r="C894" t="s">
        <v>38</v>
      </c>
      <c r="D894">
        <v>2021</v>
      </c>
      <c r="E894" t="s">
        <v>26</v>
      </c>
      <c r="F894">
        <v>70</v>
      </c>
      <c r="G894">
        <v>0</v>
      </c>
      <c r="H894">
        <v>1</v>
      </c>
      <c r="I894">
        <v>199000</v>
      </c>
      <c r="J894">
        <v>2842.9</v>
      </c>
      <c r="K894">
        <v>1</v>
      </c>
      <c r="L894" t="s">
        <v>20</v>
      </c>
      <c r="M894">
        <v>14</v>
      </c>
      <c r="N894" t="s">
        <v>27</v>
      </c>
      <c r="P894" t="e">
        <f t="shared" si="130"/>
        <v>#N/A</v>
      </c>
      <c r="Q894" t="e">
        <f t="shared" si="131"/>
        <v>#N/A</v>
      </c>
      <c r="R894" t="e">
        <f t="shared" si="132"/>
        <v>#N/A</v>
      </c>
      <c r="S894" t="e">
        <f t="shared" si="133"/>
        <v>#N/A</v>
      </c>
      <c r="T894" t="e">
        <f t="shared" si="134"/>
        <v>#N/A</v>
      </c>
      <c r="U894" t="e">
        <f t="shared" si="135"/>
        <v>#N/A</v>
      </c>
      <c r="V894">
        <f t="shared" si="136"/>
        <v>199000</v>
      </c>
      <c r="W894">
        <f t="shared" si="137"/>
        <v>70</v>
      </c>
      <c r="X894" t="e">
        <f t="shared" si="138"/>
        <v>#N/A</v>
      </c>
      <c r="Y894" t="e">
        <f t="shared" si="139"/>
        <v>#N/A</v>
      </c>
    </row>
    <row r="895" spans="1:25" x14ac:dyDescent="0.2">
      <c r="A895">
        <v>1893</v>
      </c>
      <c r="B895" t="s">
        <v>28</v>
      </c>
      <c r="C895" t="s">
        <v>38</v>
      </c>
      <c r="D895">
        <v>2022</v>
      </c>
      <c r="E895" t="s">
        <v>26</v>
      </c>
      <c r="F895">
        <v>52</v>
      </c>
      <c r="G895">
        <v>0</v>
      </c>
      <c r="H895">
        <v>1</v>
      </c>
      <c r="I895">
        <v>193000</v>
      </c>
      <c r="J895">
        <v>3711.5</v>
      </c>
      <c r="K895">
        <v>0</v>
      </c>
      <c r="L895" t="s">
        <v>34</v>
      </c>
      <c r="M895">
        <v>14</v>
      </c>
      <c r="N895" t="s">
        <v>27</v>
      </c>
      <c r="P895" t="e">
        <f t="shared" si="130"/>
        <v>#N/A</v>
      </c>
      <c r="Q895" t="e">
        <f t="shared" si="131"/>
        <v>#N/A</v>
      </c>
      <c r="R895" t="e">
        <f t="shared" si="132"/>
        <v>#N/A</v>
      </c>
      <c r="S895" t="e">
        <f t="shared" si="133"/>
        <v>#N/A</v>
      </c>
      <c r="T895" t="e">
        <f t="shared" si="134"/>
        <v>#N/A</v>
      </c>
      <c r="U895" t="e">
        <f t="shared" si="135"/>
        <v>#N/A</v>
      </c>
      <c r="V895">
        <f t="shared" si="136"/>
        <v>193000</v>
      </c>
      <c r="W895">
        <f t="shared" si="137"/>
        <v>52</v>
      </c>
      <c r="X895" t="e">
        <f t="shared" si="138"/>
        <v>#N/A</v>
      </c>
      <c r="Y895" t="e">
        <f t="shared" si="139"/>
        <v>#N/A</v>
      </c>
    </row>
    <row r="896" spans="1:25" x14ac:dyDescent="0.2">
      <c r="A896">
        <v>1894</v>
      </c>
      <c r="B896" t="s">
        <v>42</v>
      </c>
      <c r="C896" t="s">
        <v>15</v>
      </c>
      <c r="D896">
        <v>2023</v>
      </c>
      <c r="E896" t="s">
        <v>26</v>
      </c>
      <c r="F896">
        <v>72</v>
      </c>
      <c r="G896">
        <v>3</v>
      </c>
      <c r="H896">
        <v>3</v>
      </c>
      <c r="I896">
        <v>329000</v>
      </c>
      <c r="J896">
        <v>4569.3999999999996</v>
      </c>
      <c r="K896">
        <v>15</v>
      </c>
      <c r="L896" t="s">
        <v>17</v>
      </c>
      <c r="M896">
        <v>114</v>
      </c>
      <c r="N896" t="s">
        <v>21</v>
      </c>
      <c r="P896" t="e">
        <f t="shared" si="130"/>
        <v>#N/A</v>
      </c>
      <c r="Q896" t="e">
        <f t="shared" si="131"/>
        <v>#N/A</v>
      </c>
      <c r="R896">
        <f t="shared" si="132"/>
        <v>329000</v>
      </c>
      <c r="S896">
        <f t="shared" si="133"/>
        <v>72</v>
      </c>
      <c r="T896" t="e">
        <f t="shared" si="134"/>
        <v>#N/A</v>
      </c>
      <c r="U896" t="e">
        <f t="shared" si="135"/>
        <v>#N/A</v>
      </c>
      <c r="V896" t="e">
        <f t="shared" si="136"/>
        <v>#N/A</v>
      </c>
      <c r="W896" t="e">
        <f t="shared" si="137"/>
        <v>#N/A</v>
      </c>
      <c r="X896" t="e">
        <f t="shared" si="138"/>
        <v>#N/A</v>
      </c>
      <c r="Y896" t="e">
        <f t="shared" si="139"/>
        <v>#N/A</v>
      </c>
    </row>
    <row r="897" spans="1:25" x14ac:dyDescent="0.2">
      <c r="A897">
        <v>1895</v>
      </c>
      <c r="B897" t="s">
        <v>19</v>
      </c>
      <c r="C897" t="s">
        <v>15</v>
      </c>
      <c r="D897">
        <v>2023</v>
      </c>
      <c r="E897" t="s">
        <v>24</v>
      </c>
      <c r="F897">
        <v>172</v>
      </c>
      <c r="G897">
        <v>4</v>
      </c>
      <c r="H897">
        <v>4</v>
      </c>
      <c r="I897">
        <v>608000</v>
      </c>
      <c r="J897">
        <v>3534.9</v>
      </c>
      <c r="K897">
        <v>10</v>
      </c>
      <c r="L897" t="s">
        <v>34</v>
      </c>
      <c r="M897">
        <v>35</v>
      </c>
      <c r="N897" t="s">
        <v>21</v>
      </c>
      <c r="P897" t="e">
        <f t="shared" si="130"/>
        <v>#N/A</v>
      </c>
      <c r="Q897" t="e">
        <f t="shared" si="131"/>
        <v>#N/A</v>
      </c>
      <c r="R897">
        <f t="shared" si="132"/>
        <v>608000</v>
      </c>
      <c r="S897">
        <f t="shared" si="133"/>
        <v>172</v>
      </c>
      <c r="T897" t="e">
        <f t="shared" si="134"/>
        <v>#N/A</v>
      </c>
      <c r="U897" t="e">
        <f t="shared" si="135"/>
        <v>#N/A</v>
      </c>
      <c r="V897" t="e">
        <f t="shared" si="136"/>
        <v>#N/A</v>
      </c>
      <c r="W897" t="e">
        <f t="shared" si="137"/>
        <v>#N/A</v>
      </c>
      <c r="X897" t="e">
        <f t="shared" si="138"/>
        <v>#N/A</v>
      </c>
      <c r="Y897" t="e">
        <f t="shared" si="139"/>
        <v>#N/A</v>
      </c>
    </row>
    <row r="898" spans="1:25" x14ac:dyDescent="0.2">
      <c r="A898">
        <v>1896</v>
      </c>
      <c r="B898" t="s">
        <v>41</v>
      </c>
      <c r="C898" t="s">
        <v>29</v>
      </c>
      <c r="D898">
        <v>2022</v>
      </c>
      <c r="E898" t="s">
        <v>16</v>
      </c>
      <c r="F898">
        <v>425</v>
      </c>
      <c r="G898">
        <v>5</v>
      </c>
      <c r="H898">
        <v>5</v>
      </c>
      <c r="I898">
        <v>3136000</v>
      </c>
      <c r="J898">
        <v>7378.8</v>
      </c>
      <c r="K898">
        <v>2</v>
      </c>
      <c r="L898" t="s">
        <v>20</v>
      </c>
      <c r="M898">
        <v>131</v>
      </c>
      <c r="N898" t="s">
        <v>21</v>
      </c>
      <c r="P898">
        <f t="shared" si="130"/>
        <v>3136000</v>
      </c>
      <c r="Q898">
        <f t="shared" si="131"/>
        <v>425</v>
      </c>
      <c r="R898" t="e">
        <f t="shared" si="132"/>
        <v>#N/A</v>
      </c>
      <c r="S898" t="e">
        <f t="shared" si="133"/>
        <v>#N/A</v>
      </c>
      <c r="T898" t="e">
        <f t="shared" si="134"/>
        <v>#N/A</v>
      </c>
      <c r="U898" t="e">
        <f t="shared" si="135"/>
        <v>#N/A</v>
      </c>
      <c r="V898" t="e">
        <f t="shared" si="136"/>
        <v>#N/A</v>
      </c>
      <c r="W898" t="e">
        <f t="shared" si="137"/>
        <v>#N/A</v>
      </c>
      <c r="X898" t="e">
        <f t="shared" si="138"/>
        <v>#N/A</v>
      </c>
      <c r="Y898" t="e">
        <f t="shared" si="139"/>
        <v>#N/A</v>
      </c>
    </row>
    <row r="899" spans="1:25" x14ac:dyDescent="0.2">
      <c r="A899">
        <v>1897</v>
      </c>
      <c r="B899" t="s">
        <v>45</v>
      </c>
      <c r="C899" t="s">
        <v>15</v>
      </c>
      <c r="D899">
        <v>2024</v>
      </c>
      <c r="E899" t="s">
        <v>16</v>
      </c>
      <c r="F899">
        <v>160</v>
      </c>
      <c r="G899">
        <v>2</v>
      </c>
      <c r="H899">
        <v>2</v>
      </c>
      <c r="I899">
        <v>651000</v>
      </c>
      <c r="J899">
        <v>4068.8</v>
      </c>
      <c r="K899">
        <v>10</v>
      </c>
      <c r="L899" t="s">
        <v>17</v>
      </c>
      <c r="M899">
        <v>93</v>
      </c>
      <c r="N899" t="s">
        <v>21</v>
      </c>
      <c r="P899" t="e">
        <f t="shared" ref="P899:P962" si="140">IF(C899="Villa", I899, NA())</f>
        <v>#N/A</v>
      </c>
      <c r="Q899" t="e">
        <f t="shared" ref="Q899:Q962" si="141">IF(C899="Villa", F899, NA())</f>
        <v>#N/A</v>
      </c>
      <c r="R899">
        <f t="shared" ref="R899:R962" si="142">IF(C899="Apartment",I899,NA())</f>
        <v>651000</v>
      </c>
      <c r="S899">
        <f t="shared" ref="S899:S962" si="143">IF(C899="Apartment",F899,NA())</f>
        <v>160</v>
      </c>
      <c r="T899" t="e">
        <f t="shared" ref="T899:T962" si="144">IF(C899="Duplex",I899,NA())</f>
        <v>#N/A</v>
      </c>
      <c r="U899" t="e">
        <f t="shared" ref="U899:U962" si="145">IF(C899="Duplex",F899,NA())</f>
        <v>#N/A</v>
      </c>
      <c r="V899" t="e">
        <f t="shared" ref="V899:V962" si="146">IF(C899="Studio",I899,NA())</f>
        <v>#N/A</v>
      </c>
      <c r="W899" t="e">
        <f t="shared" ref="W899:W962" si="147">IF(C899="Studio",F899,NA())</f>
        <v>#N/A</v>
      </c>
      <c r="X899" t="e">
        <f t="shared" ref="X899:X962" si="148">IF(C899="Floor",I899,NA())</f>
        <v>#N/A</v>
      </c>
      <c r="Y899" t="e">
        <f t="shared" ref="Y899:Y962" si="149">IF(C899="Floor",F899,NA())</f>
        <v>#N/A</v>
      </c>
    </row>
    <row r="900" spans="1:25" x14ac:dyDescent="0.2">
      <c r="A900">
        <v>1898</v>
      </c>
      <c r="B900" t="s">
        <v>47</v>
      </c>
      <c r="C900" t="s">
        <v>36</v>
      </c>
      <c r="D900">
        <v>2023</v>
      </c>
      <c r="E900" t="s">
        <v>16</v>
      </c>
      <c r="F900">
        <v>256</v>
      </c>
      <c r="G900">
        <v>3</v>
      </c>
      <c r="H900">
        <v>3</v>
      </c>
      <c r="I900">
        <v>644000</v>
      </c>
      <c r="J900">
        <v>2515.6</v>
      </c>
      <c r="K900">
        <v>5</v>
      </c>
      <c r="L900" t="s">
        <v>34</v>
      </c>
      <c r="M900">
        <v>57</v>
      </c>
      <c r="N900" t="s">
        <v>21</v>
      </c>
      <c r="P900" t="e">
        <f t="shared" si="140"/>
        <v>#N/A</v>
      </c>
      <c r="Q900" t="e">
        <f t="shared" si="141"/>
        <v>#N/A</v>
      </c>
      <c r="R900" t="e">
        <f t="shared" si="142"/>
        <v>#N/A</v>
      </c>
      <c r="S900" t="e">
        <f t="shared" si="143"/>
        <v>#N/A</v>
      </c>
      <c r="T900" t="e">
        <f t="shared" si="144"/>
        <v>#N/A</v>
      </c>
      <c r="U900" t="e">
        <f t="shared" si="145"/>
        <v>#N/A</v>
      </c>
      <c r="V900" t="e">
        <f t="shared" si="146"/>
        <v>#N/A</v>
      </c>
      <c r="W900" t="e">
        <f t="shared" si="147"/>
        <v>#N/A</v>
      </c>
      <c r="X900">
        <f t="shared" si="148"/>
        <v>644000</v>
      </c>
      <c r="Y900">
        <f t="shared" si="149"/>
        <v>256</v>
      </c>
    </row>
    <row r="901" spans="1:25" x14ac:dyDescent="0.2">
      <c r="A901">
        <v>1899</v>
      </c>
      <c r="B901" t="s">
        <v>40</v>
      </c>
      <c r="C901" t="s">
        <v>36</v>
      </c>
      <c r="D901">
        <v>2024</v>
      </c>
      <c r="E901" t="s">
        <v>26</v>
      </c>
      <c r="F901">
        <v>318</v>
      </c>
      <c r="G901">
        <v>4</v>
      </c>
      <c r="H901">
        <v>4</v>
      </c>
      <c r="I901">
        <v>994000</v>
      </c>
      <c r="J901">
        <v>3125.8</v>
      </c>
      <c r="K901">
        <v>7</v>
      </c>
      <c r="L901" t="s">
        <v>17</v>
      </c>
      <c r="M901">
        <v>78</v>
      </c>
      <c r="N901" t="s">
        <v>18</v>
      </c>
      <c r="P901" t="e">
        <f t="shared" si="140"/>
        <v>#N/A</v>
      </c>
      <c r="Q901" t="e">
        <f t="shared" si="141"/>
        <v>#N/A</v>
      </c>
      <c r="R901" t="e">
        <f t="shared" si="142"/>
        <v>#N/A</v>
      </c>
      <c r="S901" t="e">
        <f t="shared" si="143"/>
        <v>#N/A</v>
      </c>
      <c r="T901" t="e">
        <f t="shared" si="144"/>
        <v>#N/A</v>
      </c>
      <c r="U901" t="e">
        <f t="shared" si="145"/>
        <v>#N/A</v>
      </c>
      <c r="V901" t="e">
        <f t="shared" si="146"/>
        <v>#N/A</v>
      </c>
      <c r="W901" t="e">
        <f t="shared" si="147"/>
        <v>#N/A</v>
      </c>
      <c r="X901">
        <f t="shared" si="148"/>
        <v>994000</v>
      </c>
      <c r="Y901">
        <f t="shared" si="149"/>
        <v>318</v>
      </c>
    </row>
    <row r="902" spans="1:25" x14ac:dyDescent="0.2">
      <c r="A902">
        <v>1900</v>
      </c>
      <c r="B902" t="s">
        <v>33</v>
      </c>
      <c r="C902" t="s">
        <v>15</v>
      </c>
      <c r="D902">
        <v>2021</v>
      </c>
      <c r="E902" t="s">
        <v>26</v>
      </c>
      <c r="F902">
        <v>169</v>
      </c>
      <c r="G902">
        <v>3</v>
      </c>
      <c r="H902">
        <v>3</v>
      </c>
      <c r="I902">
        <v>373000</v>
      </c>
      <c r="J902">
        <v>2207.1</v>
      </c>
      <c r="K902">
        <v>3</v>
      </c>
      <c r="L902" t="s">
        <v>17</v>
      </c>
      <c r="M902">
        <v>158</v>
      </c>
      <c r="N902" t="s">
        <v>27</v>
      </c>
      <c r="P902" t="e">
        <f t="shared" si="140"/>
        <v>#N/A</v>
      </c>
      <c r="Q902" t="e">
        <f t="shared" si="141"/>
        <v>#N/A</v>
      </c>
      <c r="R902">
        <f t="shared" si="142"/>
        <v>373000</v>
      </c>
      <c r="S902">
        <f t="shared" si="143"/>
        <v>169</v>
      </c>
      <c r="T902" t="e">
        <f t="shared" si="144"/>
        <v>#N/A</v>
      </c>
      <c r="U902" t="e">
        <f t="shared" si="145"/>
        <v>#N/A</v>
      </c>
      <c r="V902" t="e">
        <f t="shared" si="146"/>
        <v>#N/A</v>
      </c>
      <c r="W902" t="e">
        <f t="shared" si="147"/>
        <v>#N/A</v>
      </c>
      <c r="X902" t="e">
        <f t="shared" si="148"/>
        <v>#N/A</v>
      </c>
      <c r="Y902" t="e">
        <f t="shared" si="149"/>
        <v>#N/A</v>
      </c>
    </row>
    <row r="903" spans="1:25" x14ac:dyDescent="0.2">
      <c r="A903">
        <v>1901</v>
      </c>
      <c r="B903" t="s">
        <v>37</v>
      </c>
      <c r="C903" t="s">
        <v>15</v>
      </c>
      <c r="D903">
        <v>2021</v>
      </c>
      <c r="E903" t="s">
        <v>30</v>
      </c>
      <c r="F903">
        <v>107</v>
      </c>
      <c r="G903">
        <v>3</v>
      </c>
      <c r="H903">
        <v>3</v>
      </c>
      <c r="I903">
        <v>401000</v>
      </c>
      <c r="J903">
        <v>3747.7</v>
      </c>
      <c r="K903">
        <v>2</v>
      </c>
      <c r="L903" t="s">
        <v>20</v>
      </c>
      <c r="M903">
        <v>119</v>
      </c>
      <c r="N903" t="s">
        <v>27</v>
      </c>
      <c r="P903" t="e">
        <f t="shared" si="140"/>
        <v>#N/A</v>
      </c>
      <c r="Q903" t="e">
        <f t="shared" si="141"/>
        <v>#N/A</v>
      </c>
      <c r="R903">
        <f t="shared" si="142"/>
        <v>401000</v>
      </c>
      <c r="S903">
        <f t="shared" si="143"/>
        <v>107</v>
      </c>
      <c r="T903" t="e">
        <f t="shared" si="144"/>
        <v>#N/A</v>
      </c>
      <c r="U903" t="e">
        <f t="shared" si="145"/>
        <v>#N/A</v>
      </c>
      <c r="V903" t="e">
        <f t="shared" si="146"/>
        <v>#N/A</v>
      </c>
      <c r="W903" t="e">
        <f t="shared" si="147"/>
        <v>#N/A</v>
      </c>
      <c r="X903" t="e">
        <f t="shared" si="148"/>
        <v>#N/A</v>
      </c>
      <c r="Y903" t="e">
        <f t="shared" si="149"/>
        <v>#N/A</v>
      </c>
    </row>
    <row r="904" spans="1:25" x14ac:dyDescent="0.2">
      <c r="A904">
        <v>1902</v>
      </c>
      <c r="B904" t="s">
        <v>28</v>
      </c>
      <c r="C904" t="s">
        <v>15</v>
      </c>
      <c r="D904">
        <v>2023</v>
      </c>
      <c r="E904" t="s">
        <v>30</v>
      </c>
      <c r="F904">
        <v>159</v>
      </c>
      <c r="G904">
        <v>2</v>
      </c>
      <c r="H904">
        <v>2</v>
      </c>
      <c r="I904">
        <v>493000</v>
      </c>
      <c r="J904">
        <v>3100.6</v>
      </c>
      <c r="K904">
        <v>2</v>
      </c>
      <c r="L904" t="s">
        <v>17</v>
      </c>
      <c r="M904">
        <v>144</v>
      </c>
      <c r="N904" t="s">
        <v>27</v>
      </c>
      <c r="P904" t="e">
        <f t="shared" si="140"/>
        <v>#N/A</v>
      </c>
      <c r="Q904" t="e">
        <f t="shared" si="141"/>
        <v>#N/A</v>
      </c>
      <c r="R904">
        <f t="shared" si="142"/>
        <v>493000</v>
      </c>
      <c r="S904">
        <f t="shared" si="143"/>
        <v>159</v>
      </c>
      <c r="T904" t="e">
        <f t="shared" si="144"/>
        <v>#N/A</v>
      </c>
      <c r="U904" t="e">
        <f t="shared" si="145"/>
        <v>#N/A</v>
      </c>
      <c r="V904" t="e">
        <f t="shared" si="146"/>
        <v>#N/A</v>
      </c>
      <c r="W904" t="e">
        <f t="shared" si="147"/>
        <v>#N/A</v>
      </c>
      <c r="X904" t="e">
        <f t="shared" si="148"/>
        <v>#N/A</v>
      </c>
      <c r="Y904" t="e">
        <f t="shared" si="149"/>
        <v>#N/A</v>
      </c>
    </row>
    <row r="905" spans="1:25" x14ac:dyDescent="0.2">
      <c r="A905">
        <v>1903</v>
      </c>
      <c r="B905" t="s">
        <v>46</v>
      </c>
      <c r="C905" t="s">
        <v>29</v>
      </c>
      <c r="D905">
        <v>2024</v>
      </c>
      <c r="E905" t="s">
        <v>24</v>
      </c>
      <c r="F905">
        <v>417</v>
      </c>
      <c r="G905">
        <v>4</v>
      </c>
      <c r="H905">
        <v>4</v>
      </c>
      <c r="I905">
        <v>2267000</v>
      </c>
      <c r="J905">
        <v>5436.5</v>
      </c>
      <c r="K905">
        <v>2</v>
      </c>
      <c r="L905" t="s">
        <v>17</v>
      </c>
      <c r="M905">
        <v>160</v>
      </c>
      <c r="N905" t="s">
        <v>18</v>
      </c>
      <c r="P905">
        <f t="shared" si="140"/>
        <v>2267000</v>
      </c>
      <c r="Q905">
        <f t="shared" si="141"/>
        <v>417</v>
      </c>
      <c r="R905" t="e">
        <f t="shared" si="142"/>
        <v>#N/A</v>
      </c>
      <c r="S905" t="e">
        <f t="shared" si="143"/>
        <v>#N/A</v>
      </c>
      <c r="T905" t="e">
        <f t="shared" si="144"/>
        <v>#N/A</v>
      </c>
      <c r="U905" t="e">
        <f t="shared" si="145"/>
        <v>#N/A</v>
      </c>
      <c r="V905" t="e">
        <f t="shared" si="146"/>
        <v>#N/A</v>
      </c>
      <c r="W905" t="e">
        <f t="shared" si="147"/>
        <v>#N/A</v>
      </c>
      <c r="X905" t="e">
        <f t="shared" si="148"/>
        <v>#N/A</v>
      </c>
      <c r="Y905" t="e">
        <f t="shared" si="149"/>
        <v>#N/A</v>
      </c>
    </row>
    <row r="906" spans="1:25" x14ac:dyDescent="0.2">
      <c r="A906">
        <v>1904</v>
      </c>
      <c r="B906" t="s">
        <v>39</v>
      </c>
      <c r="C906" t="s">
        <v>29</v>
      </c>
      <c r="D906">
        <v>2024</v>
      </c>
      <c r="E906" t="s">
        <v>26</v>
      </c>
      <c r="F906">
        <v>361</v>
      </c>
      <c r="G906">
        <v>5</v>
      </c>
      <c r="H906">
        <v>5</v>
      </c>
      <c r="I906">
        <v>2457000</v>
      </c>
      <c r="J906">
        <v>6806.1</v>
      </c>
      <c r="K906">
        <v>0</v>
      </c>
      <c r="L906" t="s">
        <v>17</v>
      </c>
      <c r="M906">
        <v>9</v>
      </c>
      <c r="N906" t="s">
        <v>21</v>
      </c>
      <c r="P906">
        <f t="shared" si="140"/>
        <v>2457000</v>
      </c>
      <c r="Q906">
        <f t="shared" si="141"/>
        <v>361</v>
      </c>
      <c r="R906" t="e">
        <f t="shared" si="142"/>
        <v>#N/A</v>
      </c>
      <c r="S906" t="e">
        <f t="shared" si="143"/>
        <v>#N/A</v>
      </c>
      <c r="T906" t="e">
        <f t="shared" si="144"/>
        <v>#N/A</v>
      </c>
      <c r="U906" t="e">
        <f t="shared" si="145"/>
        <v>#N/A</v>
      </c>
      <c r="V906" t="e">
        <f t="shared" si="146"/>
        <v>#N/A</v>
      </c>
      <c r="W906" t="e">
        <f t="shared" si="147"/>
        <v>#N/A</v>
      </c>
      <c r="X906" t="e">
        <f t="shared" si="148"/>
        <v>#N/A</v>
      </c>
      <c r="Y906" t="e">
        <f t="shared" si="149"/>
        <v>#N/A</v>
      </c>
    </row>
    <row r="907" spans="1:25" x14ac:dyDescent="0.2">
      <c r="A907">
        <v>1905</v>
      </c>
      <c r="B907" t="s">
        <v>35</v>
      </c>
      <c r="C907" t="s">
        <v>29</v>
      </c>
      <c r="D907">
        <v>2021</v>
      </c>
      <c r="E907" t="s">
        <v>26</v>
      </c>
      <c r="F907">
        <v>355</v>
      </c>
      <c r="G907">
        <v>6</v>
      </c>
      <c r="H907">
        <v>6</v>
      </c>
      <c r="I907">
        <v>1705000</v>
      </c>
      <c r="J907">
        <v>4802.8</v>
      </c>
      <c r="K907">
        <v>5</v>
      </c>
      <c r="L907" t="s">
        <v>20</v>
      </c>
      <c r="M907">
        <v>116</v>
      </c>
      <c r="N907" t="s">
        <v>18</v>
      </c>
      <c r="P907">
        <f t="shared" si="140"/>
        <v>1705000</v>
      </c>
      <c r="Q907">
        <f t="shared" si="141"/>
        <v>355</v>
      </c>
      <c r="R907" t="e">
        <f t="shared" si="142"/>
        <v>#N/A</v>
      </c>
      <c r="S907" t="e">
        <f t="shared" si="143"/>
        <v>#N/A</v>
      </c>
      <c r="T907" t="e">
        <f t="shared" si="144"/>
        <v>#N/A</v>
      </c>
      <c r="U907" t="e">
        <f t="shared" si="145"/>
        <v>#N/A</v>
      </c>
      <c r="V907" t="e">
        <f t="shared" si="146"/>
        <v>#N/A</v>
      </c>
      <c r="W907" t="e">
        <f t="shared" si="147"/>
        <v>#N/A</v>
      </c>
      <c r="X907" t="e">
        <f t="shared" si="148"/>
        <v>#N/A</v>
      </c>
      <c r="Y907" t="e">
        <f t="shared" si="149"/>
        <v>#N/A</v>
      </c>
    </row>
    <row r="908" spans="1:25" x14ac:dyDescent="0.2">
      <c r="A908">
        <v>1906</v>
      </c>
      <c r="B908" t="s">
        <v>33</v>
      </c>
      <c r="C908" t="s">
        <v>36</v>
      </c>
      <c r="D908">
        <v>2024</v>
      </c>
      <c r="E908" t="s">
        <v>24</v>
      </c>
      <c r="F908">
        <v>289</v>
      </c>
      <c r="G908">
        <v>5</v>
      </c>
      <c r="H908">
        <v>5</v>
      </c>
      <c r="I908">
        <v>676000</v>
      </c>
      <c r="J908">
        <v>2339.1</v>
      </c>
      <c r="K908">
        <v>15</v>
      </c>
      <c r="L908" t="s">
        <v>20</v>
      </c>
      <c r="M908">
        <v>117</v>
      </c>
      <c r="N908" t="s">
        <v>27</v>
      </c>
      <c r="P908" t="e">
        <f t="shared" si="140"/>
        <v>#N/A</v>
      </c>
      <c r="Q908" t="e">
        <f t="shared" si="141"/>
        <v>#N/A</v>
      </c>
      <c r="R908" t="e">
        <f t="shared" si="142"/>
        <v>#N/A</v>
      </c>
      <c r="S908" t="e">
        <f t="shared" si="143"/>
        <v>#N/A</v>
      </c>
      <c r="T908" t="e">
        <f t="shared" si="144"/>
        <v>#N/A</v>
      </c>
      <c r="U908" t="e">
        <f t="shared" si="145"/>
        <v>#N/A</v>
      </c>
      <c r="V908" t="e">
        <f t="shared" si="146"/>
        <v>#N/A</v>
      </c>
      <c r="W908" t="e">
        <f t="shared" si="147"/>
        <v>#N/A</v>
      </c>
      <c r="X908">
        <f t="shared" si="148"/>
        <v>676000</v>
      </c>
      <c r="Y908">
        <f t="shared" si="149"/>
        <v>289</v>
      </c>
    </row>
    <row r="909" spans="1:25" x14ac:dyDescent="0.2">
      <c r="A909">
        <v>1907</v>
      </c>
      <c r="B909" t="s">
        <v>39</v>
      </c>
      <c r="C909" t="s">
        <v>29</v>
      </c>
      <c r="D909">
        <v>2024</v>
      </c>
      <c r="E909" t="s">
        <v>24</v>
      </c>
      <c r="F909">
        <v>425</v>
      </c>
      <c r="G909">
        <v>5</v>
      </c>
      <c r="H909">
        <v>5</v>
      </c>
      <c r="I909">
        <v>2837000</v>
      </c>
      <c r="J909">
        <v>6675.3</v>
      </c>
      <c r="K909">
        <v>0</v>
      </c>
      <c r="L909" t="s">
        <v>34</v>
      </c>
      <c r="M909">
        <v>89</v>
      </c>
      <c r="N909" t="s">
        <v>21</v>
      </c>
      <c r="P909">
        <f t="shared" si="140"/>
        <v>2837000</v>
      </c>
      <c r="Q909">
        <f t="shared" si="141"/>
        <v>425</v>
      </c>
      <c r="R909" t="e">
        <f t="shared" si="142"/>
        <v>#N/A</v>
      </c>
      <c r="S909" t="e">
        <f t="shared" si="143"/>
        <v>#N/A</v>
      </c>
      <c r="T909" t="e">
        <f t="shared" si="144"/>
        <v>#N/A</v>
      </c>
      <c r="U909" t="e">
        <f t="shared" si="145"/>
        <v>#N/A</v>
      </c>
      <c r="V909" t="e">
        <f t="shared" si="146"/>
        <v>#N/A</v>
      </c>
      <c r="W909" t="e">
        <f t="shared" si="147"/>
        <v>#N/A</v>
      </c>
      <c r="X909" t="e">
        <f t="shared" si="148"/>
        <v>#N/A</v>
      </c>
      <c r="Y909" t="e">
        <f t="shared" si="149"/>
        <v>#N/A</v>
      </c>
    </row>
    <row r="910" spans="1:25" x14ac:dyDescent="0.2">
      <c r="A910">
        <v>1908</v>
      </c>
      <c r="B910" t="s">
        <v>19</v>
      </c>
      <c r="C910" t="s">
        <v>15</v>
      </c>
      <c r="D910">
        <v>2024</v>
      </c>
      <c r="E910" t="s">
        <v>26</v>
      </c>
      <c r="F910">
        <v>150</v>
      </c>
      <c r="G910">
        <v>2</v>
      </c>
      <c r="H910">
        <v>2</v>
      </c>
      <c r="I910">
        <v>532000</v>
      </c>
      <c r="J910">
        <v>3546.7</v>
      </c>
      <c r="K910">
        <v>1</v>
      </c>
      <c r="L910" t="s">
        <v>34</v>
      </c>
      <c r="M910">
        <v>25</v>
      </c>
      <c r="N910" t="s">
        <v>21</v>
      </c>
      <c r="P910" t="e">
        <f t="shared" si="140"/>
        <v>#N/A</v>
      </c>
      <c r="Q910" t="e">
        <f t="shared" si="141"/>
        <v>#N/A</v>
      </c>
      <c r="R910">
        <f t="shared" si="142"/>
        <v>532000</v>
      </c>
      <c r="S910">
        <f t="shared" si="143"/>
        <v>150</v>
      </c>
      <c r="T910" t="e">
        <f t="shared" si="144"/>
        <v>#N/A</v>
      </c>
      <c r="U910" t="e">
        <f t="shared" si="145"/>
        <v>#N/A</v>
      </c>
      <c r="V910" t="e">
        <f t="shared" si="146"/>
        <v>#N/A</v>
      </c>
      <c r="W910" t="e">
        <f t="shared" si="147"/>
        <v>#N/A</v>
      </c>
      <c r="X910" t="e">
        <f t="shared" si="148"/>
        <v>#N/A</v>
      </c>
      <c r="Y910" t="e">
        <f t="shared" si="149"/>
        <v>#N/A</v>
      </c>
    </row>
    <row r="911" spans="1:25" x14ac:dyDescent="0.2">
      <c r="A911">
        <v>1909</v>
      </c>
      <c r="B911" t="s">
        <v>32</v>
      </c>
      <c r="C911" t="s">
        <v>38</v>
      </c>
      <c r="D911">
        <v>2024</v>
      </c>
      <c r="E911" t="s">
        <v>16</v>
      </c>
      <c r="F911">
        <v>51</v>
      </c>
      <c r="G911">
        <v>0</v>
      </c>
      <c r="H911">
        <v>1</v>
      </c>
      <c r="I911">
        <v>196000</v>
      </c>
      <c r="J911">
        <v>3843.1</v>
      </c>
      <c r="K911">
        <v>15</v>
      </c>
      <c r="L911" t="s">
        <v>17</v>
      </c>
      <c r="M911">
        <v>163</v>
      </c>
      <c r="N911" t="s">
        <v>18</v>
      </c>
      <c r="P911" t="e">
        <f t="shared" si="140"/>
        <v>#N/A</v>
      </c>
      <c r="Q911" t="e">
        <f t="shared" si="141"/>
        <v>#N/A</v>
      </c>
      <c r="R911" t="e">
        <f t="shared" si="142"/>
        <v>#N/A</v>
      </c>
      <c r="S911" t="e">
        <f t="shared" si="143"/>
        <v>#N/A</v>
      </c>
      <c r="T911" t="e">
        <f t="shared" si="144"/>
        <v>#N/A</v>
      </c>
      <c r="U911" t="e">
        <f t="shared" si="145"/>
        <v>#N/A</v>
      </c>
      <c r="V911">
        <f t="shared" si="146"/>
        <v>196000</v>
      </c>
      <c r="W911">
        <f t="shared" si="147"/>
        <v>51</v>
      </c>
      <c r="X911" t="e">
        <f t="shared" si="148"/>
        <v>#N/A</v>
      </c>
      <c r="Y911" t="e">
        <f t="shared" si="149"/>
        <v>#N/A</v>
      </c>
    </row>
    <row r="912" spans="1:25" x14ac:dyDescent="0.2">
      <c r="A912">
        <v>1910</v>
      </c>
      <c r="B912" t="s">
        <v>41</v>
      </c>
      <c r="C912" t="s">
        <v>36</v>
      </c>
      <c r="D912">
        <v>2021</v>
      </c>
      <c r="E912" t="s">
        <v>24</v>
      </c>
      <c r="F912">
        <v>286</v>
      </c>
      <c r="G912">
        <v>4</v>
      </c>
      <c r="H912">
        <v>4</v>
      </c>
      <c r="I912">
        <v>875000</v>
      </c>
      <c r="J912">
        <v>3059.4</v>
      </c>
      <c r="K912">
        <v>0</v>
      </c>
      <c r="L912" t="s">
        <v>17</v>
      </c>
      <c r="M912">
        <v>111</v>
      </c>
      <c r="N912" t="s">
        <v>21</v>
      </c>
      <c r="P912" t="e">
        <f t="shared" si="140"/>
        <v>#N/A</v>
      </c>
      <c r="Q912" t="e">
        <f t="shared" si="141"/>
        <v>#N/A</v>
      </c>
      <c r="R912" t="e">
        <f t="shared" si="142"/>
        <v>#N/A</v>
      </c>
      <c r="S912" t="e">
        <f t="shared" si="143"/>
        <v>#N/A</v>
      </c>
      <c r="T912" t="e">
        <f t="shared" si="144"/>
        <v>#N/A</v>
      </c>
      <c r="U912" t="e">
        <f t="shared" si="145"/>
        <v>#N/A</v>
      </c>
      <c r="V912" t="e">
        <f t="shared" si="146"/>
        <v>#N/A</v>
      </c>
      <c r="W912" t="e">
        <f t="shared" si="147"/>
        <v>#N/A</v>
      </c>
      <c r="X912">
        <f t="shared" si="148"/>
        <v>875000</v>
      </c>
      <c r="Y912">
        <f t="shared" si="149"/>
        <v>286</v>
      </c>
    </row>
    <row r="913" spans="1:25" x14ac:dyDescent="0.2">
      <c r="A913">
        <v>1911</v>
      </c>
      <c r="B913" t="s">
        <v>47</v>
      </c>
      <c r="C913" t="s">
        <v>15</v>
      </c>
      <c r="D913">
        <v>2022</v>
      </c>
      <c r="E913" t="s">
        <v>16</v>
      </c>
      <c r="F913">
        <v>57</v>
      </c>
      <c r="G913">
        <v>4</v>
      </c>
      <c r="H913">
        <v>4</v>
      </c>
      <c r="I913">
        <v>178000</v>
      </c>
      <c r="J913">
        <v>3122.8</v>
      </c>
      <c r="K913">
        <v>15</v>
      </c>
      <c r="L913" t="s">
        <v>34</v>
      </c>
      <c r="M913">
        <v>160</v>
      </c>
      <c r="N913" t="s">
        <v>21</v>
      </c>
      <c r="P913" t="e">
        <f t="shared" si="140"/>
        <v>#N/A</v>
      </c>
      <c r="Q913" t="e">
        <f t="shared" si="141"/>
        <v>#N/A</v>
      </c>
      <c r="R913">
        <f t="shared" si="142"/>
        <v>178000</v>
      </c>
      <c r="S913">
        <f t="shared" si="143"/>
        <v>57</v>
      </c>
      <c r="T913" t="e">
        <f t="shared" si="144"/>
        <v>#N/A</v>
      </c>
      <c r="U913" t="e">
        <f t="shared" si="145"/>
        <v>#N/A</v>
      </c>
      <c r="V913" t="e">
        <f t="shared" si="146"/>
        <v>#N/A</v>
      </c>
      <c r="W913" t="e">
        <f t="shared" si="147"/>
        <v>#N/A</v>
      </c>
      <c r="X913" t="e">
        <f t="shared" si="148"/>
        <v>#N/A</v>
      </c>
      <c r="Y913" t="e">
        <f t="shared" si="149"/>
        <v>#N/A</v>
      </c>
    </row>
    <row r="914" spans="1:25" x14ac:dyDescent="0.2">
      <c r="A914">
        <v>1912</v>
      </c>
      <c r="B914" t="s">
        <v>42</v>
      </c>
      <c r="C914" t="s">
        <v>29</v>
      </c>
      <c r="D914">
        <v>2021</v>
      </c>
      <c r="E914" t="s">
        <v>16</v>
      </c>
      <c r="F914">
        <v>455</v>
      </c>
      <c r="G914">
        <v>5</v>
      </c>
      <c r="H914">
        <v>5</v>
      </c>
      <c r="I914">
        <v>2749000</v>
      </c>
      <c r="J914">
        <v>6041.8</v>
      </c>
      <c r="K914">
        <v>10</v>
      </c>
      <c r="L914" t="s">
        <v>17</v>
      </c>
      <c r="M914">
        <v>17</v>
      </c>
      <c r="N914" t="s">
        <v>21</v>
      </c>
      <c r="P914">
        <f t="shared" si="140"/>
        <v>2749000</v>
      </c>
      <c r="Q914">
        <f t="shared" si="141"/>
        <v>455</v>
      </c>
      <c r="R914" t="e">
        <f t="shared" si="142"/>
        <v>#N/A</v>
      </c>
      <c r="S914" t="e">
        <f t="shared" si="143"/>
        <v>#N/A</v>
      </c>
      <c r="T914" t="e">
        <f t="shared" si="144"/>
        <v>#N/A</v>
      </c>
      <c r="U914" t="e">
        <f t="shared" si="145"/>
        <v>#N/A</v>
      </c>
      <c r="V914" t="e">
        <f t="shared" si="146"/>
        <v>#N/A</v>
      </c>
      <c r="W914" t="e">
        <f t="shared" si="147"/>
        <v>#N/A</v>
      </c>
      <c r="X914" t="e">
        <f t="shared" si="148"/>
        <v>#N/A</v>
      </c>
      <c r="Y914" t="e">
        <f t="shared" si="149"/>
        <v>#N/A</v>
      </c>
    </row>
    <row r="915" spans="1:25" x14ac:dyDescent="0.2">
      <c r="A915">
        <v>1913</v>
      </c>
      <c r="B915" t="s">
        <v>44</v>
      </c>
      <c r="C915" t="s">
        <v>23</v>
      </c>
      <c r="D915">
        <v>2023</v>
      </c>
      <c r="E915" t="s">
        <v>16</v>
      </c>
      <c r="F915">
        <v>325</v>
      </c>
      <c r="G915">
        <v>3</v>
      </c>
      <c r="H915">
        <v>3</v>
      </c>
      <c r="I915">
        <v>1208000</v>
      </c>
      <c r="J915">
        <v>3716.9</v>
      </c>
      <c r="K915">
        <v>0</v>
      </c>
      <c r="L915" t="s">
        <v>20</v>
      </c>
      <c r="M915">
        <v>39</v>
      </c>
      <c r="N915" t="s">
        <v>18</v>
      </c>
      <c r="P915" t="e">
        <f t="shared" si="140"/>
        <v>#N/A</v>
      </c>
      <c r="Q915" t="e">
        <f t="shared" si="141"/>
        <v>#N/A</v>
      </c>
      <c r="R915" t="e">
        <f t="shared" si="142"/>
        <v>#N/A</v>
      </c>
      <c r="S915" t="e">
        <f t="shared" si="143"/>
        <v>#N/A</v>
      </c>
      <c r="T915">
        <f t="shared" si="144"/>
        <v>1208000</v>
      </c>
      <c r="U915">
        <f t="shared" si="145"/>
        <v>325</v>
      </c>
      <c r="V915" t="e">
        <f t="shared" si="146"/>
        <v>#N/A</v>
      </c>
      <c r="W915" t="e">
        <f t="shared" si="147"/>
        <v>#N/A</v>
      </c>
      <c r="X915" t="e">
        <f t="shared" si="148"/>
        <v>#N/A</v>
      </c>
      <c r="Y915" t="e">
        <f t="shared" si="149"/>
        <v>#N/A</v>
      </c>
    </row>
    <row r="916" spans="1:25" x14ac:dyDescent="0.2">
      <c r="A916">
        <v>1914</v>
      </c>
      <c r="B916" t="s">
        <v>47</v>
      </c>
      <c r="C916" t="s">
        <v>15</v>
      </c>
      <c r="D916">
        <v>2021</v>
      </c>
      <c r="E916" t="s">
        <v>24</v>
      </c>
      <c r="F916">
        <v>164</v>
      </c>
      <c r="G916">
        <v>3</v>
      </c>
      <c r="H916">
        <v>3</v>
      </c>
      <c r="I916">
        <v>411000</v>
      </c>
      <c r="J916">
        <v>2506.1</v>
      </c>
      <c r="K916">
        <v>3</v>
      </c>
      <c r="L916" t="s">
        <v>20</v>
      </c>
      <c r="M916">
        <v>91</v>
      </c>
      <c r="N916" t="s">
        <v>21</v>
      </c>
      <c r="P916" t="e">
        <f t="shared" si="140"/>
        <v>#N/A</v>
      </c>
      <c r="Q916" t="e">
        <f t="shared" si="141"/>
        <v>#N/A</v>
      </c>
      <c r="R916">
        <f t="shared" si="142"/>
        <v>411000</v>
      </c>
      <c r="S916">
        <f t="shared" si="143"/>
        <v>164</v>
      </c>
      <c r="T916" t="e">
        <f t="shared" si="144"/>
        <v>#N/A</v>
      </c>
      <c r="U916" t="e">
        <f t="shared" si="145"/>
        <v>#N/A</v>
      </c>
      <c r="V916" t="e">
        <f t="shared" si="146"/>
        <v>#N/A</v>
      </c>
      <c r="W916" t="e">
        <f t="shared" si="147"/>
        <v>#N/A</v>
      </c>
      <c r="X916" t="e">
        <f t="shared" si="148"/>
        <v>#N/A</v>
      </c>
      <c r="Y916" t="e">
        <f t="shared" si="149"/>
        <v>#N/A</v>
      </c>
    </row>
    <row r="917" spans="1:25" x14ac:dyDescent="0.2">
      <c r="A917">
        <v>1915</v>
      </c>
      <c r="B917" t="s">
        <v>45</v>
      </c>
      <c r="C917" t="s">
        <v>15</v>
      </c>
      <c r="D917">
        <v>2023</v>
      </c>
      <c r="E917" t="s">
        <v>26</v>
      </c>
      <c r="F917">
        <v>207</v>
      </c>
      <c r="G917">
        <v>4</v>
      </c>
      <c r="H917">
        <v>4</v>
      </c>
      <c r="I917">
        <v>858000</v>
      </c>
      <c r="J917">
        <v>4144.8999999999996</v>
      </c>
      <c r="K917">
        <v>0</v>
      </c>
      <c r="L917" t="s">
        <v>17</v>
      </c>
      <c r="M917">
        <v>124</v>
      </c>
      <c r="N917" t="s">
        <v>21</v>
      </c>
      <c r="P917" t="e">
        <f t="shared" si="140"/>
        <v>#N/A</v>
      </c>
      <c r="Q917" t="e">
        <f t="shared" si="141"/>
        <v>#N/A</v>
      </c>
      <c r="R917">
        <f t="shared" si="142"/>
        <v>858000</v>
      </c>
      <c r="S917">
        <f t="shared" si="143"/>
        <v>207</v>
      </c>
      <c r="T917" t="e">
        <f t="shared" si="144"/>
        <v>#N/A</v>
      </c>
      <c r="U917" t="e">
        <f t="shared" si="145"/>
        <v>#N/A</v>
      </c>
      <c r="V917" t="e">
        <f t="shared" si="146"/>
        <v>#N/A</v>
      </c>
      <c r="W917" t="e">
        <f t="shared" si="147"/>
        <v>#N/A</v>
      </c>
      <c r="X917" t="e">
        <f t="shared" si="148"/>
        <v>#N/A</v>
      </c>
      <c r="Y917" t="e">
        <f t="shared" si="149"/>
        <v>#N/A</v>
      </c>
    </row>
    <row r="918" spans="1:25" x14ac:dyDescent="0.2">
      <c r="A918">
        <v>1916</v>
      </c>
      <c r="B918" t="s">
        <v>33</v>
      </c>
      <c r="C918" t="s">
        <v>29</v>
      </c>
      <c r="D918">
        <v>2022</v>
      </c>
      <c r="E918" t="s">
        <v>26</v>
      </c>
      <c r="F918">
        <v>405</v>
      </c>
      <c r="G918">
        <v>5</v>
      </c>
      <c r="H918">
        <v>5</v>
      </c>
      <c r="I918">
        <v>1431000</v>
      </c>
      <c r="J918">
        <v>3533.3</v>
      </c>
      <c r="K918">
        <v>15</v>
      </c>
      <c r="L918" t="s">
        <v>20</v>
      </c>
      <c r="M918">
        <v>6</v>
      </c>
      <c r="N918" t="s">
        <v>27</v>
      </c>
      <c r="P918">
        <f t="shared" si="140"/>
        <v>1431000</v>
      </c>
      <c r="Q918">
        <f t="shared" si="141"/>
        <v>405</v>
      </c>
      <c r="R918" t="e">
        <f t="shared" si="142"/>
        <v>#N/A</v>
      </c>
      <c r="S918" t="e">
        <f t="shared" si="143"/>
        <v>#N/A</v>
      </c>
      <c r="T918" t="e">
        <f t="shared" si="144"/>
        <v>#N/A</v>
      </c>
      <c r="U918" t="e">
        <f t="shared" si="145"/>
        <v>#N/A</v>
      </c>
      <c r="V918" t="e">
        <f t="shared" si="146"/>
        <v>#N/A</v>
      </c>
      <c r="W918" t="e">
        <f t="shared" si="147"/>
        <v>#N/A</v>
      </c>
      <c r="X918" t="e">
        <f t="shared" si="148"/>
        <v>#N/A</v>
      </c>
      <c r="Y918" t="e">
        <f t="shared" si="149"/>
        <v>#N/A</v>
      </c>
    </row>
    <row r="919" spans="1:25" x14ac:dyDescent="0.2">
      <c r="A919">
        <v>1917</v>
      </c>
      <c r="B919" t="s">
        <v>37</v>
      </c>
      <c r="C919" t="s">
        <v>29</v>
      </c>
      <c r="D919">
        <v>2023</v>
      </c>
      <c r="E919" t="s">
        <v>30</v>
      </c>
      <c r="F919">
        <v>530</v>
      </c>
      <c r="G919">
        <v>6</v>
      </c>
      <c r="H919">
        <v>6</v>
      </c>
      <c r="I919">
        <v>3656000</v>
      </c>
      <c r="J919">
        <v>6898.1</v>
      </c>
      <c r="K919">
        <v>1</v>
      </c>
      <c r="L919" t="s">
        <v>17</v>
      </c>
      <c r="M919">
        <v>92</v>
      </c>
      <c r="N919" t="s">
        <v>27</v>
      </c>
      <c r="P919">
        <f t="shared" si="140"/>
        <v>3656000</v>
      </c>
      <c r="Q919">
        <f t="shared" si="141"/>
        <v>530</v>
      </c>
      <c r="R919" t="e">
        <f t="shared" si="142"/>
        <v>#N/A</v>
      </c>
      <c r="S919" t="e">
        <f t="shared" si="143"/>
        <v>#N/A</v>
      </c>
      <c r="T919" t="e">
        <f t="shared" si="144"/>
        <v>#N/A</v>
      </c>
      <c r="U919" t="e">
        <f t="shared" si="145"/>
        <v>#N/A</v>
      </c>
      <c r="V919" t="e">
        <f t="shared" si="146"/>
        <v>#N/A</v>
      </c>
      <c r="W919" t="e">
        <f t="shared" si="147"/>
        <v>#N/A</v>
      </c>
      <c r="X919" t="e">
        <f t="shared" si="148"/>
        <v>#N/A</v>
      </c>
      <c r="Y919" t="e">
        <f t="shared" si="149"/>
        <v>#N/A</v>
      </c>
    </row>
    <row r="920" spans="1:25" x14ac:dyDescent="0.2">
      <c r="A920">
        <v>1918</v>
      </c>
      <c r="B920" t="s">
        <v>19</v>
      </c>
      <c r="C920" t="s">
        <v>29</v>
      </c>
      <c r="D920">
        <v>2023</v>
      </c>
      <c r="E920" t="s">
        <v>30</v>
      </c>
      <c r="F920">
        <v>368</v>
      </c>
      <c r="G920">
        <v>6</v>
      </c>
      <c r="H920">
        <v>6</v>
      </c>
      <c r="I920">
        <v>1759000</v>
      </c>
      <c r="J920">
        <v>4779.8999999999996</v>
      </c>
      <c r="K920">
        <v>2</v>
      </c>
      <c r="L920" t="s">
        <v>17</v>
      </c>
      <c r="M920">
        <v>107</v>
      </c>
      <c r="N920" t="s">
        <v>21</v>
      </c>
      <c r="P920">
        <f t="shared" si="140"/>
        <v>1759000</v>
      </c>
      <c r="Q920">
        <f t="shared" si="141"/>
        <v>368</v>
      </c>
      <c r="R920" t="e">
        <f t="shared" si="142"/>
        <v>#N/A</v>
      </c>
      <c r="S920" t="e">
        <f t="shared" si="143"/>
        <v>#N/A</v>
      </c>
      <c r="T920" t="e">
        <f t="shared" si="144"/>
        <v>#N/A</v>
      </c>
      <c r="U920" t="e">
        <f t="shared" si="145"/>
        <v>#N/A</v>
      </c>
      <c r="V920" t="e">
        <f t="shared" si="146"/>
        <v>#N/A</v>
      </c>
      <c r="W920" t="e">
        <f t="shared" si="147"/>
        <v>#N/A</v>
      </c>
      <c r="X920" t="e">
        <f t="shared" si="148"/>
        <v>#N/A</v>
      </c>
      <c r="Y920" t="e">
        <f t="shared" si="149"/>
        <v>#N/A</v>
      </c>
    </row>
    <row r="921" spans="1:25" x14ac:dyDescent="0.2">
      <c r="A921">
        <v>1919</v>
      </c>
      <c r="B921" t="s">
        <v>37</v>
      </c>
      <c r="C921" t="s">
        <v>29</v>
      </c>
      <c r="D921">
        <v>2024</v>
      </c>
      <c r="E921" t="s">
        <v>30</v>
      </c>
      <c r="F921">
        <v>356</v>
      </c>
      <c r="G921">
        <v>4</v>
      </c>
      <c r="H921">
        <v>4</v>
      </c>
      <c r="I921">
        <v>2421000</v>
      </c>
      <c r="J921">
        <v>6800.6</v>
      </c>
      <c r="K921">
        <v>0</v>
      </c>
      <c r="L921" t="s">
        <v>34</v>
      </c>
      <c r="M921">
        <v>104</v>
      </c>
      <c r="N921" t="s">
        <v>27</v>
      </c>
      <c r="P921">
        <f t="shared" si="140"/>
        <v>2421000</v>
      </c>
      <c r="Q921">
        <f t="shared" si="141"/>
        <v>356</v>
      </c>
      <c r="R921" t="e">
        <f t="shared" si="142"/>
        <v>#N/A</v>
      </c>
      <c r="S921" t="e">
        <f t="shared" si="143"/>
        <v>#N/A</v>
      </c>
      <c r="T921" t="e">
        <f t="shared" si="144"/>
        <v>#N/A</v>
      </c>
      <c r="U921" t="e">
        <f t="shared" si="145"/>
        <v>#N/A</v>
      </c>
      <c r="V921" t="e">
        <f t="shared" si="146"/>
        <v>#N/A</v>
      </c>
      <c r="W921" t="e">
        <f t="shared" si="147"/>
        <v>#N/A</v>
      </c>
      <c r="X921" t="e">
        <f t="shared" si="148"/>
        <v>#N/A</v>
      </c>
      <c r="Y921" t="e">
        <f t="shared" si="149"/>
        <v>#N/A</v>
      </c>
    </row>
    <row r="922" spans="1:25" x14ac:dyDescent="0.2">
      <c r="A922">
        <v>1920</v>
      </c>
      <c r="B922" t="s">
        <v>46</v>
      </c>
      <c r="C922" t="s">
        <v>15</v>
      </c>
      <c r="D922">
        <v>2021</v>
      </c>
      <c r="E922" t="s">
        <v>24</v>
      </c>
      <c r="F922">
        <v>149</v>
      </c>
      <c r="G922">
        <v>3</v>
      </c>
      <c r="H922">
        <v>3</v>
      </c>
      <c r="I922">
        <v>419000</v>
      </c>
      <c r="J922">
        <v>2812.1</v>
      </c>
      <c r="K922">
        <v>0</v>
      </c>
      <c r="L922" t="s">
        <v>17</v>
      </c>
      <c r="M922">
        <v>159</v>
      </c>
      <c r="N922" t="s">
        <v>18</v>
      </c>
      <c r="P922" t="e">
        <f t="shared" si="140"/>
        <v>#N/A</v>
      </c>
      <c r="Q922" t="e">
        <f t="shared" si="141"/>
        <v>#N/A</v>
      </c>
      <c r="R922">
        <f t="shared" si="142"/>
        <v>419000</v>
      </c>
      <c r="S922">
        <f t="shared" si="143"/>
        <v>149</v>
      </c>
      <c r="T922" t="e">
        <f t="shared" si="144"/>
        <v>#N/A</v>
      </c>
      <c r="U922" t="e">
        <f t="shared" si="145"/>
        <v>#N/A</v>
      </c>
      <c r="V922" t="e">
        <f t="shared" si="146"/>
        <v>#N/A</v>
      </c>
      <c r="W922" t="e">
        <f t="shared" si="147"/>
        <v>#N/A</v>
      </c>
      <c r="X922" t="e">
        <f t="shared" si="148"/>
        <v>#N/A</v>
      </c>
      <c r="Y922" t="e">
        <f t="shared" si="149"/>
        <v>#N/A</v>
      </c>
    </row>
    <row r="923" spans="1:25" x14ac:dyDescent="0.2">
      <c r="A923">
        <v>1921</v>
      </c>
      <c r="B923" t="s">
        <v>35</v>
      </c>
      <c r="C923" t="s">
        <v>29</v>
      </c>
      <c r="D923">
        <v>2022</v>
      </c>
      <c r="E923" t="s">
        <v>16</v>
      </c>
      <c r="F923">
        <v>550</v>
      </c>
      <c r="G923">
        <v>5</v>
      </c>
      <c r="H923">
        <v>5</v>
      </c>
      <c r="I923">
        <v>2997000</v>
      </c>
      <c r="J923">
        <v>5449.1</v>
      </c>
      <c r="K923">
        <v>0</v>
      </c>
      <c r="L923" t="s">
        <v>20</v>
      </c>
      <c r="M923">
        <v>164</v>
      </c>
      <c r="N923" t="s">
        <v>18</v>
      </c>
      <c r="P923">
        <f t="shared" si="140"/>
        <v>2997000</v>
      </c>
      <c r="Q923">
        <f t="shared" si="141"/>
        <v>550</v>
      </c>
      <c r="R923" t="e">
        <f t="shared" si="142"/>
        <v>#N/A</v>
      </c>
      <c r="S923" t="e">
        <f t="shared" si="143"/>
        <v>#N/A</v>
      </c>
      <c r="T923" t="e">
        <f t="shared" si="144"/>
        <v>#N/A</v>
      </c>
      <c r="U923" t="e">
        <f t="shared" si="145"/>
        <v>#N/A</v>
      </c>
      <c r="V923" t="e">
        <f t="shared" si="146"/>
        <v>#N/A</v>
      </c>
      <c r="W923" t="e">
        <f t="shared" si="147"/>
        <v>#N/A</v>
      </c>
      <c r="X923" t="e">
        <f t="shared" si="148"/>
        <v>#N/A</v>
      </c>
      <c r="Y923" t="e">
        <f t="shared" si="149"/>
        <v>#N/A</v>
      </c>
    </row>
    <row r="924" spans="1:25" x14ac:dyDescent="0.2">
      <c r="A924">
        <v>1922</v>
      </c>
      <c r="B924" t="s">
        <v>25</v>
      </c>
      <c r="C924" t="s">
        <v>29</v>
      </c>
      <c r="D924">
        <v>2023</v>
      </c>
      <c r="E924" t="s">
        <v>16</v>
      </c>
      <c r="F924">
        <v>397</v>
      </c>
      <c r="G924">
        <v>4</v>
      </c>
      <c r="H924">
        <v>4</v>
      </c>
      <c r="I924">
        <v>1720000</v>
      </c>
      <c r="J924">
        <v>4332.5</v>
      </c>
      <c r="K924">
        <v>1</v>
      </c>
      <c r="L924" t="s">
        <v>34</v>
      </c>
      <c r="M924">
        <v>26</v>
      </c>
      <c r="N924" t="s">
        <v>27</v>
      </c>
      <c r="P924">
        <f t="shared" si="140"/>
        <v>1720000</v>
      </c>
      <c r="Q924">
        <f t="shared" si="141"/>
        <v>397</v>
      </c>
      <c r="R924" t="e">
        <f t="shared" si="142"/>
        <v>#N/A</v>
      </c>
      <c r="S924" t="e">
        <f t="shared" si="143"/>
        <v>#N/A</v>
      </c>
      <c r="T924" t="e">
        <f t="shared" si="144"/>
        <v>#N/A</v>
      </c>
      <c r="U924" t="e">
        <f t="shared" si="145"/>
        <v>#N/A</v>
      </c>
      <c r="V924" t="e">
        <f t="shared" si="146"/>
        <v>#N/A</v>
      </c>
      <c r="W924" t="e">
        <f t="shared" si="147"/>
        <v>#N/A</v>
      </c>
      <c r="X924" t="e">
        <f t="shared" si="148"/>
        <v>#N/A</v>
      </c>
      <c r="Y924" t="e">
        <f t="shared" si="149"/>
        <v>#N/A</v>
      </c>
    </row>
    <row r="925" spans="1:25" x14ac:dyDescent="0.2">
      <c r="A925">
        <v>1923</v>
      </c>
      <c r="B925" t="s">
        <v>41</v>
      </c>
      <c r="C925" t="s">
        <v>23</v>
      </c>
      <c r="D925">
        <v>2024</v>
      </c>
      <c r="E925" t="s">
        <v>24</v>
      </c>
      <c r="F925">
        <v>202</v>
      </c>
      <c r="G925">
        <v>4</v>
      </c>
      <c r="H925">
        <v>4</v>
      </c>
      <c r="I925">
        <v>1286000</v>
      </c>
      <c r="J925">
        <v>6366.3</v>
      </c>
      <c r="K925">
        <v>1</v>
      </c>
      <c r="L925" t="s">
        <v>34</v>
      </c>
      <c r="M925">
        <v>2</v>
      </c>
      <c r="N925" t="s">
        <v>21</v>
      </c>
      <c r="P925" t="e">
        <f t="shared" si="140"/>
        <v>#N/A</v>
      </c>
      <c r="Q925" t="e">
        <f t="shared" si="141"/>
        <v>#N/A</v>
      </c>
      <c r="R925" t="e">
        <f t="shared" si="142"/>
        <v>#N/A</v>
      </c>
      <c r="S925" t="e">
        <f t="shared" si="143"/>
        <v>#N/A</v>
      </c>
      <c r="T925">
        <f t="shared" si="144"/>
        <v>1286000</v>
      </c>
      <c r="U925">
        <f t="shared" si="145"/>
        <v>202</v>
      </c>
      <c r="V925" t="e">
        <f t="shared" si="146"/>
        <v>#N/A</v>
      </c>
      <c r="W925" t="e">
        <f t="shared" si="147"/>
        <v>#N/A</v>
      </c>
      <c r="X925" t="e">
        <f t="shared" si="148"/>
        <v>#N/A</v>
      </c>
      <c r="Y925" t="e">
        <f t="shared" si="149"/>
        <v>#N/A</v>
      </c>
    </row>
    <row r="926" spans="1:25" x14ac:dyDescent="0.2">
      <c r="A926">
        <v>1924</v>
      </c>
      <c r="B926" t="s">
        <v>28</v>
      </c>
      <c r="C926" t="s">
        <v>36</v>
      </c>
      <c r="D926">
        <v>2021</v>
      </c>
      <c r="E926" t="s">
        <v>26</v>
      </c>
      <c r="F926">
        <v>403</v>
      </c>
      <c r="G926">
        <v>3</v>
      </c>
      <c r="H926">
        <v>3</v>
      </c>
      <c r="I926">
        <v>813000</v>
      </c>
      <c r="J926">
        <v>2017.4</v>
      </c>
      <c r="K926">
        <v>10</v>
      </c>
      <c r="L926" t="s">
        <v>17</v>
      </c>
      <c r="M926">
        <v>179</v>
      </c>
      <c r="N926" t="s">
        <v>27</v>
      </c>
      <c r="P926" t="e">
        <f t="shared" si="140"/>
        <v>#N/A</v>
      </c>
      <c r="Q926" t="e">
        <f t="shared" si="141"/>
        <v>#N/A</v>
      </c>
      <c r="R926" t="e">
        <f t="shared" si="142"/>
        <v>#N/A</v>
      </c>
      <c r="S926" t="e">
        <f t="shared" si="143"/>
        <v>#N/A</v>
      </c>
      <c r="T926" t="e">
        <f t="shared" si="144"/>
        <v>#N/A</v>
      </c>
      <c r="U926" t="e">
        <f t="shared" si="145"/>
        <v>#N/A</v>
      </c>
      <c r="V926" t="e">
        <f t="shared" si="146"/>
        <v>#N/A</v>
      </c>
      <c r="W926" t="e">
        <f t="shared" si="147"/>
        <v>#N/A</v>
      </c>
      <c r="X926">
        <f t="shared" si="148"/>
        <v>813000</v>
      </c>
      <c r="Y926">
        <f t="shared" si="149"/>
        <v>403</v>
      </c>
    </row>
    <row r="927" spans="1:25" x14ac:dyDescent="0.2">
      <c r="A927">
        <v>1925</v>
      </c>
      <c r="B927" t="s">
        <v>46</v>
      </c>
      <c r="C927" t="s">
        <v>29</v>
      </c>
      <c r="D927">
        <v>2022</v>
      </c>
      <c r="E927" t="s">
        <v>16</v>
      </c>
      <c r="F927">
        <v>414</v>
      </c>
      <c r="G927">
        <v>5</v>
      </c>
      <c r="H927">
        <v>5</v>
      </c>
      <c r="I927">
        <v>2008000</v>
      </c>
      <c r="J927">
        <v>4850.2</v>
      </c>
      <c r="K927">
        <v>2</v>
      </c>
      <c r="L927" t="s">
        <v>17</v>
      </c>
      <c r="M927">
        <v>64</v>
      </c>
      <c r="N927" t="s">
        <v>18</v>
      </c>
      <c r="P927">
        <f t="shared" si="140"/>
        <v>2008000</v>
      </c>
      <c r="Q927">
        <f t="shared" si="141"/>
        <v>414</v>
      </c>
      <c r="R927" t="e">
        <f t="shared" si="142"/>
        <v>#N/A</v>
      </c>
      <c r="S927" t="e">
        <f t="shared" si="143"/>
        <v>#N/A</v>
      </c>
      <c r="T927" t="e">
        <f t="shared" si="144"/>
        <v>#N/A</v>
      </c>
      <c r="U927" t="e">
        <f t="shared" si="145"/>
        <v>#N/A</v>
      </c>
      <c r="V927" t="e">
        <f t="shared" si="146"/>
        <v>#N/A</v>
      </c>
      <c r="W927" t="e">
        <f t="shared" si="147"/>
        <v>#N/A</v>
      </c>
      <c r="X927" t="e">
        <f t="shared" si="148"/>
        <v>#N/A</v>
      </c>
      <c r="Y927" t="e">
        <f t="shared" si="149"/>
        <v>#N/A</v>
      </c>
    </row>
    <row r="928" spans="1:25" x14ac:dyDescent="0.2">
      <c r="A928">
        <v>1926</v>
      </c>
      <c r="B928" t="s">
        <v>31</v>
      </c>
      <c r="C928" t="s">
        <v>15</v>
      </c>
      <c r="D928">
        <v>2024</v>
      </c>
      <c r="E928" t="s">
        <v>24</v>
      </c>
      <c r="F928">
        <v>154</v>
      </c>
      <c r="G928">
        <v>3</v>
      </c>
      <c r="H928">
        <v>3</v>
      </c>
      <c r="I928">
        <v>494000</v>
      </c>
      <c r="J928">
        <v>3207.8</v>
      </c>
      <c r="K928">
        <v>2</v>
      </c>
      <c r="L928" t="s">
        <v>17</v>
      </c>
      <c r="M928">
        <v>94</v>
      </c>
      <c r="N928" t="s">
        <v>21</v>
      </c>
      <c r="P928" t="e">
        <f t="shared" si="140"/>
        <v>#N/A</v>
      </c>
      <c r="Q928" t="e">
        <f t="shared" si="141"/>
        <v>#N/A</v>
      </c>
      <c r="R928">
        <f t="shared" si="142"/>
        <v>494000</v>
      </c>
      <c r="S928">
        <f t="shared" si="143"/>
        <v>154</v>
      </c>
      <c r="T928" t="e">
        <f t="shared" si="144"/>
        <v>#N/A</v>
      </c>
      <c r="U928" t="e">
        <f t="shared" si="145"/>
        <v>#N/A</v>
      </c>
      <c r="V928" t="e">
        <f t="shared" si="146"/>
        <v>#N/A</v>
      </c>
      <c r="W928" t="e">
        <f t="shared" si="147"/>
        <v>#N/A</v>
      </c>
      <c r="X928" t="e">
        <f t="shared" si="148"/>
        <v>#N/A</v>
      </c>
      <c r="Y928" t="e">
        <f t="shared" si="149"/>
        <v>#N/A</v>
      </c>
    </row>
    <row r="929" spans="1:25" x14ac:dyDescent="0.2">
      <c r="A929">
        <v>1927</v>
      </c>
      <c r="B929" t="s">
        <v>25</v>
      </c>
      <c r="C929" t="s">
        <v>29</v>
      </c>
      <c r="D929">
        <v>2023</v>
      </c>
      <c r="E929" t="s">
        <v>30</v>
      </c>
      <c r="F929">
        <v>360</v>
      </c>
      <c r="G929">
        <v>5</v>
      </c>
      <c r="H929">
        <v>5</v>
      </c>
      <c r="I929">
        <v>1419000</v>
      </c>
      <c r="J929">
        <v>3941.7</v>
      </c>
      <c r="K929">
        <v>20</v>
      </c>
      <c r="L929" t="s">
        <v>17</v>
      </c>
      <c r="M929">
        <v>6</v>
      </c>
      <c r="N929" t="s">
        <v>27</v>
      </c>
      <c r="P929">
        <f t="shared" si="140"/>
        <v>1419000</v>
      </c>
      <c r="Q929">
        <f t="shared" si="141"/>
        <v>360</v>
      </c>
      <c r="R929" t="e">
        <f t="shared" si="142"/>
        <v>#N/A</v>
      </c>
      <c r="S929" t="e">
        <f t="shared" si="143"/>
        <v>#N/A</v>
      </c>
      <c r="T929" t="e">
        <f t="shared" si="144"/>
        <v>#N/A</v>
      </c>
      <c r="U929" t="e">
        <f t="shared" si="145"/>
        <v>#N/A</v>
      </c>
      <c r="V929" t="e">
        <f t="shared" si="146"/>
        <v>#N/A</v>
      </c>
      <c r="W929" t="e">
        <f t="shared" si="147"/>
        <v>#N/A</v>
      </c>
      <c r="X929" t="e">
        <f t="shared" si="148"/>
        <v>#N/A</v>
      </c>
      <c r="Y929" t="e">
        <f t="shared" si="149"/>
        <v>#N/A</v>
      </c>
    </row>
    <row r="930" spans="1:25" x14ac:dyDescent="0.2">
      <c r="A930">
        <v>1928</v>
      </c>
      <c r="B930" t="s">
        <v>33</v>
      </c>
      <c r="C930" t="s">
        <v>23</v>
      </c>
      <c r="D930">
        <v>2024</v>
      </c>
      <c r="E930" t="s">
        <v>24</v>
      </c>
      <c r="F930">
        <v>286</v>
      </c>
      <c r="G930">
        <v>3</v>
      </c>
      <c r="H930">
        <v>3</v>
      </c>
      <c r="I930">
        <v>930000</v>
      </c>
      <c r="J930">
        <v>3251.7</v>
      </c>
      <c r="K930">
        <v>7</v>
      </c>
      <c r="L930" t="s">
        <v>34</v>
      </c>
      <c r="M930">
        <v>158</v>
      </c>
      <c r="N930" t="s">
        <v>27</v>
      </c>
      <c r="P930" t="e">
        <f t="shared" si="140"/>
        <v>#N/A</v>
      </c>
      <c r="Q930" t="e">
        <f t="shared" si="141"/>
        <v>#N/A</v>
      </c>
      <c r="R930" t="e">
        <f t="shared" si="142"/>
        <v>#N/A</v>
      </c>
      <c r="S930" t="e">
        <f t="shared" si="143"/>
        <v>#N/A</v>
      </c>
      <c r="T930">
        <f t="shared" si="144"/>
        <v>930000</v>
      </c>
      <c r="U930">
        <f t="shared" si="145"/>
        <v>286</v>
      </c>
      <c r="V930" t="e">
        <f t="shared" si="146"/>
        <v>#N/A</v>
      </c>
      <c r="W930" t="e">
        <f t="shared" si="147"/>
        <v>#N/A</v>
      </c>
      <c r="X930" t="e">
        <f t="shared" si="148"/>
        <v>#N/A</v>
      </c>
      <c r="Y930" t="e">
        <f t="shared" si="149"/>
        <v>#N/A</v>
      </c>
    </row>
    <row r="931" spans="1:25" x14ac:dyDescent="0.2">
      <c r="A931">
        <v>1929</v>
      </c>
      <c r="B931" t="s">
        <v>31</v>
      </c>
      <c r="C931" t="s">
        <v>38</v>
      </c>
      <c r="D931">
        <v>2024</v>
      </c>
      <c r="E931" t="s">
        <v>16</v>
      </c>
      <c r="F931">
        <v>41</v>
      </c>
      <c r="G931">
        <v>0</v>
      </c>
      <c r="H931">
        <v>1</v>
      </c>
      <c r="I931">
        <v>173000</v>
      </c>
      <c r="J931">
        <v>4219.5</v>
      </c>
      <c r="K931">
        <v>5</v>
      </c>
      <c r="L931" t="s">
        <v>34</v>
      </c>
      <c r="M931">
        <v>50</v>
      </c>
      <c r="N931" t="s">
        <v>21</v>
      </c>
      <c r="P931" t="e">
        <f t="shared" si="140"/>
        <v>#N/A</v>
      </c>
      <c r="Q931" t="e">
        <f t="shared" si="141"/>
        <v>#N/A</v>
      </c>
      <c r="R931" t="e">
        <f t="shared" si="142"/>
        <v>#N/A</v>
      </c>
      <c r="S931" t="e">
        <f t="shared" si="143"/>
        <v>#N/A</v>
      </c>
      <c r="T931" t="e">
        <f t="shared" si="144"/>
        <v>#N/A</v>
      </c>
      <c r="U931" t="e">
        <f t="shared" si="145"/>
        <v>#N/A</v>
      </c>
      <c r="V931">
        <f t="shared" si="146"/>
        <v>173000</v>
      </c>
      <c r="W931">
        <f t="shared" si="147"/>
        <v>41</v>
      </c>
      <c r="X931" t="e">
        <f t="shared" si="148"/>
        <v>#N/A</v>
      </c>
      <c r="Y931" t="e">
        <f t="shared" si="149"/>
        <v>#N/A</v>
      </c>
    </row>
    <row r="932" spans="1:25" x14ac:dyDescent="0.2">
      <c r="A932">
        <v>1930</v>
      </c>
      <c r="B932" t="s">
        <v>40</v>
      </c>
      <c r="C932" t="s">
        <v>15</v>
      </c>
      <c r="D932">
        <v>2023</v>
      </c>
      <c r="E932" t="s">
        <v>30</v>
      </c>
      <c r="F932">
        <v>201</v>
      </c>
      <c r="G932">
        <v>4</v>
      </c>
      <c r="H932">
        <v>4</v>
      </c>
      <c r="I932">
        <v>749000</v>
      </c>
      <c r="J932">
        <v>3726.4</v>
      </c>
      <c r="K932">
        <v>0</v>
      </c>
      <c r="L932" t="s">
        <v>20</v>
      </c>
      <c r="M932">
        <v>167</v>
      </c>
      <c r="N932" t="s">
        <v>18</v>
      </c>
      <c r="P932" t="e">
        <f t="shared" si="140"/>
        <v>#N/A</v>
      </c>
      <c r="Q932" t="e">
        <f t="shared" si="141"/>
        <v>#N/A</v>
      </c>
      <c r="R932">
        <f t="shared" si="142"/>
        <v>749000</v>
      </c>
      <c r="S932">
        <f t="shared" si="143"/>
        <v>201</v>
      </c>
      <c r="T932" t="e">
        <f t="shared" si="144"/>
        <v>#N/A</v>
      </c>
      <c r="U932" t="e">
        <f t="shared" si="145"/>
        <v>#N/A</v>
      </c>
      <c r="V932" t="e">
        <f t="shared" si="146"/>
        <v>#N/A</v>
      </c>
      <c r="W932" t="e">
        <f t="shared" si="147"/>
        <v>#N/A</v>
      </c>
      <c r="X932" t="e">
        <f t="shared" si="148"/>
        <v>#N/A</v>
      </c>
      <c r="Y932" t="e">
        <f t="shared" si="149"/>
        <v>#N/A</v>
      </c>
    </row>
    <row r="933" spans="1:25" x14ac:dyDescent="0.2">
      <c r="A933">
        <v>1931</v>
      </c>
      <c r="B933" t="s">
        <v>45</v>
      </c>
      <c r="C933" t="s">
        <v>29</v>
      </c>
      <c r="D933">
        <v>2022</v>
      </c>
      <c r="E933" t="s">
        <v>24</v>
      </c>
      <c r="F933">
        <v>506</v>
      </c>
      <c r="G933">
        <v>6</v>
      </c>
      <c r="H933">
        <v>6</v>
      </c>
      <c r="I933">
        <v>2888000</v>
      </c>
      <c r="J933">
        <v>5707.5</v>
      </c>
      <c r="K933">
        <v>0</v>
      </c>
      <c r="L933" t="s">
        <v>20</v>
      </c>
      <c r="M933">
        <v>82</v>
      </c>
      <c r="N933" t="s">
        <v>21</v>
      </c>
      <c r="P933">
        <f t="shared" si="140"/>
        <v>2888000</v>
      </c>
      <c r="Q933">
        <f t="shared" si="141"/>
        <v>506</v>
      </c>
      <c r="R933" t="e">
        <f t="shared" si="142"/>
        <v>#N/A</v>
      </c>
      <c r="S933" t="e">
        <f t="shared" si="143"/>
        <v>#N/A</v>
      </c>
      <c r="T933" t="e">
        <f t="shared" si="144"/>
        <v>#N/A</v>
      </c>
      <c r="U933" t="e">
        <f t="shared" si="145"/>
        <v>#N/A</v>
      </c>
      <c r="V933" t="e">
        <f t="shared" si="146"/>
        <v>#N/A</v>
      </c>
      <c r="W933" t="e">
        <f t="shared" si="147"/>
        <v>#N/A</v>
      </c>
      <c r="X933" t="e">
        <f t="shared" si="148"/>
        <v>#N/A</v>
      </c>
      <c r="Y933" t="e">
        <f t="shared" si="149"/>
        <v>#N/A</v>
      </c>
    </row>
    <row r="934" spans="1:25" x14ac:dyDescent="0.2">
      <c r="A934">
        <v>1932</v>
      </c>
      <c r="B934" t="s">
        <v>40</v>
      </c>
      <c r="C934" t="s">
        <v>15</v>
      </c>
      <c r="D934">
        <v>2021</v>
      </c>
      <c r="E934" t="s">
        <v>30</v>
      </c>
      <c r="F934">
        <v>147</v>
      </c>
      <c r="G934">
        <v>4</v>
      </c>
      <c r="H934">
        <v>4</v>
      </c>
      <c r="I934">
        <v>423000</v>
      </c>
      <c r="J934">
        <v>2877.6</v>
      </c>
      <c r="K934">
        <v>2</v>
      </c>
      <c r="L934" t="s">
        <v>34</v>
      </c>
      <c r="M934">
        <v>9</v>
      </c>
      <c r="N934" t="s">
        <v>18</v>
      </c>
      <c r="P934" t="e">
        <f t="shared" si="140"/>
        <v>#N/A</v>
      </c>
      <c r="Q934" t="e">
        <f t="shared" si="141"/>
        <v>#N/A</v>
      </c>
      <c r="R934">
        <f t="shared" si="142"/>
        <v>423000</v>
      </c>
      <c r="S934">
        <f t="shared" si="143"/>
        <v>147</v>
      </c>
      <c r="T934" t="e">
        <f t="shared" si="144"/>
        <v>#N/A</v>
      </c>
      <c r="U934" t="e">
        <f t="shared" si="145"/>
        <v>#N/A</v>
      </c>
      <c r="V934" t="e">
        <f t="shared" si="146"/>
        <v>#N/A</v>
      </c>
      <c r="W934" t="e">
        <f t="shared" si="147"/>
        <v>#N/A</v>
      </c>
      <c r="X934" t="e">
        <f t="shared" si="148"/>
        <v>#N/A</v>
      </c>
      <c r="Y934" t="e">
        <f t="shared" si="149"/>
        <v>#N/A</v>
      </c>
    </row>
    <row r="935" spans="1:25" x14ac:dyDescent="0.2">
      <c r="A935">
        <v>1933</v>
      </c>
      <c r="B935" t="s">
        <v>45</v>
      </c>
      <c r="C935" t="s">
        <v>15</v>
      </c>
      <c r="D935">
        <v>2023</v>
      </c>
      <c r="E935" t="s">
        <v>16</v>
      </c>
      <c r="F935">
        <v>171</v>
      </c>
      <c r="G935">
        <v>2</v>
      </c>
      <c r="H935">
        <v>2</v>
      </c>
      <c r="I935">
        <v>729000</v>
      </c>
      <c r="J935">
        <v>4263.2</v>
      </c>
      <c r="K935">
        <v>1</v>
      </c>
      <c r="L935" t="s">
        <v>17</v>
      </c>
      <c r="M935">
        <v>15</v>
      </c>
      <c r="N935" t="s">
        <v>21</v>
      </c>
      <c r="P935" t="e">
        <f t="shared" si="140"/>
        <v>#N/A</v>
      </c>
      <c r="Q935" t="e">
        <f t="shared" si="141"/>
        <v>#N/A</v>
      </c>
      <c r="R935">
        <f t="shared" si="142"/>
        <v>729000</v>
      </c>
      <c r="S935">
        <f t="shared" si="143"/>
        <v>171</v>
      </c>
      <c r="T935" t="e">
        <f t="shared" si="144"/>
        <v>#N/A</v>
      </c>
      <c r="U935" t="e">
        <f t="shared" si="145"/>
        <v>#N/A</v>
      </c>
      <c r="V935" t="e">
        <f t="shared" si="146"/>
        <v>#N/A</v>
      </c>
      <c r="W935" t="e">
        <f t="shared" si="147"/>
        <v>#N/A</v>
      </c>
      <c r="X935" t="e">
        <f t="shared" si="148"/>
        <v>#N/A</v>
      </c>
      <c r="Y935" t="e">
        <f t="shared" si="149"/>
        <v>#N/A</v>
      </c>
    </row>
    <row r="936" spans="1:25" x14ac:dyDescent="0.2">
      <c r="A936">
        <v>1934</v>
      </c>
      <c r="B936" t="s">
        <v>46</v>
      </c>
      <c r="C936" t="s">
        <v>15</v>
      </c>
      <c r="D936">
        <v>2023</v>
      </c>
      <c r="E936" t="s">
        <v>16</v>
      </c>
      <c r="F936">
        <v>126</v>
      </c>
      <c r="G936">
        <v>4</v>
      </c>
      <c r="H936">
        <v>4</v>
      </c>
      <c r="I936">
        <v>460000</v>
      </c>
      <c r="J936">
        <v>3650.8</v>
      </c>
      <c r="K936">
        <v>15</v>
      </c>
      <c r="L936" t="s">
        <v>34</v>
      </c>
      <c r="M936">
        <v>108</v>
      </c>
      <c r="N936" t="s">
        <v>18</v>
      </c>
      <c r="P936" t="e">
        <f t="shared" si="140"/>
        <v>#N/A</v>
      </c>
      <c r="Q936" t="e">
        <f t="shared" si="141"/>
        <v>#N/A</v>
      </c>
      <c r="R936">
        <f t="shared" si="142"/>
        <v>460000</v>
      </c>
      <c r="S936">
        <f t="shared" si="143"/>
        <v>126</v>
      </c>
      <c r="T936" t="e">
        <f t="shared" si="144"/>
        <v>#N/A</v>
      </c>
      <c r="U936" t="e">
        <f t="shared" si="145"/>
        <v>#N/A</v>
      </c>
      <c r="V936" t="e">
        <f t="shared" si="146"/>
        <v>#N/A</v>
      </c>
      <c r="W936" t="e">
        <f t="shared" si="147"/>
        <v>#N/A</v>
      </c>
      <c r="X936" t="e">
        <f t="shared" si="148"/>
        <v>#N/A</v>
      </c>
      <c r="Y936" t="e">
        <f t="shared" si="149"/>
        <v>#N/A</v>
      </c>
    </row>
    <row r="937" spans="1:25" x14ac:dyDescent="0.2">
      <c r="A937">
        <v>1935</v>
      </c>
      <c r="B937" t="s">
        <v>22</v>
      </c>
      <c r="C937" t="s">
        <v>29</v>
      </c>
      <c r="D937">
        <v>2023</v>
      </c>
      <c r="E937" t="s">
        <v>16</v>
      </c>
      <c r="F937">
        <v>502</v>
      </c>
      <c r="G937">
        <v>5</v>
      </c>
      <c r="H937">
        <v>5</v>
      </c>
      <c r="I937">
        <v>3031000</v>
      </c>
      <c r="J937">
        <v>6037.8</v>
      </c>
      <c r="K937">
        <v>5</v>
      </c>
      <c r="L937" t="s">
        <v>17</v>
      </c>
      <c r="M937">
        <v>16</v>
      </c>
      <c r="N937" t="s">
        <v>18</v>
      </c>
      <c r="P937">
        <f t="shared" si="140"/>
        <v>3031000</v>
      </c>
      <c r="Q937">
        <f t="shared" si="141"/>
        <v>502</v>
      </c>
      <c r="R937" t="e">
        <f t="shared" si="142"/>
        <v>#N/A</v>
      </c>
      <c r="S937" t="e">
        <f t="shared" si="143"/>
        <v>#N/A</v>
      </c>
      <c r="T937" t="e">
        <f t="shared" si="144"/>
        <v>#N/A</v>
      </c>
      <c r="U937" t="e">
        <f t="shared" si="145"/>
        <v>#N/A</v>
      </c>
      <c r="V937" t="e">
        <f t="shared" si="146"/>
        <v>#N/A</v>
      </c>
      <c r="W937" t="e">
        <f t="shared" si="147"/>
        <v>#N/A</v>
      </c>
      <c r="X937" t="e">
        <f t="shared" si="148"/>
        <v>#N/A</v>
      </c>
      <c r="Y937" t="e">
        <f t="shared" si="149"/>
        <v>#N/A</v>
      </c>
    </row>
    <row r="938" spans="1:25" x14ac:dyDescent="0.2">
      <c r="A938">
        <v>1936</v>
      </c>
      <c r="B938" t="s">
        <v>33</v>
      </c>
      <c r="C938" t="s">
        <v>36</v>
      </c>
      <c r="D938">
        <v>2024</v>
      </c>
      <c r="E938" t="s">
        <v>16</v>
      </c>
      <c r="F938">
        <v>330</v>
      </c>
      <c r="G938">
        <v>3</v>
      </c>
      <c r="H938">
        <v>3</v>
      </c>
      <c r="I938">
        <v>693000</v>
      </c>
      <c r="J938">
        <v>2100</v>
      </c>
      <c r="K938">
        <v>4</v>
      </c>
      <c r="L938" t="s">
        <v>17</v>
      </c>
      <c r="M938">
        <v>91</v>
      </c>
      <c r="N938" t="s">
        <v>27</v>
      </c>
      <c r="P938" t="e">
        <f t="shared" si="140"/>
        <v>#N/A</v>
      </c>
      <c r="Q938" t="e">
        <f t="shared" si="141"/>
        <v>#N/A</v>
      </c>
      <c r="R938" t="e">
        <f t="shared" si="142"/>
        <v>#N/A</v>
      </c>
      <c r="S938" t="e">
        <f t="shared" si="143"/>
        <v>#N/A</v>
      </c>
      <c r="T938" t="e">
        <f t="shared" si="144"/>
        <v>#N/A</v>
      </c>
      <c r="U938" t="e">
        <f t="shared" si="145"/>
        <v>#N/A</v>
      </c>
      <c r="V938" t="e">
        <f t="shared" si="146"/>
        <v>#N/A</v>
      </c>
      <c r="W938" t="e">
        <f t="shared" si="147"/>
        <v>#N/A</v>
      </c>
      <c r="X938">
        <f t="shared" si="148"/>
        <v>693000</v>
      </c>
      <c r="Y938">
        <f t="shared" si="149"/>
        <v>330</v>
      </c>
    </row>
    <row r="939" spans="1:25" x14ac:dyDescent="0.2">
      <c r="A939">
        <v>1937</v>
      </c>
      <c r="B939" t="s">
        <v>28</v>
      </c>
      <c r="C939" t="s">
        <v>29</v>
      </c>
      <c r="D939">
        <v>2024</v>
      </c>
      <c r="E939" t="s">
        <v>26</v>
      </c>
      <c r="F939">
        <v>388</v>
      </c>
      <c r="G939">
        <v>6</v>
      </c>
      <c r="H939">
        <v>6</v>
      </c>
      <c r="I939">
        <v>2028000</v>
      </c>
      <c r="J939">
        <v>5226.8</v>
      </c>
      <c r="K939">
        <v>15</v>
      </c>
      <c r="L939" t="s">
        <v>20</v>
      </c>
      <c r="M939">
        <v>139</v>
      </c>
      <c r="N939" t="s">
        <v>27</v>
      </c>
      <c r="P939">
        <f t="shared" si="140"/>
        <v>2028000</v>
      </c>
      <c r="Q939">
        <f t="shared" si="141"/>
        <v>388</v>
      </c>
      <c r="R939" t="e">
        <f t="shared" si="142"/>
        <v>#N/A</v>
      </c>
      <c r="S939" t="e">
        <f t="shared" si="143"/>
        <v>#N/A</v>
      </c>
      <c r="T939" t="e">
        <f t="shared" si="144"/>
        <v>#N/A</v>
      </c>
      <c r="U939" t="e">
        <f t="shared" si="145"/>
        <v>#N/A</v>
      </c>
      <c r="V939" t="e">
        <f t="shared" si="146"/>
        <v>#N/A</v>
      </c>
      <c r="W939" t="e">
        <f t="shared" si="147"/>
        <v>#N/A</v>
      </c>
      <c r="X939" t="e">
        <f t="shared" si="148"/>
        <v>#N/A</v>
      </c>
      <c r="Y939" t="e">
        <f t="shared" si="149"/>
        <v>#N/A</v>
      </c>
    </row>
    <row r="940" spans="1:25" x14ac:dyDescent="0.2">
      <c r="A940">
        <v>1938</v>
      </c>
      <c r="B940" t="s">
        <v>39</v>
      </c>
      <c r="C940" t="s">
        <v>23</v>
      </c>
      <c r="D940">
        <v>2023</v>
      </c>
      <c r="E940" t="s">
        <v>16</v>
      </c>
      <c r="F940">
        <v>232</v>
      </c>
      <c r="G940">
        <v>4</v>
      </c>
      <c r="H940">
        <v>4</v>
      </c>
      <c r="I940">
        <v>1076000</v>
      </c>
      <c r="J940">
        <v>4637.8999999999996</v>
      </c>
      <c r="K940">
        <v>10</v>
      </c>
      <c r="L940" t="s">
        <v>17</v>
      </c>
      <c r="M940">
        <v>73</v>
      </c>
      <c r="N940" t="s">
        <v>21</v>
      </c>
      <c r="P940" t="e">
        <f t="shared" si="140"/>
        <v>#N/A</v>
      </c>
      <c r="Q940" t="e">
        <f t="shared" si="141"/>
        <v>#N/A</v>
      </c>
      <c r="R940" t="e">
        <f t="shared" si="142"/>
        <v>#N/A</v>
      </c>
      <c r="S940" t="e">
        <f t="shared" si="143"/>
        <v>#N/A</v>
      </c>
      <c r="T940">
        <f t="shared" si="144"/>
        <v>1076000</v>
      </c>
      <c r="U940">
        <f t="shared" si="145"/>
        <v>232</v>
      </c>
      <c r="V940" t="e">
        <f t="shared" si="146"/>
        <v>#N/A</v>
      </c>
      <c r="W940" t="e">
        <f t="shared" si="147"/>
        <v>#N/A</v>
      </c>
      <c r="X940" t="e">
        <f t="shared" si="148"/>
        <v>#N/A</v>
      </c>
      <c r="Y940" t="e">
        <f t="shared" si="149"/>
        <v>#N/A</v>
      </c>
    </row>
    <row r="941" spans="1:25" x14ac:dyDescent="0.2">
      <c r="A941">
        <v>1939</v>
      </c>
      <c r="B941" t="s">
        <v>41</v>
      </c>
      <c r="C941" t="s">
        <v>29</v>
      </c>
      <c r="D941">
        <v>2024</v>
      </c>
      <c r="E941" t="s">
        <v>30</v>
      </c>
      <c r="F941">
        <v>454</v>
      </c>
      <c r="G941">
        <v>5</v>
      </c>
      <c r="H941">
        <v>5</v>
      </c>
      <c r="I941">
        <v>3662000</v>
      </c>
      <c r="J941">
        <v>8066.1</v>
      </c>
      <c r="K941">
        <v>0</v>
      </c>
      <c r="L941" t="s">
        <v>17</v>
      </c>
      <c r="M941">
        <v>148</v>
      </c>
      <c r="N941" t="s">
        <v>21</v>
      </c>
      <c r="P941">
        <f t="shared" si="140"/>
        <v>3662000</v>
      </c>
      <c r="Q941">
        <f t="shared" si="141"/>
        <v>454</v>
      </c>
      <c r="R941" t="e">
        <f t="shared" si="142"/>
        <v>#N/A</v>
      </c>
      <c r="S941" t="e">
        <f t="shared" si="143"/>
        <v>#N/A</v>
      </c>
      <c r="T941" t="e">
        <f t="shared" si="144"/>
        <v>#N/A</v>
      </c>
      <c r="U941" t="e">
        <f t="shared" si="145"/>
        <v>#N/A</v>
      </c>
      <c r="V941" t="e">
        <f t="shared" si="146"/>
        <v>#N/A</v>
      </c>
      <c r="W941" t="e">
        <f t="shared" si="147"/>
        <v>#N/A</v>
      </c>
      <c r="X941" t="e">
        <f t="shared" si="148"/>
        <v>#N/A</v>
      </c>
      <c r="Y941" t="e">
        <f t="shared" si="149"/>
        <v>#N/A</v>
      </c>
    </row>
    <row r="942" spans="1:25" x14ac:dyDescent="0.2">
      <c r="A942">
        <v>1940</v>
      </c>
      <c r="B942" t="s">
        <v>33</v>
      </c>
      <c r="C942" t="s">
        <v>29</v>
      </c>
      <c r="D942">
        <v>2023</v>
      </c>
      <c r="E942" t="s">
        <v>30</v>
      </c>
      <c r="F942">
        <v>422</v>
      </c>
      <c r="G942">
        <v>5</v>
      </c>
      <c r="H942">
        <v>5</v>
      </c>
      <c r="I942">
        <v>1870000</v>
      </c>
      <c r="J942">
        <v>4431.3</v>
      </c>
      <c r="K942">
        <v>0</v>
      </c>
      <c r="L942" t="s">
        <v>17</v>
      </c>
      <c r="M942">
        <v>90</v>
      </c>
      <c r="N942" t="s">
        <v>27</v>
      </c>
      <c r="P942">
        <f t="shared" si="140"/>
        <v>1870000</v>
      </c>
      <c r="Q942">
        <f t="shared" si="141"/>
        <v>422</v>
      </c>
      <c r="R942" t="e">
        <f t="shared" si="142"/>
        <v>#N/A</v>
      </c>
      <c r="S942" t="e">
        <f t="shared" si="143"/>
        <v>#N/A</v>
      </c>
      <c r="T942" t="e">
        <f t="shared" si="144"/>
        <v>#N/A</v>
      </c>
      <c r="U942" t="e">
        <f t="shared" si="145"/>
        <v>#N/A</v>
      </c>
      <c r="V942" t="e">
        <f t="shared" si="146"/>
        <v>#N/A</v>
      </c>
      <c r="W942" t="e">
        <f t="shared" si="147"/>
        <v>#N/A</v>
      </c>
      <c r="X942" t="e">
        <f t="shared" si="148"/>
        <v>#N/A</v>
      </c>
      <c r="Y942" t="e">
        <f t="shared" si="149"/>
        <v>#N/A</v>
      </c>
    </row>
    <row r="943" spans="1:25" x14ac:dyDescent="0.2">
      <c r="A943">
        <v>1941</v>
      </c>
      <c r="B943" t="s">
        <v>46</v>
      </c>
      <c r="C943" t="s">
        <v>38</v>
      </c>
      <c r="D943">
        <v>2022</v>
      </c>
      <c r="E943" t="s">
        <v>24</v>
      </c>
      <c r="F943">
        <v>69</v>
      </c>
      <c r="G943">
        <v>0</v>
      </c>
      <c r="H943">
        <v>1</v>
      </c>
      <c r="I943">
        <v>286000</v>
      </c>
      <c r="J943">
        <v>4144.8999999999996</v>
      </c>
      <c r="K943">
        <v>7</v>
      </c>
      <c r="L943" t="s">
        <v>20</v>
      </c>
      <c r="M943">
        <v>1</v>
      </c>
      <c r="N943" t="s">
        <v>18</v>
      </c>
      <c r="P943" t="e">
        <f t="shared" si="140"/>
        <v>#N/A</v>
      </c>
      <c r="Q943" t="e">
        <f t="shared" si="141"/>
        <v>#N/A</v>
      </c>
      <c r="R943" t="e">
        <f t="shared" si="142"/>
        <v>#N/A</v>
      </c>
      <c r="S943" t="e">
        <f t="shared" si="143"/>
        <v>#N/A</v>
      </c>
      <c r="T943" t="e">
        <f t="shared" si="144"/>
        <v>#N/A</v>
      </c>
      <c r="U943" t="e">
        <f t="shared" si="145"/>
        <v>#N/A</v>
      </c>
      <c r="V943">
        <f t="shared" si="146"/>
        <v>286000</v>
      </c>
      <c r="W943">
        <f t="shared" si="147"/>
        <v>69</v>
      </c>
      <c r="X943" t="e">
        <f t="shared" si="148"/>
        <v>#N/A</v>
      </c>
      <c r="Y943" t="e">
        <f t="shared" si="149"/>
        <v>#N/A</v>
      </c>
    </row>
    <row r="944" spans="1:25" x14ac:dyDescent="0.2">
      <c r="A944">
        <v>1942</v>
      </c>
      <c r="B944" t="s">
        <v>25</v>
      </c>
      <c r="C944" t="s">
        <v>38</v>
      </c>
      <c r="D944">
        <v>2021</v>
      </c>
      <c r="E944" t="s">
        <v>16</v>
      </c>
      <c r="F944">
        <v>44</v>
      </c>
      <c r="G944">
        <v>0</v>
      </c>
      <c r="H944">
        <v>1</v>
      </c>
      <c r="I944">
        <v>139000</v>
      </c>
      <c r="J944">
        <v>3159.1</v>
      </c>
      <c r="K944">
        <v>15</v>
      </c>
      <c r="L944" t="s">
        <v>17</v>
      </c>
      <c r="M944">
        <v>11</v>
      </c>
      <c r="N944" t="s">
        <v>27</v>
      </c>
      <c r="P944" t="e">
        <f t="shared" si="140"/>
        <v>#N/A</v>
      </c>
      <c r="Q944" t="e">
        <f t="shared" si="141"/>
        <v>#N/A</v>
      </c>
      <c r="R944" t="e">
        <f t="shared" si="142"/>
        <v>#N/A</v>
      </c>
      <c r="S944" t="e">
        <f t="shared" si="143"/>
        <v>#N/A</v>
      </c>
      <c r="T944" t="e">
        <f t="shared" si="144"/>
        <v>#N/A</v>
      </c>
      <c r="U944" t="e">
        <f t="shared" si="145"/>
        <v>#N/A</v>
      </c>
      <c r="V944">
        <f t="shared" si="146"/>
        <v>139000</v>
      </c>
      <c r="W944">
        <f t="shared" si="147"/>
        <v>44</v>
      </c>
      <c r="X944" t="e">
        <f t="shared" si="148"/>
        <v>#N/A</v>
      </c>
      <c r="Y944" t="e">
        <f t="shared" si="149"/>
        <v>#N/A</v>
      </c>
    </row>
    <row r="945" spans="1:25" x14ac:dyDescent="0.2">
      <c r="A945">
        <v>1943</v>
      </c>
      <c r="B945" t="s">
        <v>14</v>
      </c>
      <c r="C945" t="s">
        <v>15</v>
      </c>
      <c r="D945">
        <v>2024</v>
      </c>
      <c r="E945" t="s">
        <v>16</v>
      </c>
      <c r="F945">
        <v>158</v>
      </c>
      <c r="G945">
        <v>3</v>
      </c>
      <c r="H945">
        <v>3</v>
      </c>
      <c r="I945">
        <v>645000</v>
      </c>
      <c r="J945">
        <v>4082.3</v>
      </c>
      <c r="K945">
        <v>5</v>
      </c>
      <c r="L945" t="s">
        <v>17</v>
      </c>
      <c r="M945">
        <v>115</v>
      </c>
      <c r="N945" t="s">
        <v>18</v>
      </c>
      <c r="P945" t="e">
        <f t="shared" si="140"/>
        <v>#N/A</v>
      </c>
      <c r="Q945" t="e">
        <f t="shared" si="141"/>
        <v>#N/A</v>
      </c>
      <c r="R945">
        <f t="shared" si="142"/>
        <v>645000</v>
      </c>
      <c r="S945">
        <f t="shared" si="143"/>
        <v>158</v>
      </c>
      <c r="T945" t="e">
        <f t="shared" si="144"/>
        <v>#N/A</v>
      </c>
      <c r="U945" t="e">
        <f t="shared" si="145"/>
        <v>#N/A</v>
      </c>
      <c r="V945" t="e">
        <f t="shared" si="146"/>
        <v>#N/A</v>
      </c>
      <c r="W945" t="e">
        <f t="shared" si="147"/>
        <v>#N/A</v>
      </c>
      <c r="X945" t="e">
        <f t="shared" si="148"/>
        <v>#N/A</v>
      </c>
      <c r="Y945" t="e">
        <f t="shared" si="149"/>
        <v>#N/A</v>
      </c>
    </row>
    <row r="946" spans="1:25" x14ac:dyDescent="0.2">
      <c r="A946">
        <v>1944</v>
      </c>
      <c r="B946" t="s">
        <v>22</v>
      </c>
      <c r="C946" t="s">
        <v>15</v>
      </c>
      <c r="D946">
        <v>2022</v>
      </c>
      <c r="E946" t="s">
        <v>16</v>
      </c>
      <c r="F946">
        <v>181</v>
      </c>
      <c r="G946">
        <v>3</v>
      </c>
      <c r="H946">
        <v>3</v>
      </c>
      <c r="I946">
        <v>645000</v>
      </c>
      <c r="J946">
        <v>3563.5</v>
      </c>
      <c r="K946">
        <v>2</v>
      </c>
      <c r="L946" t="s">
        <v>20</v>
      </c>
      <c r="M946">
        <v>106</v>
      </c>
      <c r="N946" t="s">
        <v>18</v>
      </c>
      <c r="P946" t="e">
        <f t="shared" si="140"/>
        <v>#N/A</v>
      </c>
      <c r="Q946" t="e">
        <f t="shared" si="141"/>
        <v>#N/A</v>
      </c>
      <c r="R946">
        <f t="shared" si="142"/>
        <v>645000</v>
      </c>
      <c r="S946">
        <f t="shared" si="143"/>
        <v>181</v>
      </c>
      <c r="T946" t="e">
        <f t="shared" si="144"/>
        <v>#N/A</v>
      </c>
      <c r="U946" t="e">
        <f t="shared" si="145"/>
        <v>#N/A</v>
      </c>
      <c r="V946" t="e">
        <f t="shared" si="146"/>
        <v>#N/A</v>
      </c>
      <c r="W946" t="e">
        <f t="shared" si="147"/>
        <v>#N/A</v>
      </c>
      <c r="X946" t="e">
        <f t="shared" si="148"/>
        <v>#N/A</v>
      </c>
      <c r="Y946" t="e">
        <f t="shared" si="149"/>
        <v>#N/A</v>
      </c>
    </row>
    <row r="947" spans="1:25" x14ac:dyDescent="0.2">
      <c r="A947">
        <v>1945</v>
      </c>
      <c r="B947" t="s">
        <v>28</v>
      </c>
      <c r="C947" t="s">
        <v>23</v>
      </c>
      <c r="D947">
        <v>2024</v>
      </c>
      <c r="E947" t="s">
        <v>26</v>
      </c>
      <c r="F947">
        <v>409</v>
      </c>
      <c r="G947">
        <v>5</v>
      </c>
      <c r="H947">
        <v>5</v>
      </c>
      <c r="I947">
        <v>1645000</v>
      </c>
      <c r="J947">
        <v>4022</v>
      </c>
      <c r="K947">
        <v>0</v>
      </c>
      <c r="L947" t="s">
        <v>20</v>
      </c>
      <c r="M947">
        <v>22</v>
      </c>
      <c r="N947" t="s">
        <v>27</v>
      </c>
      <c r="P947" t="e">
        <f t="shared" si="140"/>
        <v>#N/A</v>
      </c>
      <c r="Q947" t="e">
        <f t="shared" si="141"/>
        <v>#N/A</v>
      </c>
      <c r="R947" t="e">
        <f t="shared" si="142"/>
        <v>#N/A</v>
      </c>
      <c r="S947" t="e">
        <f t="shared" si="143"/>
        <v>#N/A</v>
      </c>
      <c r="T947">
        <f t="shared" si="144"/>
        <v>1645000</v>
      </c>
      <c r="U947">
        <f t="shared" si="145"/>
        <v>409</v>
      </c>
      <c r="V947" t="e">
        <f t="shared" si="146"/>
        <v>#N/A</v>
      </c>
      <c r="W947" t="e">
        <f t="shared" si="147"/>
        <v>#N/A</v>
      </c>
      <c r="X947" t="e">
        <f t="shared" si="148"/>
        <v>#N/A</v>
      </c>
      <c r="Y947" t="e">
        <f t="shared" si="149"/>
        <v>#N/A</v>
      </c>
    </row>
    <row r="948" spans="1:25" x14ac:dyDescent="0.2">
      <c r="A948">
        <v>1946</v>
      </c>
      <c r="B948" t="s">
        <v>47</v>
      </c>
      <c r="C948" t="s">
        <v>15</v>
      </c>
      <c r="D948">
        <v>2023</v>
      </c>
      <c r="E948" t="s">
        <v>30</v>
      </c>
      <c r="F948">
        <v>151</v>
      </c>
      <c r="G948">
        <v>4</v>
      </c>
      <c r="H948">
        <v>4</v>
      </c>
      <c r="I948">
        <v>452000</v>
      </c>
      <c r="J948">
        <v>2993.4</v>
      </c>
      <c r="K948">
        <v>4</v>
      </c>
      <c r="L948" t="s">
        <v>17</v>
      </c>
      <c r="M948">
        <v>50</v>
      </c>
      <c r="N948" t="s">
        <v>21</v>
      </c>
      <c r="P948" t="e">
        <f t="shared" si="140"/>
        <v>#N/A</v>
      </c>
      <c r="Q948" t="e">
        <f t="shared" si="141"/>
        <v>#N/A</v>
      </c>
      <c r="R948">
        <f t="shared" si="142"/>
        <v>452000</v>
      </c>
      <c r="S948">
        <f t="shared" si="143"/>
        <v>151</v>
      </c>
      <c r="T948" t="e">
        <f t="shared" si="144"/>
        <v>#N/A</v>
      </c>
      <c r="U948" t="e">
        <f t="shared" si="145"/>
        <v>#N/A</v>
      </c>
      <c r="V948" t="e">
        <f t="shared" si="146"/>
        <v>#N/A</v>
      </c>
      <c r="W948" t="e">
        <f t="shared" si="147"/>
        <v>#N/A</v>
      </c>
      <c r="X948" t="e">
        <f t="shared" si="148"/>
        <v>#N/A</v>
      </c>
      <c r="Y948" t="e">
        <f t="shared" si="149"/>
        <v>#N/A</v>
      </c>
    </row>
    <row r="949" spans="1:25" x14ac:dyDescent="0.2">
      <c r="A949">
        <v>1947</v>
      </c>
      <c r="B949" t="s">
        <v>22</v>
      </c>
      <c r="C949" t="s">
        <v>15</v>
      </c>
      <c r="D949">
        <v>2022</v>
      </c>
      <c r="E949" t="s">
        <v>24</v>
      </c>
      <c r="F949">
        <v>134</v>
      </c>
      <c r="G949">
        <v>4</v>
      </c>
      <c r="H949">
        <v>4</v>
      </c>
      <c r="I949">
        <v>488000</v>
      </c>
      <c r="J949">
        <v>3641.8</v>
      </c>
      <c r="K949">
        <v>1</v>
      </c>
      <c r="L949" t="s">
        <v>17</v>
      </c>
      <c r="M949">
        <v>102</v>
      </c>
      <c r="N949" t="s">
        <v>18</v>
      </c>
      <c r="P949" t="e">
        <f t="shared" si="140"/>
        <v>#N/A</v>
      </c>
      <c r="Q949" t="e">
        <f t="shared" si="141"/>
        <v>#N/A</v>
      </c>
      <c r="R949">
        <f t="shared" si="142"/>
        <v>488000</v>
      </c>
      <c r="S949">
        <f t="shared" si="143"/>
        <v>134</v>
      </c>
      <c r="T949" t="e">
        <f t="shared" si="144"/>
        <v>#N/A</v>
      </c>
      <c r="U949" t="e">
        <f t="shared" si="145"/>
        <v>#N/A</v>
      </c>
      <c r="V949" t="e">
        <f t="shared" si="146"/>
        <v>#N/A</v>
      </c>
      <c r="W949" t="e">
        <f t="shared" si="147"/>
        <v>#N/A</v>
      </c>
      <c r="X949" t="e">
        <f t="shared" si="148"/>
        <v>#N/A</v>
      </c>
      <c r="Y949" t="e">
        <f t="shared" si="149"/>
        <v>#N/A</v>
      </c>
    </row>
    <row r="950" spans="1:25" x14ac:dyDescent="0.2">
      <c r="A950">
        <v>1948</v>
      </c>
      <c r="B950" t="s">
        <v>48</v>
      </c>
      <c r="C950" t="s">
        <v>23</v>
      </c>
      <c r="D950">
        <v>2022</v>
      </c>
      <c r="E950" t="s">
        <v>24</v>
      </c>
      <c r="F950">
        <v>288</v>
      </c>
      <c r="G950">
        <v>5</v>
      </c>
      <c r="H950">
        <v>5</v>
      </c>
      <c r="I950">
        <v>1004000</v>
      </c>
      <c r="J950">
        <v>3486.1</v>
      </c>
      <c r="K950">
        <v>4</v>
      </c>
      <c r="L950" t="s">
        <v>34</v>
      </c>
      <c r="M950">
        <v>110</v>
      </c>
      <c r="N950" t="s">
        <v>27</v>
      </c>
      <c r="P950" t="e">
        <f t="shared" si="140"/>
        <v>#N/A</v>
      </c>
      <c r="Q950" t="e">
        <f t="shared" si="141"/>
        <v>#N/A</v>
      </c>
      <c r="R950" t="e">
        <f t="shared" si="142"/>
        <v>#N/A</v>
      </c>
      <c r="S950" t="e">
        <f t="shared" si="143"/>
        <v>#N/A</v>
      </c>
      <c r="T950">
        <f t="shared" si="144"/>
        <v>1004000</v>
      </c>
      <c r="U950">
        <f t="shared" si="145"/>
        <v>288</v>
      </c>
      <c r="V950" t="e">
        <f t="shared" si="146"/>
        <v>#N/A</v>
      </c>
      <c r="W950" t="e">
        <f t="shared" si="147"/>
        <v>#N/A</v>
      </c>
      <c r="X950" t="e">
        <f t="shared" si="148"/>
        <v>#N/A</v>
      </c>
      <c r="Y950" t="e">
        <f t="shared" si="149"/>
        <v>#N/A</v>
      </c>
    </row>
    <row r="951" spans="1:25" x14ac:dyDescent="0.2">
      <c r="A951">
        <v>1949</v>
      </c>
      <c r="B951" t="s">
        <v>22</v>
      </c>
      <c r="C951" t="s">
        <v>29</v>
      </c>
      <c r="D951">
        <v>2023</v>
      </c>
      <c r="E951" t="s">
        <v>16</v>
      </c>
      <c r="F951">
        <v>525</v>
      </c>
      <c r="G951">
        <v>6</v>
      </c>
      <c r="H951">
        <v>6</v>
      </c>
      <c r="I951">
        <v>2888000</v>
      </c>
      <c r="J951">
        <v>5501</v>
      </c>
      <c r="K951">
        <v>0</v>
      </c>
      <c r="L951" t="s">
        <v>34</v>
      </c>
      <c r="M951">
        <v>29</v>
      </c>
      <c r="N951" t="s">
        <v>18</v>
      </c>
      <c r="P951">
        <f t="shared" si="140"/>
        <v>2888000</v>
      </c>
      <c r="Q951">
        <f t="shared" si="141"/>
        <v>525</v>
      </c>
      <c r="R951" t="e">
        <f t="shared" si="142"/>
        <v>#N/A</v>
      </c>
      <c r="S951" t="e">
        <f t="shared" si="143"/>
        <v>#N/A</v>
      </c>
      <c r="T951" t="e">
        <f t="shared" si="144"/>
        <v>#N/A</v>
      </c>
      <c r="U951" t="e">
        <f t="shared" si="145"/>
        <v>#N/A</v>
      </c>
      <c r="V951" t="e">
        <f t="shared" si="146"/>
        <v>#N/A</v>
      </c>
      <c r="W951" t="e">
        <f t="shared" si="147"/>
        <v>#N/A</v>
      </c>
      <c r="X951" t="e">
        <f t="shared" si="148"/>
        <v>#N/A</v>
      </c>
      <c r="Y951" t="e">
        <f t="shared" si="149"/>
        <v>#N/A</v>
      </c>
    </row>
    <row r="952" spans="1:25" x14ac:dyDescent="0.2">
      <c r="A952">
        <v>1950</v>
      </c>
      <c r="B952" t="s">
        <v>14</v>
      </c>
      <c r="C952" t="s">
        <v>23</v>
      </c>
      <c r="D952">
        <v>2024</v>
      </c>
      <c r="E952" t="s">
        <v>26</v>
      </c>
      <c r="F952">
        <v>346</v>
      </c>
      <c r="G952">
        <v>4</v>
      </c>
      <c r="H952">
        <v>4</v>
      </c>
      <c r="I952">
        <v>1663000</v>
      </c>
      <c r="J952">
        <v>4806.3999999999996</v>
      </c>
      <c r="K952">
        <v>15</v>
      </c>
      <c r="L952" t="s">
        <v>20</v>
      </c>
      <c r="M952">
        <v>161</v>
      </c>
      <c r="N952" t="s">
        <v>18</v>
      </c>
      <c r="P952" t="e">
        <f t="shared" si="140"/>
        <v>#N/A</v>
      </c>
      <c r="Q952" t="e">
        <f t="shared" si="141"/>
        <v>#N/A</v>
      </c>
      <c r="R952" t="e">
        <f t="shared" si="142"/>
        <v>#N/A</v>
      </c>
      <c r="S952" t="e">
        <f t="shared" si="143"/>
        <v>#N/A</v>
      </c>
      <c r="T952">
        <f t="shared" si="144"/>
        <v>1663000</v>
      </c>
      <c r="U952">
        <f t="shared" si="145"/>
        <v>346</v>
      </c>
      <c r="V952" t="e">
        <f t="shared" si="146"/>
        <v>#N/A</v>
      </c>
      <c r="W952" t="e">
        <f t="shared" si="147"/>
        <v>#N/A</v>
      </c>
      <c r="X952" t="e">
        <f t="shared" si="148"/>
        <v>#N/A</v>
      </c>
      <c r="Y952" t="e">
        <f t="shared" si="149"/>
        <v>#N/A</v>
      </c>
    </row>
    <row r="953" spans="1:25" x14ac:dyDescent="0.2">
      <c r="A953">
        <v>1951</v>
      </c>
      <c r="B953" t="s">
        <v>42</v>
      </c>
      <c r="C953" t="s">
        <v>36</v>
      </c>
      <c r="D953">
        <v>2021</v>
      </c>
      <c r="E953" t="s">
        <v>24</v>
      </c>
      <c r="F953">
        <v>343</v>
      </c>
      <c r="G953">
        <v>4</v>
      </c>
      <c r="H953">
        <v>4</v>
      </c>
      <c r="I953">
        <v>1031000</v>
      </c>
      <c r="J953">
        <v>3005.8</v>
      </c>
      <c r="K953">
        <v>10</v>
      </c>
      <c r="L953" t="s">
        <v>17</v>
      </c>
      <c r="M953">
        <v>152</v>
      </c>
      <c r="N953" t="s">
        <v>21</v>
      </c>
      <c r="P953" t="e">
        <f t="shared" si="140"/>
        <v>#N/A</v>
      </c>
      <c r="Q953" t="e">
        <f t="shared" si="141"/>
        <v>#N/A</v>
      </c>
      <c r="R953" t="e">
        <f t="shared" si="142"/>
        <v>#N/A</v>
      </c>
      <c r="S953" t="e">
        <f t="shared" si="143"/>
        <v>#N/A</v>
      </c>
      <c r="T953" t="e">
        <f t="shared" si="144"/>
        <v>#N/A</v>
      </c>
      <c r="U953" t="e">
        <f t="shared" si="145"/>
        <v>#N/A</v>
      </c>
      <c r="V953" t="e">
        <f t="shared" si="146"/>
        <v>#N/A</v>
      </c>
      <c r="W953" t="e">
        <f t="shared" si="147"/>
        <v>#N/A</v>
      </c>
      <c r="X953">
        <f t="shared" si="148"/>
        <v>1031000</v>
      </c>
      <c r="Y953">
        <f t="shared" si="149"/>
        <v>343</v>
      </c>
    </row>
    <row r="954" spans="1:25" x14ac:dyDescent="0.2">
      <c r="A954">
        <v>1952</v>
      </c>
      <c r="B954" t="s">
        <v>22</v>
      </c>
      <c r="C954" t="s">
        <v>15</v>
      </c>
      <c r="D954">
        <v>2024</v>
      </c>
      <c r="E954" t="s">
        <v>26</v>
      </c>
      <c r="F954">
        <v>184</v>
      </c>
      <c r="G954">
        <v>3</v>
      </c>
      <c r="H954">
        <v>3</v>
      </c>
      <c r="I954">
        <v>708000</v>
      </c>
      <c r="J954">
        <v>3847.8</v>
      </c>
      <c r="K954">
        <v>4</v>
      </c>
      <c r="L954" t="s">
        <v>17</v>
      </c>
      <c r="M954">
        <v>41</v>
      </c>
      <c r="N954" t="s">
        <v>18</v>
      </c>
      <c r="P954" t="e">
        <f t="shared" si="140"/>
        <v>#N/A</v>
      </c>
      <c r="Q954" t="e">
        <f t="shared" si="141"/>
        <v>#N/A</v>
      </c>
      <c r="R954">
        <f t="shared" si="142"/>
        <v>708000</v>
      </c>
      <c r="S954">
        <f t="shared" si="143"/>
        <v>184</v>
      </c>
      <c r="T954" t="e">
        <f t="shared" si="144"/>
        <v>#N/A</v>
      </c>
      <c r="U954" t="e">
        <f t="shared" si="145"/>
        <v>#N/A</v>
      </c>
      <c r="V954" t="e">
        <f t="shared" si="146"/>
        <v>#N/A</v>
      </c>
      <c r="W954" t="e">
        <f t="shared" si="147"/>
        <v>#N/A</v>
      </c>
      <c r="X954" t="e">
        <f t="shared" si="148"/>
        <v>#N/A</v>
      </c>
      <c r="Y954" t="e">
        <f t="shared" si="149"/>
        <v>#N/A</v>
      </c>
    </row>
    <row r="955" spans="1:25" x14ac:dyDescent="0.2">
      <c r="A955">
        <v>1953</v>
      </c>
      <c r="B955" t="s">
        <v>22</v>
      </c>
      <c r="C955" t="s">
        <v>29</v>
      </c>
      <c r="D955">
        <v>2022</v>
      </c>
      <c r="E955" t="s">
        <v>30</v>
      </c>
      <c r="F955">
        <v>418</v>
      </c>
      <c r="G955">
        <v>5</v>
      </c>
      <c r="H955">
        <v>5</v>
      </c>
      <c r="I955">
        <v>2073000</v>
      </c>
      <c r="J955">
        <v>4959.3</v>
      </c>
      <c r="K955">
        <v>10</v>
      </c>
      <c r="L955" t="s">
        <v>34</v>
      </c>
      <c r="M955">
        <v>65</v>
      </c>
      <c r="N955" t="s">
        <v>18</v>
      </c>
      <c r="P955">
        <f t="shared" si="140"/>
        <v>2073000</v>
      </c>
      <c r="Q955">
        <f t="shared" si="141"/>
        <v>418</v>
      </c>
      <c r="R955" t="e">
        <f t="shared" si="142"/>
        <v>#N/A</v>
      </c>
      <c r="S955" t="e">
        <f t="shared" si="143"/>
        <v>#N/A</v>
      </c>
      <c r="T955" t="e">
        <f t="shared" si="144"/>
        <v>#N/A</v>
      </c>
      <c r="U955" t="e">
        <f t="shared" si="145"/>
        <v>#N/A</v>
      </c>
      <c r="V955" t="e">
        <f t="shared" si="146"/>
        <v>#N/A</v>
      </c>
      <c r="W955" t="e">
        <f t="shared" si="147"/>
        <v>#N/A</v>
      </c>
      <c r="X955" t="e">
        <f t="shared" si="148"/>
        <v>#N/A</v>
      </c>
      <c r="Y955" t="e">
        <f t="shared" si="149"/>
        <v>#N/A</v>
      </c>
    </row>
    <row r="956" spans="1:25" x14ac:dyDescent="0.2">
      <c r="A956">
        <v>1954</v>
      </c>
      <c r="B956" t="s">
        <v>42</v>
      </c>
      <c r="C956" t="s">
        <v>29</v>
      </c>
      <c r="D956">
        <v>2021</v>
      </c>
      <c r="E956" t="s">
        <v>24</v>
      </c>
      <c r="F956">
        <v>487</v>
      </c>
      <c r="G956">
        <v>5</v>
      </c>
      <c r="H956">
        <v>5</v>
      </c>
      <c r="I956">
        <v>2771000</v>
      </c>
      <c r="J956">
        <v>5689.9</v>
      </c>
      <c r="K956">
        <v>5</v>
      </c>
      <c r="L956" t="s">
        <v>17</v>
      </c>
      <c r="M956">
        <v>64</v>
      </c>
      <c r="N956" t="s">
        <v>21</v>
      </c>
      <c r="P956">
        <f t="shared" si="140"/>
        <v>2771000</v>
      </c>
      <c r="Q956">
        <f t="shared" si="141"/>
        <v>487</v>
      </c>
      <c r="R956" t="e">
        <f t="shared" si="142"/>
        <v>#N/A</v>
      </c>
      <c r="S956" t="e">
        <f t="shared" si="143"/>
        <v>#N/A</v>
      </c>
      <c r="T956" t="e">
        <f t="shared" si="144"/>
        <v>#N/A</v>
      </c>
      <c r="U956" t="e">
        <f t="shared" si="145"/>
        <v>#N/A</v>
      </c>
      <c r="V956" t="e">
        <f t="shared" si="146"/>
        <v>#N/A</v>
      </c>
      <c r="W956" t="e">
        <f t="shared" si="147"/>
        <v>#N/A</v>
      </c>
      <c r="X956" t="e">
        <f t="shared" si="148"/>
        <v>#N/A</v>
      </c>
      <c r="Y956" t="e">
        <f t="shared" si="149"/>
        <v>#N/A</v>
      </c>
    </row>
    <row r="957" spans="1:25" x14ac:dyDescent="0.2">
      <c r="A957">
        <v>1955</v>
      </c>
      <c r="B957" t="s">
        <v>25</v>
      </c>
      <c r="C957" t="s">
        <v>38</v>
      </c>
      <c r="D957">
        <v>2022</v>
      </c>
      <c r="E957" t="s">
        <v>30</v>
      </c>
      <c r="F957">
        <v>60</v>
      </c>
      <c r="G957">
        <v>0</v>
      </c>
      <c r="H957">
        <v>1</v>
      </c>
      <c r="I957">
        <v>185000</v>
      </c>
      <c r="J957">
        <v>3083.3</v>
      </c>
      <c r="K957">
        <v>5</v>
      </c>
      <c r="L957" t="s">
        <v>20</v>
      </c>
      <c r="M957">
        <v>94</v>
      </c>
      <c r="N957" t="s">
        <v>27</v>
      </c>
      <c r="P957" t="e">
        <f t="shared" si="140"/>
        <v>#N/A</v>
      </c>
      <c r="Q957" t="e">
        <f t="shared" si="141"/>
        <v>#N/A</v>
      </c>
      <c r="R957" t="e">
        <f t="shared" si="142"/>
        <v>#N/A</v>
      </c>
      <c r="S957" t="e">
        <f t="shared" si="143"/>
        <v>#N/A</v>
      </c>
      <c r="T957" t="e">
        <f t="shared" si="144"/>
        <v>#N/A</v>
      </c>
      <c r="U957" t="e">
        <f t="shared" si="145"/>
        <v>#N/A</v>
      </c>
      <c r="V957">
        <f t="shared" si="146"/>
        <v>185000</v>
      </c>
      <c r="W957">
        <f t="shared" si="147"/>
        <v>60</v>
      </c>
      <c r="X957" t="e">
        <f t="shared" si="148"/>
        <v>#N/A</v>
      </c>
      <c r="Y957" t="e">
        <f t="shared" si="149"/>
        <v>#N/A</v>
      </c>
    </row>
    <row r="958" spans="1:25" x14ac:dyDescent="0.2">
      <c r="A958">
        <v>1956</v>
      </c>
      <c r="B958" t="s">
        <v>14</v>
      </c>
      <c r="C958" t="s">
        <v>15</v>
      </c>
      <c r="D958">
        <v>2022</v>
      </c>
      <c r="E958" t="s">
        <v>30</v>
      </c>
      <c r="F958">
        <v>133</v>
      </c>
      <c r="G958">
        <v>3</v>
      </c>
      <c r="H958">
        <v>3</v>
      </c>
      <c r="I958">
        <v>475000</v>
      </c>
      <c r="J958">
        <v>3571.4</v>
      </c>
      <c r="K958">
        <v>20</v>
      </c>
      <c r="L958" t="s">
        <v>20</v>
      </c>
      <c r="M958">
        <v>127</v>
      </c>
      <c r="N958" t="s">
        <v>18</v>
      </c>
      <c r="P958" t="e">
        <f t="shared" si="140"/>
        <v>#N/A</v>
      </c>
      <c r="Q958" t="e">
        <f t="shared" si="141"/>
        <v>#N/A</v>
      </c>
      <c r="R958">
        <f t="shared" si="142"/>
        <v>475000</v>
      </c>
      <c r="S958">
        <f t="shared" si="143"/>
        <v>133</v>
      </c>
      <c r="T958" t="e">
        <f t="shared" si="144"/>
        <v>#N/A</v>
      </c>
      <c r="U958" t="e">
        <f t="shared" si="145"/>
        <v>#N/A</v>
      </c>
      <c r="V958" t="e">
        <f t="shared" si="146"/>
        <v>#N/A</v>
      </c>
      <c r="W958" t="e">
        <f t="shared" si="147"/>
        <v>#N/A</v>
      </c>
      <c r="X958" t="e">
        <f t="shared" si="148"/>
        <v>#N/A</v>
      </c>
      <c r="Y958" t="e">
        <f t="shared" si="149"/>
        <v>#N/A</v>
      </c>
    </row>
    <row r="959" spans="1:25" x14ac:dyDescent="0.2">
      <c r="A959">
        <v>1957</v>
      </c>
      <c r="B959" t="s">
        <v>39</v>
      </c>
      <c r="C959" t="s">
        <v>38</v>
      </c>
      <c r="D959">
        <v>2022</v>
      </c>
      <c r="E959" t="s">
        <v>24</v>
      </c>
      <c r="F959">
        <v>46</v>
      </c>
      <c r="G959">
        <v>0</v>
      </c>
      <c r="H959">
        <v>1</v>
      </c>
      <c r="I959">
        <v>233000</v>
      </c>
      <c r="J959">
        <v>5065.2</v>
      </c>
      <c r="K959">
        <v>5</v>
      </c>
      <c r="L959" t="s">
        <v>17</v>
      </c>
      <c r="M959">
        <v>161</v>
      </c>
      <c r="N959" t="s">
        <v>21</v>
      </c>
      <c r="P959" t="e">
        <f t="shared" si="140"/>
        <v>#N/A</v>
      </c>
      <c r="Q959" t="e">
        <f t="shared" si="141"/>
        <v>#N/A</v>
      </c>
      <c r="R959" t="e">
        <f t="shared" si="142"/>
        <v>#N/A</v>
      </c>
      <c r="S959" t="e">
        <f t="shared" si="143"/>
        <v>#N/A</v>
      </c>
      <c r="T959" t="e">
        <f t="shared" si="144"/>
        <v>#N/A</v>
      </c>
      <c r="U959" t="e">
        <f t="shared" si="145"/>
        <v>#N/A</v>
      </c>
      <c r="V959">
        <f t="shared" si="146"/>
        <v>233000</v>
      </c>
      <c r="W959">
        <f t="shared" si="147"/>
        <v>46</v>
      </c>
      <c r="X959" t="e">
        <f t="shared" si="148"/>
        <v>#N/A</v>
      </c>
      <c r="Y959" t="e">
        <f t="shared" si="149"/>
        <v>#N/A</v>
      </c>
    </row>
    <row r="960" spans="1:25" x14ac:dyDescent="0.2">
      <c r="A960">
        <v>1958</v>
      </c>
      <c r="B960" t="s">
        <v>33</v>
      </c>
      <c r="C960" t="s">
        <v>29</v>
      </c>
      <c r="D960">
        <v>2023</v>
      </c>
      <c r="E960" t="s">
        <v>30</v>
      </c>
      <c r="F960">
        <v>517</v>
      </c>
      <c r="G960">
        <v>6</v>
      </c>
      <c r="H960">
        <v>6</v>
      </c>
      <c r="I960">
        <v>2081000</v>
      </c>
      <c r="J960">
        <v>4025.1</v>
      </c>
      <c r="K960">
        <v>1</v>
      </c>
      <c r="L960" t="s">
        <v>34</v>
      </c>
      <c r="M960">
        <v>11</v>
      </c>
      <c r="N960" t="s">
        <v>27</v>
      </c>
      <c r="P960">
        <f t="shared" si="140"/>
        <v>2081000</v>
      </c>
      <c r="Q960">
        <f t="shared" si="141"/>
        <v>517</v>
      </c>
      <c r="R960" t="e">
        <f t="shared" si="142"/>
        <v>#N/A</v>
      </c>
      <c r="S960" t="e">
        <f t="shared" si="143"/>
        <v>#N/A</v>
      </c>
      <c r="T960" t="e">
        <f t="shared" si="144"/>
        <v>#N/A</v>
      </c>
      <c r="U960" t="e">
        <f t="shared" si="145"/>
        <v>#N/A</v>
      </c>
      <c r="V960" t="e">
        <f t="shared" si="146"/>
        <v>#N/A</v>
      </c>
      <c r="W960" t="e">
        <f t="shared" si="147"/>
        <v>#N/A</v>
      </c>
      <c r="X960" t="e">
        <f t="shared" si="148"/>
        <v>#N/A</v>
      </c>
      <c r="Y960" t="e">
        <f t="shared" si="149"/>
        <v>#N/A</v>
      </c>
    </row>
    <row r="961" spans="1:25" x14ac:dyDescent="0.2">
      <c r="A961">
        <v>1959</v>
      </c>
      <c r="B961" t="s">
        <v>40</v>
      </c>
      <c r="C961" t="s">
        <v>29</v>
      </c>
      <c r="D961">
        <v>2023</v>
      </c>
      <c r="E961" t="s">
        <v>30</v>
      </c>
      <c r="F961">
        <v>542</v>
      </c>
      <c r="G961">
        <v>4</v>
      </c>
      <c r="H961">
        <v>4</v>
      </c>
      <c r="I961">
        <v>3093000</v>
      </c>
      <c r="J961">
        <v>5706.6</v>
      </c>
      <c r="K961">
        <v>15</v>
      </c>
      <c r="L961" t="s">
        <v>17</v>
      </c>
      <c r="M961">
        <v>138</v>
      </c>
      <c r="N961" t="s">
        <v>18</v>
      </c>
      <c r="P961">
        <f t="shared" si="140"/>
        <v>3093000</v>
      </c>
      <c r="Q961">
        <f t="shared" si="141"/>
        <v>542</v>
      </c>
      <c r="R961" t="e">
        <f t="shared" si="142"/>
        <v>#N/A</v>
      </c>
      <c r="S961" t="e">
        <f t="shared" si="143"/>
        <v>#N/A</v>
      </c>
      <c r="T961" t="e">
        <f t="shared" si="144"/>
        <v>#N/A</v>
      </c>
      <c r="U961" t="e">
        <f t="shared" si="145"/>
        <v>#N/A</v>
      </c>
      <c r="V961" t="e">
        <f t="shared" si="146"/>
        <v>#N/A</v>
      </c>
      <c r="W961" t="e">
        <f t="shared" si="147"/>
        <v>#N/A</v>
      </c>
      <c r="X961" t="e">
        <f t="shared" si="148"/>
        <v>#N/A</v>
      </c>
      <c r="Y961" t="e">
        <f t="shared" si="149"/>
        <v>#N/A</v>
      </c>
    </row>
    <row r="962" spans="1:25" x14ac:dyDescent="0.2">
      <c r="A962">
        <v>1960</v>
      </c>
      <c r="B962" t="s">
        <v>19</v>
      </c>
      <c r="C962" t="s">
        <v>15</v>
      </c>
      <c r="D962">
        <v>2021</v>
      </c>
      <c r="E962" t="s">
        <v>26</v>
      </c>
      <c r="F962">
        <v>157</v>
      </c>
      <c r="G962">
        <v>2</v>
      </c>
      <c r="H962">
        <v>2</v>
      </c>
      <c r="I962">
        <v>455000</v>
      </c>
      <c r="J962">
        <v>2898.1</v>
      </c>
      <c r="K962">
        <v>10</v>
      </c>
      <c r="L962" t="s">
        <v>20</v>
      </c>
      <c r="M962">
        <v>90</v>
      </c>
      <c r="N962" t="s">
        <v>21</v>
      </c>
      <c r="P962" t="e">
        <f t="shared" si="140"/>
        <v>#N/A</v>
      </c>
      <c r="Q962" t="e">
        <f t="shared" si="141"/>
        <v>#N/A</v>
      </c>
      <c r="R962">
        <f t="shared" si="142"/>
        <v>455000</v>
      </c>
      <c r="S962">
        <f t="shared" si="143"/>
        <v>157</v>
      </c>
      <c r="T962" t="e">
        <f t="shared" si="144"/>
        <v>#N/A</v>
      </c>
      <c r="U962" t="e">
        <f t="shared" si="145"/>
        <v>#N/A</v>
      </c>
      <c r="V962" t="e">
        <f t="shared" si="146"/>
        <v>#N/A</v>
      </c>
      <c r="W962" t="e">
        <f t="shared" si="147"/>
        <v>#N/A</v>
      </c>
      <c r="X962" t="e">
        <f t="shared" si="148"/>
        <v>#N/A</v>
      </c>
      <c r="Y962" t="e">
        <f t="shared" si="149"/>
        <v>#N/A</v>
      </c>
    </row>
    <row r="963" spans="1:25" x14ac:dyDescent="0.2">
      <c r="A963">
        <v>1961</v>
      </c>
      <c r="B963" t="s">
        <v>46</v>
      </c>
      <c r="C963" t="s">
        <v>23</v>
      </c>
      <c r="D963">
        <v>2024</v>
      </c>
      <c r="E963" t="s">
        <v>26</v>
      </c>
      <c r="F963">
        <v>279</v>
      </c>
      <c r="G963">
        <v>4</v>
      </c>
      <c r="H963">
        <v>4</v>
      </c>
      <c r="I963">
        <v>1126000</v>
      </c>
      <c r="J963">
        <v>4035.8</v>
      </c>
      <c r="K963">
        <v>0</v>
      </c>
      <c r="L963" t="s">
        <v>34</v>
      </c>
      <c r="M963">
        <v>36</v>
      </c>
      <c r="N963" t="s">
        <v>18</v>
      </c>
      <c r="P963" t="e">
        <f t="shared" ref="P963:P1026" si="150">IF(C963="Villa", I963, NA())</f>
        <v>#N/A</v>
      </c>
      <c r="Q963" t="e">
        <f t="shared" ref="Q963:Q1026" si="151">IF(C963="Villa", F963, NA())</f>
        <v>#N/A</v>
      </c>
      <c r="R963" t="e">
        <f t="shared" ref="R963:R1026" si="152">IF(C963="Apartment",I963,NA())</f>
        <v>#N/A</v>
      </c>
      <c r="S963" t="e">
        <f t="shared" ref="S963:S1026" si="153">IF(C963="Apartment",F963,NA())</f>
        <v>#N/A</v>
      </c>
      <c r="T963">
        <f t="shared" ref="T963:T1026" si="154">IF(C963="Duplex",I963,NA())</f>
        <v>1126000</v>
      </c>
      <c r="U963">
        <f t="shared" ref="U963:U1026" si="155">IF(C963="Duplex",F963,NA())</f>
        <v>279</v>
      </c>
      <c r="V963" t="e">
        <f t="shared" ref="V963:V1026" si="156">IF(C963="Studio",I963,NA())</f>
        <v>#N/A</v>
      </c>
      <c r="W963" t="e">
        <f t="shared" ref="W963:W1026" si="157">IF(C963="Studio",F963,NA())</f>
        <v>#N/A</v>
      </c>
      <c r="X963" t="e">
        <f t="shared" ref="X963:X1026" si="158">IF(C963="Floor",I963,NA())</f>
        <v>#N/A</v>
      </c>
      <c r="Y963" t="e">
        <f t="shared" ref="Y963:Y1026" si="159">IF(C963="Floor",F963,NA())</f>
        <v>#N/A</v>
      </c>
    </row>
    <row r="964" spans="1:25" x14ac:dyDescent="0.2">
      <c r="A964">
        <v>1962</v>
      </c>
      <c r="B964" t="s">
        <v>25</v>
      </c>
      <c r="C964" t="s">
        <v>38</v>
      </c>
      <c r="D964">
        <v>2021</v>
      </c>
      <c r="E964" t="s">
        <v>26</v>
      </c>
      <c r="F964">
        <v>43</v>
      </c>
      <c r="G964">
        <v>0</v>
      </c>
      <c r="H964">
        <v>1</v>
      </c>
      <c r="I964">
        <v>132000</v>
      </c>
      <c r="J964">
        <v>3069.8</v>
      </c>
      <c r="K964">
        <v>0</v>
      </c>
      <c r="L964" t="s">
        <v>17</v>
      </c>
      <c r="M964">
        <v>99</v>
      </c>
      <c r="N964" t="s">
        <v>27</v>
      </c>
      <c r="P964" t="e">
        <f t="shared" si="150"/>
        <v>#N/A</v>
      </c>
      <c r="Q964" t="e">
        <f t="shared" si="151"/>
        <v>#N/A</v>
      </c>
      <c r="R964" t="e">
        <f t="shared" si="152"/>
        <v>#N/A</v>
      </c>
      <c r="S964" t="e">
        <f t="shared" si="153"/>
        <v>#N/A</v>
      </c>
      <c r="T964" t="e">
        <f t="shared" si="154"/>
        <v>#N/A</v>
      </c>
      <c r="U964" t="e">
        <f t="shared" si="155"/>
        <v>#N/A</v>
      </c>
      <c r="V964">
        <f t="shared" si="156"/>
        <v>132000</v>
      </c>
      <c r="W964">
        <f t="shared" si="157"/>
        <v>43</v>
      </c>
      <c r="X964" t="e">
        <f t="shared" si="158"/>
        <v>#N/A</v>
      </c>
      <c r="Y964" t="e">
        <f t="shared" si="159"/>
        <v>#N/A</v>
      </c>
    </row>
    <row r="965" spans="1:25" x14ac:dyDescent="0.2">
      <c r="A965">
        <v>1963</v>
      </c>
      <c r="B965" t="s">
        <v>14</v>
      </c>
      <c r="C965" t="s">
        <v>29</v>
      </c>
      <c r="D965">
        <v>2023</v>
      </c>
      <c r="E965" t="s">
        <v>24</v>
      </c>
      <c r="F965">
        <v>515</v>
      </c>
      <c r="G965">
        <v>6</v>
      </c>
      <c r="H965">
        <v>6</v>
      </c>
      <c r="I965">
        <v>2842000</v>
      </c>
      <c r="J965">
        <v>5518.4</v>
      </c>
      <c r="K965">
        <v>1</v>
      </c>
      <c r="L965" t="s">
        <v>20</v>
      </c>
      <c r="M965">
        <v>2</v>
      </c>
      <c r="N965" t="s">
        <v>18</v>
      </c>
      <c r="P965">
        <f t="shared" si="150"/>
        <v>2842000</v>
      </c>
      <c r="Q965">
        <f t="shared" si="151"/>
        <v>515</v>
      </c>
      <c r="R965" t="e">
        <f t="shared" si="152"/>
        <v>#N/A</v>
      </c>
      <c r="S965" t="e">
        <f t="shared" si="153"/>
        <v>#N/A</v>
      </c>
      <c r="T965" t="e">
        <f t="shared" si="154"/>
        <v>#N/A</v>
      </c>
      <c r="U965" t="e">
        <f t="shared" si="155"/>
        <v>#N/A</v>
      </c>
      <c r="V965" t="e">
        <f t="shared" si="156"/>
        <v>#N/A</v>
      </c>
      <c r="W965" t="e">
        <f t="shared" si="157"/>
        <v>#N/A</v>
      </c>
      <c r="X965" t="e">
        <f t="shared" si="158"/>
        <v>#N/A</v>
      </c>
      <c r="Y965" t="e">
        <f t="shared" si="159"/>
        <v>#N/A</v>
      </c>
    </row>
    <row r="966" spans="1:25" x14ac:dyDescent="0.2">
      <c r="A966">
        <v>1964</v>
      </c>
      <c r="B966" t="s">
        <v>42</v>
      </c>
      <c r="C966" t="s">
        <v>23</v>
      </c>
      <c r="D966">
        <v>2021</v>
      </c>
      <c r="E966" t="s">
        <v>30</v>
      </c>
      <c r="F966">
        <v>294</v>
      </c>
      <c r="G966">
        <v>3</v>
      </c>
      <c r="H966">
        <v>3</v>
      </c>
      <c r="I966">
        <v>1316000</v>
      </c>
      <c r="J966">
        <v>4476.2</v>
      </c>
      <c r="K966">
        <v>0</v>
      </c>
      <c r="L966" t="s">
        <v>20</v>
      </c>
      <c r="M966">
        <v>8</v>
      </c>
      <c r="N966" t="s">
        <v>21</v>
      </c>
      <c r="P966" t="e">
        <f t="shared" si="150"/>
        <v>#N/A</v>
      </c>
      <c r="Q966" t="e">
        <f t="shared" si="151"/>
        <v>#N/A</v>
      </c>
      <c r="R966" t="e">
        <f t="shared" si="152"/>
        <v>#N/A</v>
      </c>
      <c r="S966" t="e">
        <f t="shared" si="153"/>
        <v>#N/A</v>
      </c>
      <c r="T966">
        <f t="shared" si="154"/>
        <v>1316000</v>
      </c>
      <c r="U966">
        <f t="shared" si="155"/>
        <v>294</v>
      </c>
      <c r="V966" t="e">
        <f t="shared" si="156"/>
        <v>#N/A</v>
      </c>
      <c r="W966" t="e">
        <f t="shared" si="157"/>
        <v>#N/A</v>
      </c>
      <c r="X966" t="e">
        <f t="shared" si="158"/>
        <v>#N/A</v>
      </c>
      <c r="Y966" t="e">
        <f t="shared" si="159"/>
        <v>#N/A</v>
      </c>
    </row>
    <row r="967" spans="1:25" x14ac:dyDescent="0.2">
      <c r="A967">
        <v>1965</v>
      </c>
      <c r="B967" t="s">
        <v>28</v>
      </c>
      <c r="C967" t="s">
        <v>29</v>
      </c>
      <c r="D967">
        <v>2022</v>
      </c>
      <c r="E967" t="s">
        <v>24</v>
      </c>
      <c r="F967">
        <v>399</v>
      </c>
      <c r="G967">
        <v>6</v>
      </c>
      <c r="H967">
        <v>6</v>
      </c>
      <c r="I967">
        <v>1800000</v>
      </c>
      <c r="J967">
        <v>4511.3</v>
      </c>
      <c r="K967">
        <v>0</v>
      </c>
      <c r="L967" t="s">
        <v>20</v>
      </c>
      <c r="M967">
        <v>46</v>
      </c>
      <c r="N967" t="s">
        <v>27</v>
      </c>
      <c r="P967">
        <f t="shared" si="150"/>
        <v>1800000</v>
      </c>
      <c r="Q967">
        <f t="shared" si="151"/>
        <v>399</v>
      </c>
      <c r="R967" t="e">
        <f t="shared" si="152"/>
        <v>#N/A</v>
      </c>
      <c r="S967" t="e">
        <f t="shared" si="153"/>
        <v>#N/A</v>
      </c>
      <c r="T967" t="e">
        <f t="shared" si="154"/>
        <v>#N/A</v>
      </c>
      <c r="U967" t="e">
        <f t="shared" si="155"/>
        <v>#N/A</v>
      </c>
      <c r="V967" t="e">
        <f t="shared" si="156"/>
        <v>#N/A</v>
      </c>
      <c r="W967" t="e">
        <f t="shared" si="157"/>
        <v>#N/A</v>
      </c>
      <c r="X967" t="e">
        <f t="shared" si="158"/>
        <v>#N/A</v>
      </c>
      <c r="Y967" t="e">
        <f t="shared" si="159"/>
        <v>#N/A</v>
      </c>
    </row>
    <row r="968" spans="1:25" x14ac:dyDescent="0.2">
      <c r="A968">
        <v>1966</v>
      </c>
      <c r="B968" t="s">
        <v>31</v>
      </c>
      <c r="C968" t="s">
        <v>15</v>
      </c>
      <c r="D968">
        <v>2023</v>
      </c>
      <c r="E968" t="s">
        <v>16</v>
      </c>
      <c r="F968">
        <v>171</v>
      </c>
      <c r="G968">
        <v>4</v>
      </c>
      <c r="H968">
        <v>4</v>
      </c>
      <c r="I968">
        <v>508000</v>
      </c>
      <c r="J968">
        <v>2970.8</v>
      </c>
      <c r="K968">
        <v>2</v>
      </c>
      <c r="L968" t="s">
        <v>17</v>
      </c>
      <c r="M968">
        <v>95</v>
      </c>
      <c r="N968" t="s">
        <v>21</v>
      </c>
      <c r="P968" t="e">
        <f t="shared" si="150"/>
        <v>#N/A</v>
      </c>
      <c r="Q968" t="e">
        <f t="shared" si="151"/>
        <v>#N/A</v>
      </c>
      <c r="R968">
        <f t="shared" si="152"/>
        <v>508000</v>
      </c>
      <c r="S968">
        <f t="shared" si="153"/>
        <v>171</v>
      </c>
      <c r="T968" t="e">
        <f t="shared" si="154"/>
        <v>#N/A</v>
      </c>
      <c r="U968" t="e">
        <f t="shared" si="155"/>
        <v>#N/A</v>
      </c>
      <c r="V968" t="e">
        <f t="shared" si="156"/>
        <v>#N/A</v>
      </c>
      <c r="W968" t="e">
        <f t="shared" si="157"/>
        <v>#N/A</v>
      </c>
      <c r="X968" t="e">
        <f t="shared" si="158"/>
        <v>#N/A</v>
      </c>
      <c r="Y968" t="e">
        <f t="shared" si="159"/>
        <v>#N/A</v>
      </c>
    </row>
    <row r="969" spans="1:25" x14ac:dyDescent="0.2">
      <c r="A969">
        <v>1967</v>
      </c>
      <c r="B969" t="s">
        <v>35</v>
      </c>
      <c r="C969" t="s">
        <v>15</v>
      </c>
      <c r="D969">
        <v>2021</v>
      </c>
      <c r="E969" t="s">
        <v>30</v>
      </c>
      <c r="F969">
        <v>105</v>
      </c>
      <c r="G969">
        <v>3</v>
      </c>
      <c r="H969">
        <v>3</v>
      </c>
      <c r="I969">
        <v>329000</v>
      </c>
      <c r="J969">
        <v>3133.3</v>
      </c>
      <c r="K969">
        <v>0</v>
      </c>
      <c r="L969" t="s">
        <v>34</v>
      </c>
      <c r="M969">
        <v>152</v>
      </c>
      <c r="N969" t="s">
        <v>18</v>
      </c>
      <c r="P969" t="e">
        <f t="shared" si="150"/>
        <v>#N/A</v>
      </c>
      <c r="Q969" t="e">
        <f t="shared" si="151"/>
        <v>#N/A</v>
      </c>
      <c r="R969">
        <f t="shared" si="152"/>
        <v>329000</v>
      </c>
      <c r="S969">
        <f t="shared" si="153"/>
        <v>105</v>
      </c>
      <c r="T969" t="e">
        <f t="shared" si="154"/>
        <v>#N/A</v>
      </c>
      <c r="U969" t="e">
        <f t="shared" si="155"/>
        <v>#N/A</v>
      </c>
      <c r="V969" t="e">
        <f t="shared" si="156"/>
        <v>#N/A</v>
      </c>
      <c r="W969" t="e">
        <f t="shared" si="157"/>
        <v>#N/A</v>
      </c>
      <c r="X969" t="e">
        <f t="shared" si="158"/>
        <v>#N/A</v>
      </c>
      <c r="Y969" t="e">
        <f t="shared" si="159"/>
        <v>#N/A</v>
      </c>
    </row>
    <row r="970" spans="1:25" x14ac:dyDescent="0.2">
      <c r="A970">
        <v>1968</v>
      </c>
      <c r="B970" t="s">
        <v>37</v>
      </c>
      <c r="C970" t="s">
        <v>15</v>
      </c>
      <c r="D970">
        <v>2022</v>
      </c>
      <c r="E970" t="s">
        <v>30</v>
      </c>
      <c r="F970">
        <v>115</v>
      </c>
      <c r="G970">
        <v>3</v>
      </c>
      <c r="H970">
        <v>3</v>
      </c>
      <c r="I970">
        <v>426000</v>
      </c>
      <c r="J970">
        <v>3704.3</v>
      </c>
      <c r="K970">
        <v>7</v>
      </c>
      <c r="L970" t="s">
        <v>17</v>
      </c>
      <c r="M970">
        <v>82</v>
      </c>
      <c r="N970" t="s">
        <v>27</v>
      </c>
      <c r="P970" t="e">
        <f t="shared" si="150"/>
        <v>#N/A</v>
      </c>
      <c r="Q970" t="e">
        <f t="shared" si="151"/>
        <v>#N/A</v>
      </c>
      <c r="R970">
        <f t="shared" si="152"/>
        <v>426000</v>
      </c>
      <c r="S970">
        <f t="shared" si="153"/>
        <v>115</v>
      </c>
      <c r="T970" t="e">
        <f t="shared" si="154"/>
        <v>#N/A</v>
      </c>
      <c r="U970" t="e">
        <f t="shared" si="155"/>
        <v>#N/A</v>
      </c>
      <c r="V970" t="e">
        <f t="shared" si="156"/>
        <v>#N/A</v>
      </c>
      <c r="W970" t="e">
        <f t="shared" si="157"/>
        <v>#N/A</v>
      </c>
      <c r="X970" t="e">
        <f t="shared" si="158"/>
        <v>#N/A</v>
      </c>
      <c r="Y970" t="e">
        <f t="shared" si="159"/>
        <v>#N/A</v>
      </c>
    </row>
    <row r="971" spans="1:25" x14ac:dyDescent="0.2">
      <c r="A971">
        <v>1969</v>
      </c>
      <c r="B971" t="s">
        <v>14</v>
      </c>
      <c r="C971" t="s">
        <v>15</v>
      </c>
      <c r="D971">
        <v>2021</v>
      </c>
      <c r="E971" t="s">
        <v>24</v>
      </c>
      <c r="F971">
        <v>125</v>
      </c>
      <c r="G971">
        <v>3</v>
      </c>
      <c r="H971">
        <v>3</v>
      </c>
      <c r="I971">
        <v>403000</v>
      </c>
      <c r="J971">
        <v>3224</v>
      </c>
      <c r="K971">
        <v>0</v>
      </c>
      <c r="L971" t="s">
        <v>34</v>
      </c>
      <c r="M971">
        <v>70</v>
      </c>
      <c r="N971" t="s">
        <v>18</v>
      </c>
      <c r="P971" t="e">
        <f t="shared" si="150"/>
        <v>#N/A</v>
      </c>
      <c r="Q971" t="e">
        <f t="shared" si="151"/>
        <v>#N/A</v>
      </c>
      <c r="R971">
        <f t="shared" si="152"/>
        <v>403000</v>
      </c>
      <c r="S971">
        <f t="shared" si="153"/>
        <v>125</v>
      </c>
      <c r="T971" t="e">
        <f t="shared" si="154"/>
        <v>#N/A</v>
      </c>
      <c r="U971" t="e">
        <f t="shared" si="155"/>
        <v>#N/A</v>
      </c>
      <c r="V971" t="e">
        <f t="shared" si="156"/>
        <v>#N/A</v>
      </c>
      <c r="W971" t="e">
        <f t="shared" si="157"/>
        <v>#N/A</v>
      </c>
      <c r="X971" t="e">
        <f t="shared" si="158"/>
        <v>#N/A</v>
      </c>
      <c r="Y971" t="e">
        <f t="shared" si="159"/>
        <v>#N/A</v>
      </c>
    </row>
    <row r="972" spans="1:25" x14ac:dyDescent="0.2">
      <c r="A972">
        <v>1970</v>
      </c>
      <c r="B972" t="s">
        <v>41</v>
      </c>
      <c r="C972" t="s">
        <v>38</v>
      </c>
      <c r="D972">
        <v>2024</v>
      </c>
      <c r="E972" t="s">
        <v>26</v>
      </c>
      <c r="F972">
        <v>60</v>
      </c>
      <c r="G972">
        <v>0</v>
      </c>
      <c r="H972">
        <v>1</v>
      </c>
      <c r="I972">
        <v>436000</v>
      </c>
      <c r="J972">
        <v>7266.7</v>
      </c>
      <c r="K972">
        <v>1</v>
      </c>
      <c r="L972" t="s">
        <v>17</v>
      </c>
      <c r="M972">
        <v>10</v>
      </c>
      <c r="N972" t="s">
        <v>21</v>
      </c>
      <c r="P972" t="e">
        <f t="shared" si="150"/>
        <v>#N/A</v>
      </c>
      <c r="Q972" t="e">
        <f t="shared" si="151"/>
        <v>#N/A</v>
      </c>
      <c r="R972" t="e">
        <f t="shared" si="152"/>
        <v>#N/A</v>
      </c>
      <c r="S972" t="e">
        <f t="shared" si="153"/>
        <v>#N/A</v>
      </c>
      <c r="T972" t="e">
        <f t="shared" si="154"/>
        <v>#N/A</v>
      </c>
      <c r="U972" t="e">
        <f t="shared" si="155"/>
        <v>#N/A</v>
      </c>
      <c r="V972">
        <f t="shared" si="156"/>
        <v>436000</v>
      </c>
      <c r="W972">
        <f t="shared" si="157"/>
        <v>60</v>
      </c>
      <c r="X972" t="e">
        <f t="shared" si="158"/>
        <v>#N/A</v>
      </c>
      <c r="Y972" t="e">
        <f t="shared" si="159"/>
        <v>#N/A</v>
      </c>
    </row>
    <row r="973" spans="1:25" x14ac:dyDescent="0.2">
      <c r="A973">
        <v>1971</v>
      </c>
      <c r="B973" t="s">
        <v>44</v>
      </c>
      <c r="C973" t="s">
        <v>15</v>
      </c>
      <c r="D973">
        <v>2023</v>
      </c>
      <c r="E973" t="s">
        <v>30</v>
      </c>
      <c r="F973">
        <v>150</v>
      </c>
      <c r="G973">
        <v>3</v>
      </c>
      <c r="H973">
        <v>3</v>
      </c>
      <c r="I973">
        <v>503000</v>
      </c>
      <c r="J973">
        <v>3353.3</v>
      </c>
      <c r="K973">
        <v>2</v>
      </c>
      <c r="L973" t="s">
        <v>34</v>
      </c>
      <c r="M973">
        <v>79</v>
      </c>
      <c r="N973" t="s">
        <v>18</v>
      </c>
      <c r="P973" t="e">
        <f t="shared" si="150"/>
        <v>#N/A</v>
      </c>
      <c r="Q973" t="e">
        <f t="shared" si="151"/>
        <v>#N/A</v>
      </c>
      <c r="R973">
        <f t="shared" si="152"/>
        <v>503000</v>
      </c>
      <c r="S973">
        <f t="shared" si="153"/>
        <v>150</v>
      </c>
      <c r="T973" t="e">
        <f t="shared" si="154"/>
        <v>#N/A</v>
      </c>
      <c r="U973" t="e">
        <f t="shared" si="155"/>
        <v>#N/A</v>
      </c>
      <c r="V973" t="e">
        <f t="shared" si="156"/>
        <v>#N/A</v>
      </c>
      <c r="W973" t="e">
        <f t="shared" si="157"/>
        <v>#N/A</v>
      </c>
      <c r="X973" t="e">
        <f t="shared" si="158"/>
        <v>#N/A</v>
      </c>
      <c r="Y973" t="e">
        <f t="shared" si="159"/>
        <v>#N/A</v>
      </c>
    </row>
    <row r="974" spans="1:25" x14ac:dyDescent="0.2">
      <c r="A974">
        <v>1972</v>
      </c>
      <c r="B974" t="s">
        <v>42</v>
      </c>
      <c r="C974" t="s">
        <v>23</v>
      </c>
      <c r="D974">
        <v>2021</v>
      </c>
      <c r="E974" t="s">
        <v>30</v>
      </c>
      <c r="F974">
        <v>312</v>
      </c>
      <c r="G974">
        <v>4</v>
      </c>
      <c r="H974">
        <v>4</v>
      </c>
      <c r="I974">
        <v>1405000</v>
      </c>
      <c r="J974">
        <v>4503.2</v>
      </c>
      <c r="K974">
        <v>5</v>
      </c>
      <c r="L974" t="s">
        <v>17</v>
      </c>
      <c r="M974">
        <v>94</v>
      </c>
      <c r="N974" t="s">
        <v>21</v>
      </c>
      <c r="P974" t="e">
        <f t="shared" si="150"/>
        <v>#N/A</v>
      </c>
      <c r="Q974" t="e">
        <f t="shared" si="151"/>
        <v>#N/A</v>
      </c>
      <c r="R974" t="e">
        <f t="shared" si="152"/>
        <v>#N/A</v>
      </c>
      <c r="S974" t="e">
        <f t="shared" si="153"/>
        <v>#N/A</v>
      </c>
      <c r="T974">
        <f t="shared" si="154"/>
        <v>1405000</v>
      </c>
      <c r="U974">
        <f t="shared" si="155"/>
        <v>312</v>
      </c>
      <c r="V974" t="e">
        <f t="shared" si="156"/>
        <v>#N/A</v>
      </c>
      <c r="W974" t="e">
        <f t="shared" si="157"/>
        <v>#N/A</v>
      </c>
      <c r="X974" t="e">
        <f t="shared" si="158"/>
        <v>#N/A</v>
      </c>
      <c r="Y974" t="e">
        <f t="shared" si="159"/>
        <v>#N/A</v>
      </c>
    </row>
    <row r="975" spans="1:25" x14ac:dyDescent="0.2">
      <c r="A975">
        <v>1973</v>
      </c>
      <c r="B975" t="s">
        <v>22</v>
      </c>
      <c r="C975" t="s">
        <v>36</v>
      </c>
      <c r="D975">
        <v>2024</v>
      </c>
      <c r="E975" t="s">
        <v>16</v>
      </c>
      <c r="F975">
        <v>417</v>
      </c>
      <c r="G975">
        <v>5</v>
      </c>
      <c r="H975">
        <v>5</v>
      </c>
      <c r="I975">
        <v>1350000</v>
      </c>
      <c r="J975">
        <v>3237.4</v>
      </c>
      <c r="K975">
        <v>20</v>
      </c>
      <c r="L975" t="s">
        <v>20</v>
      </c>
      <c r="M975">
        <v>45</v>
      </c>
      <c r="N975" t="s">
        <v>18</v>
      </c>
      <c r="P975" t="e">
        <f t="shared" si="150"/>
        <v>#N/A</v>
      </c>
      <c r="Q975" t="e">
        <f t="shared" si="151"/>
        <v>#N/A</v>
      </c>
      <c r="R975" t="e">
        <f t="shared" si="152"/>
        <v>#N/A</v>
      </c>
      <c r="S975" t="e">
        <f t="shared" si="153"/>
        <v>#N/A</v>
      </c>
      <c r="T975" t="e">
        <f t="shared" si="154"/>
        <v>#N/A</v>
      </c>
      <c r="U975" t="e">
        <f t="shared" si="155"/>
        <v>#N/A</v>
      </c>
      <c r="V975" t="e">
        <f t="shared" si="156"/>
        <v>#N/A</v>
      </c>
      <c r="W975" t="e">
        <f t="shared" si="157"/>
        <v>#N/A</v>
      </c>
      <c r="X975">
        <f t="shared" si="158"/>
        <v>1350000</v>
      </c>
      <c r="Y975">
        <f t="shared" si="159"/>
        <v>417</v>
      </c>
    </row>
    <row r="976" spans="1:25" x14ac:dyDescent="0.2">
      <c r="A976">
        <v>1974</v>
      </c>
      <c r="B976" t="s">
        <v>31</v>
      </c>
      <c r="C976" t="s">
        <v>15</v>
      </c>
      <c r="D976">
        <v>2024</v>
      </c>
      <c r="E976" t="s">
        <v>30</v>
      </c>
      <c r="F976">
        <v>165</v>
      </c>
      <c r="G976">
        <v>3</v>
      </c>
      <c r="H976">
        <v>3</v>
      </c>
      <c r="I976">
        <v>472000</v>
      </c>
      <c r="J976">
        <v>2860.6</v>
      </c>
      <c r="K976">
        <v>1</v>
      </c>
      <c r="L976" t="s">
        <v>17</v>
      </c>
      <c r="M976">
        <v>139</v>
      </c>
      <c r="N976" t="s">
        <v>21</v>
      </c>
      <c r="P976" t="e">
        <f t="shared" si="150"/>
        <v>#N/A</v>
      </c>
      <c r="Q976" t="e">
        <f t="shared" si="151"/>
        <v>#N/A</v>
      </c>
      <c r="R976">
        <f t="shared" si="152"/>
        <v>472000</v>
      </c>
      <c r="S976">
        <f t="shared" si="153"/>
        <v>165</v>
      </c>
      <c r="T976" t="e">
        <f t="shared" si="154"/>
        <v>#N/A</v>
      </c>
      <c r="U976" t="e">
        <f t="shared" si="155"/>
        <v>#N/A</v>
      </c>
      <c r="V976" t="e">
        <f t="shared" si="156"/>
        <v>#N/A</v>
      </c>
      <c r="W976" t="e">
        <f t="shared" si="157"/>
        <v>#N/A</v>
      </c>
      <c r="X976" t="e">
        <f t="shared" si="158"/>
        <v>#N/A</v>
      </c>
      <c r="Y976" t="e">
        <f t="shared" si="159"/>
        <v>#N/A</v>
      </c>
    </row>
    <row r="977" spans="1:25" x14ac:dyDescent="0.2">
      <c r="A977">
        <v>1975</v>
      </c>
      <c r="B977" t="s">
        <v>41</v>
      </c>
      <c r="C977" t="s">
        <v>15</v>
      </c>
      <c r="D977">
        <v>2023</v>
      </c>
      <c r="E977" t="s">
        <v>24</v>
      </c>
      <c r="F977">
        <v>202</v>
      </c>
      <c r="G977">
        <v>3</v>
      </c>
      <c r="H977">
        <v>3</v>
      </c>
      <c r="I977">
        <v>984000</v>
      </c>
      <c r="J977">
        <v>4871.3</v>
      </c>
      <c r="K977">
        <v>3</v>
      </c>
      <c r="L977" t="s">
        <v>17</v>
      </c>
      <c r="M977">
        <v>174</v>
      </c>
      <c r="N977" t="s">
        <v>21</v>
      </c>
      <c r="P977" t="e">
        <f t="shared" si="150"/>
        <v>#N/A</v>
      </c>
      <c r="Q977" t="e">
        <f t="shared" si="151"/>
        <v>#N/A</v>
      </c>
      <c r="R977">
        <f t="shared" si="152"/>
        <v>984000</v>
      </c>
      <c r="S977">
        <f t="shared" si="153"/>
        <v>202</v>
      </c>
      <c r="T977" t="e">
        <f t="shared" si="154"/>
        <v>#N/A</v>
      </c>
      <c r="U977" t="e">
        <f t="shared" si="155"/>
        <v>#N/A</v>
      </c>
      <c r="V977" t="e">
        <f t="shared" si="156"/>
        <v>#N/A</v>
      </c>
      <c r="W977" t="e">
        <f t="shared" si="157"/>
        <v>#N/A</v>
      </c>
      <c r="X977" t="e">
        <f t="shared" si="158"/>
        <v>#N/A</v>
      </c>
      <c r="Y977" t="e">
        <f t="shared" si="159"/>
        <v>#N/A</v>
      </c>
    </row>
    <row r="978" spans="1:25" x14ac:dyDescent="0.2">
      <c r="A978">
        <v>1976</v>
      </c>
      <c r="B978" t="s">
        <v>43</v>
      </c>
      <c r="C978" t="s">
        <v>29</v>
      </c>
      <c r="D978">
        <v>2022</v>
      </c>
      <c r="E978" t="s">
        <v>26</v>
      </c>
      <c r="F978">
        <v>509</v>
      </c>
      <c r="G978">
        <v>5</v>
      </c>
      <c r="H978">
        <v>5</v>
      </c>
      <c r="I978">
        <v>3171000</v>
      </c>
      <c r="J978">
        <v>6229.9</v>
      </c>
      <c r="K978">
        <v>5</v>
      </c>
      <c r="L978" t="s">
        <v>34</v>
      </c>
      <c r="M978">
        <v>80</v>
      </c>
      <c r="N978" t="s">
        <v>27</v>
      </c>
      <c r="P978">
        <f t="shared" si="150"/>
        <v>3171000</v>
      </c>
      <c r="Q978">
        <f t="shared" si="151"/>
        <v>509</v>
      </c>
      <c r="R978" t="e">
        <f t="shared" si="152"/>
        <v>#N/A</v>
      </c>
      <c r="S978" t="e">
        <f t="shared" si="153"/>
        <v>#N/A</v>
      </c>
      <c r="T978" t="e">
        <f t="shared" si="154"/>
        <v>#N/A</v>
      </c>
      <c r="U978" t="e">
        <f t="shared" si="155"/>
        <v>#N/A</v>
      </c>
      <c r="V978" t="e">
        <f t="shared" si="156"/>
        <v>#N/A</v>
      </c>
      <c r="W978" t="e">
        <f t="shared" si="157"/>
        <v>#N/A</v>
      </c>
      <c r="X978" t="e">
        <f t="shared" si="158"/>
        <v>#N/A</v>
      </c>
      <c r="Y978" t="e">
        <f t="shared" si="159"/>
        <v>#N/A</v>
      </c>
    </row>
    <row r="979" spans="1:25" x14ac:dyDescent="0.2">
      <c r="A979">
        <v>1977</v>
      </c>
      <c r="B979" t="s">
        <v>35</v>
      </c>
      <c r="C979" t="s">
        <v>23</v>
      </c>
      <c r="D979">
        <v>2023</v>
      </c>
      <c r="E979" t="s">
        <v>24</v>
      </c>
      <c r="F979">
        <v>274</v>
      </c>
      <c r="G979">
        <v>4</v>
      </c>
      <c r="H979">
        <v>4</v>
      </c>
      <c r="I979">
        <v>1152000</v>
      </c>
      <c r="J979">
        <v>4204.3999999999996</v>
      </c>
      <c r="K979">
        <v>1</v>
      </c>
      <c r="L979" t="s">
        <v>34</v>
      </c>
      <c r="M979">
        <v>119</v>
      </c>
      <c r="N979" t="s">
        <v>18</v>
      </c>
      <c r="P979" t="e">
        <f t="shared" si="150"/>
        <v>#N/A</v>
      </c>
      <c r="Q979" t="e">
        <f t="shared" si="151"/>
        <v>#N/A</v>
      </c>
      <c r="R979" t="e">
        <f t="shared" si="152"/>
        <v>#N/A</v>
      </c>
      <c r="S979" t="e">
        <f t="shared" si="153"/>
        <v>#N/A</v>
      </c>
      <c r="T979">
        <f t="shared" si="154"/>
        <v>1152000</v>
      </c>
      <c r="U979">
        <f t="shared" si="155"/>
        <v>274</v>
      </c>
      <c r="V979" t="e">
        <f t="shared" si="156"/>
        <v>#N/A</v>
      </c>
      <c r="W979" t="e">
        <f t="shared" si="157"/>
        <v>#N/A</v>
      </c>
      <c r="X979" t="e">
        <f t="shared" si="158"/>
        <v>#N/A</v>
      </c>
      <c r="Y979" t="e">
        <f t="shared" si="159"/>
        <v>#N/A</v>
      </c>
    </row>
    <row r="980" spans="1:25" x14ac:dyDescent="0.2">
      <c r="A980">
        <v>1978</v>
      </c>
      <c r="B980" t="s">
        <v>46</v>
      </c>
      <c r="C980" t="s">
        <v>15</v>
      </c>
      <c r="D980">
        <v>2021</v>
      </c>
      <c r="E980" t="s">
        <v>16</v>
      </c>
      <c r="F980">
        <v>129</v>
      </c>
      <c r="G980">
        <v>4</v>
      </c>
      <c r="H980">
        <v>4</v>
      </c>
      <c r="I980">
        <v>396000</v>
      </c>
      <c r="J980">
        <v>3069.8</v>
      </c>
      <c r="K980">
        <v>7</v>
      </c>
      <c r="L980" t="s">
        <v>20</v>
      </c>
      <c r="M980">
        <v>129</v>
      </c>
      <c r="N980" t="s">
        <v>18</v>
      </c>
      <c r="P980" t="e">
        <f t="shared" si="150"/>
        <v>#N/A</v>
      </c>
      <c r="Q980" t="e">
        <f t="shared" si="151"/>
        <v>#N/A</v>
      </c>
      <c r="R980">
        <f t="shared" si="152"/>
        <v>396000</v>
      </c>
      <c r="S980">
        <f t="shared" si="153"/>
        <v>129</v>
      </c>
      <c r="T980" t="e">
        <f t="shared" si="154"/>
        <v>#N/A</v>
      </c>
      <c r="U980" t="e">
        <f t="shared" si="155"/>
        <v>#N/A</v>
      </c>
      <c r="V980" t="e">
        <f t="shared" si="156"/>
        <v>#N/A</v>
      </c>
      <c r="W980" t="e">
        <f t="shared" si="157"/>
        <v>#N/A</v>
      </c>
      <c r="X980" t="e">
        <f t="shared" si="158"/>
        <v>#N/A</v>
      </c>
      <c r="Y980" t="e">
        <f t="shared" si="159"/>
        <v>#N/A</v>
      </c>
    </row>
    <row r="981" spans="1:25" x14ac:dyDescent="0.2">
      <c r="A981">
        <v>1979</v>
      </c>
      <c r="B981" t="s">
        <v>35</v>
      </c>
      <c r="C981" t="s">
        <v>36</v>
      </c>
      <c r="D981">
        <v>2021</v>
      </c>
      <c r="E981" t="s">
        <v>24</v>
      </c>
      <c r="F981">
        <v>345</v>
      </c>
      <c r="G981">
        <v>3</v>
      </c>
      <c r="H981">
        <v>3</v>
      </c>
      <c r="I981">
        <v>886000</v>
      </c>
      <c r="J981">
        <v>2568.1</v>
      </c>
      <c r="K981">
        <v>0</v>
      </c>
      <c r="L981" t="s">
        <v>17</v>
      </c>
      <c r="M981">
        <v>92</v>
      </c>
      <c r="N981" t="s">
        <v>18</v>
      </c>
      <c r="P981" t="e">
        <f t="shared" si="150"/>
        <v>#N/A</v>
      </c>
      <c r="Q981" t="e">
        <f t="shared" si="151"/>
        <v>#N/A</v>
      </c>
      <c r="R981" t="e">
        <f t="shared" si="152"/>
        <v>#N/A</v>
      </c>
      <c r="S981" t="e">
        <f t="shared" si="153"/>
        <v>#N/A</v>
      </c>
      <c r="T981" t="e">
        <f t="shared" si="154"/>
        <v>#N/A</v>
      </c>
      <c r="U981" t="e">
        <f t="shared" si="155"/>
        <v>#N/A</v>
      </c>
      <c r="V981" t="e">
        <f t="shared" si="156"/>
        <v>#N/A</v>
      </c>
      <c r="W981" t="e">
        <f t="shared" si="157"/>
        <v>#N/A</v>
      </c>
      <c r="X981">
        <f t="shared" si="158"/>
        <v>886000</v>
      </c>
      <c r="Y981">
        <f t="shared" si="159"/>
        <v>345</v>
      </c>
    </row>
    <row r="982" spans="1:25" x14ac:dyDescent="0.2">
      <c r="A982">
        <v>1980</v>
      </c>
      <c r="B982" t="s">
        <v>46</v>
      </c>
      <c r="C982" t="s">
        <v>15</v>
      </c>
      <c r="D982">
        <v>2023</v>
      </c>
      <c r="E982" t="s">
        <v>26</v>
      </c>
      <c r="F982">
        <v>166</v>
      </c>
      <c r="G982">
        <v>2</v>
      </c>
      <c r="H982">
        <v>2</v>
      </c>
      <c r="I982">
        <v>555000</v>
      </c>
      <c r="J982">
        <v>3343.4</v>
      </c>
      <c r="K982">
        <v>0</v>
      </c>
      <c r="L982" t="s">
        <v>17</v>
      </c>
      <c r="M982">
        <v>65</v>
      </c>
      <c r="N982" t="s">
        <v>18</v>
      </c>
      <c r="P982" t="e">
        <f t="shared" si="150"/>
        <v>#N/A</v>
      </c>
      <c r="Q982" t="e">
        <f t="shared" si="151"/>
        <v>#N/A</v>
      </c>
      <c r="R982">
        <f t="shared" si="152"/>
        <v>555000</v>
      </c>
      <c r="S982">
        <f t="shared" si="153"/>
        <v>166</v>
      </c>
      <c r="T982" t="e">
        <f t="shared" si="154"/>
        <v>#N/A</v>
      </c>
      <c r="U982" t="e">
        <f t="shared" si="155"/>
        <v>#N/A</v>
      </c>
      <c r="V982" t="e">
        <f t="shared" si="156"/>
        <v>#N/A</v>
      </c>
      <c r="W982" t="e">
        <f t="shared" si="157"/>
        <v>#N/A</v>
      </c>
      <c r="X982" t="e">
        <f t="shared" si="158"/>
        <v>#N/A</v>
      </c>
      <c r="Y982" t="e">
        <f t="shared" si="159"/>
        <v>#N/A</v>
      </c>
    </row>
    <row r="983" spans="1:25" x14ac:dyDescent="0.2">
      <c r="A983">
        <v>1981</v>
      </c>
      <c r="B983" t="s">
        <v>42</v>
      </c>
      <c r="C983" t="s">
        <v>38</v>
      </c>
      <c r="D983">
        <v>2023</v>
      </c>
      <c r="E983" t="s">
        <v>26</v>
      </c>
      <c r="F983">
        <v>51</v>
      </c>
      <c r="G983">
        <v>0</v>
      </c>
      <c r="H983">
        <v>1</v>
      </c>
      <c r="I983">
        <v>335000</v>
      </c>
      <c r="J983">
        <v>6568.6</v>
      </c>
      <c r="K983">
        <v>0</v>
      </c>
      <c r="L983" t="s">
        <v>34</v>
      </c>
      <c r="M983">
        <v>165</v>
      </c>
      <c r="N983" t="s">
        <v>21</v>
      </c>
      <c r="P983" t="e">
        <f t="shared" si="150"/>
        <v>#N/A</v>
      </c>
      <c r="Q983" t="e">
        <f t="shared" si="151"/>
        <v>#N/A</v>
      </c>
      <c r="R983" t="e">
        <f t="shared" si="152"/>
        <v>#N/A</v>
      </c>
      <c r="S983" t="e">
        <f t="shared" si="153"/>
        <v>#N/A</v>
      </c>
      <c r="T983" t="e">
        <f t="shared" si="154"/>
        <v>#N/A</v>
      </c>
      <c r="U983" t="e">
        <f t="shared" si="155"/>
        <v>#N/A</v>
      </c>
      <c r="V983">
        <f t="shared" si="156"/>
        <v>335000</v>
      </c>
      <c r="W983">
        <f t="shared" si="157"/>
        <v>51</v>
      </c>
      <c r="X983" t="e">
        <f t="shared" si="158"/>
        <v>#N/A</v>
      </c>
      <c r="Y983" t="e">
        <f t="shared" si="159"/>
        <v>#N/A</v>
      </c>
    </row>
    <row r="984" spans="1:25" x14ac:dyDescent="0.2">
      <c r="A984">
        <v>1982</v>
      </c>
      <c r="B984" t="s">
        <v>41</v>
      </c>
      <c r="C984" t="s">
        <v>15</v>
      </c>
      <c r="D984">
        <v>2022</v>
      </c>
      <c r="E984" t="s">
        <v>24</v>
      </c>
      <c r="F984">
        <v>167</v>
      </c>
      <c r="G984">
        <v>3</v>
      </c>
      <c r="H984">
        <v>3</v>
      </c>
      <c r="I984">
        <v>699000</v>
      </c>
      <c r="J984">
        <v>4185.6000000000004</v>
      </c>
      <c r="K984">
        <v>0</v>
      </c>
      <c r="L984" t="s">
        <v>17</v>
      </c>
      <c r="M984">
        <v>69</v>
      </c>
      <c r="N984" t="s">
        <v>21</v>
      </c>
      <c r="P984" t="e">
        <f t="shared" si="150"/>
        <v>#N/A</v>
      </c>
      <c r="Q984" t="e">
        <f t="shared" si="151"/>
        <v>#N/A</v>
      </c>
      <c r="R984">
        <f t="shared" si="152"/>
        <v>699000</v>
      </c>
      <c r="S984">
        <f t="shared" si="153"/>
        <v>167</v>
      </c>
      <c r="T984" t="e">
        <f t="shared" si="154"/>
        <v>#N/A</v>
      </c>
      <c r="U984" t="e">
        <f t="shared" si="155"/>
        <v>#N/A</v>
      </c>
      <c r="V984" t="e">
        <f t="shared" si="156"/>
        <v>#N/A</v>
      </c>
      <c r="W984" t="e">
        <f t="shared" si="157"/>
        <v>#N/A</v>
      </c>
      <c r="X984" t="e">
        <f t="shared" si="158"/>
        <v>#N/A</v>
      </c>
      <c r="Y984" t="e">
        <f t="shared" si="159"/>
        <v>#N/A</v>
      </c>
    </row>
    <row r="985" spans="1:25" x14ac:dyDescent="0.2">
      <c r="A985">
        <v>1983</v>
      </c>
      <c r="B985" t="s">
        <v>39</v>
      </c>
      <c r="C985" t="s">
        <v>36</v>
      </c>
      <c r="D985">
        <v>2022</v>
      </c>
      <c r="E985" t="s">
        <v>26</v>
      </c>
      <c r="F985">
        <v>387</v>
      </c>
      <c r="G985">
        <v>5</v>
      </c>
      <c r="H985">
        <v>5</v>
      </c>
      <c r="I985">
        <v>1181000</v>
      </c>
      <c r="J985">
        <v>3051.7</v>
      </c>
      <c r="K985">
        <v>4</v>
      </c>
      <c r="L985" t="s">
        <v>17</v>
      </c>
      <c r="M985">
        <v>49</v>
      </c>
      <c r="N985" t="s">
        <v>21</v>
      </c>
      <c r="P985" t="e">
        <f t="shared" si="150"/>
        <v>#N/A</v>
      </c>
      <c r="Q985" t="e">
        <f t="shared" si="151"/>
        <v>#N/A</v>
      </c>
      <c r="R985" t="e">
        <f t="shared" si="152"/>
        <v>#N/A</v>
      </c>
      <c r="S985" t="e">
        <f t="shared" si="153"/>
        <v>#N/A</v>
      </c>
      <c r="T985" t="e">
        <f t="shared" si="154"/>
        <v>#N/A</v>
      </c>
      <c r="U985" t="e">
        <f t="shared" si="155"/>
        <v>#N/A</v>
      </c>
      <c r="V985" t="e">
        <f t="shared" si="156"/>
        <v>#N/A</v>
      </c>
      <c r="W985" t="e">
        <f t="shared" si="157"/>
        <v>#N/A</v>
      </c>
      <c r="X985">
        <f t="shared" si="158"/>
        <v>1181000</v>
      </c>
      <c r="Y985">
        <f t="shared" si="159"/>
        <v>387</v>
      </c>
    </row>
    <row r="986" spans="1:25" x14ac:dyDescent="0.2">
      <c r="A986">
        <v>1984</v>
      </c>
      <c r="B986" t="s">
        <v>33</v>
      </c>
      <c r="C986" t="s">
        <v>15</v>
      </c>
      <c r="D986">
        <v>2022</v>
      </c>
      <c r="E986" t="s">
        <v>24</v>
      </c>
      <c r="F986">
        <v>117</v>
      </c>
      <c r="G986">
        <v>3</v>
      </c>
      <c r="H986">
        <v>3</v>
      </c>
      <c r="I986">
        <v>308000</v>
      </c>
      <c r="J986">
        <v>2632.5</v>
      </c>
      <c r="K986">
        <v>2</v>
      </c>
      <c r="L986" t="s">
        <v>34</v>
      </c>
      <c r="M986">
        <v>125</v>
      </c>
      <c r="N986" t="s">
        <v>27</v>
      </c>
      <c r="P986" t="e">
        <f t="shared" si="150"/>
        <v>#N/A</v>
      </c>
      <c r="Q986" t="e">
        <f t="shared" si="151"/>
        <v>#N/A</v>
      </c>
      <c r="R986">
        <f t="shared" si="152"/>
        <v>308000</v>
      </c>
      <c r="S986">
        <f t="shared" si="153"/>
        <v>117</v>
      </c>
      <c r="T986" t="e">
        <f t="shared" si="154"/>
        <v>#N/A</v>
      </c>
      <c r="U986" t="e">
        <f t="shared" si="155"/>
        <v>#N/A</v>
      </c>
      <c r="V986" t="e">
        <f t="shared" si="156"/>
        <v>#N/A</v>
      </c>
      <c r="W986" t="e">
        <f t="shared" si="157"/>
        <v>#N/A</v>
      </c>
      <c r="X986" t="e">
        <f t="shared" si="158"/>
        <v>#N/A</v>
      </c>
      <c r="Y986" t="e">
        <f t="shared" si="159"/>
        <v>#N/A</v>
      </c>
    </row>
    <row r="987" spans="1:25" x14ac:dyDescent="0.2">
      <c r="A987">
        <v>1985</v>
      </c>
      <c r="B987" t="s">
        <v>48</v>
      </c>
      <c r="C987" t="s">
        <v>23</v>
      </c>
      <c r="D987">
        <v>2024</v>
      </c>
      <c r="E987" t="s">
        <v>24</v>
      </c>
      <c r="F987">
        <v>334</v>
      </c>
      <c r="G987">
        <v>4</v>
      </c>
      <c r="H987">
        <v>4</v>
      </c>
      <c r="I987">
        <v>1248000</v>
      </c>
      <c r="J987">
        <v>3736.5</v>
      </c>
      <c r="K987">
        <v>7</v>
      </c>
      <c r="L987" t="s">
        <v>17</v>
      </c>
      <c r="M987">
        <v>81</v>
      </c>
      <c r="N987" t="s">
        <v>27</v>
      </c>
      <c r="P987" t="e">
        <f t="shared" si="150"/>
        <v>#N/A</v>
      </c>
      <c r="Q987" t="e">
        <f t="shared" si="151"/>
        <v>#N/A</v>
      </c>
      <c r="R987" t="e">
        <f t="shared" si="152"/>
        <v>#N/A</v>
      </c>
      <c r="S987" t="e">
        <f t="shared" si="153"/>
        <v>#N/A</v>
      </c>
      <c r="T987">
        <f t="shared" si="154"/>
        <v>1248000</v>
      </c>
      <c r="U987">
        <f t="shared" si="155"/>
        <v>334</v>
      </c>
      <c r="V987" t="e">
        <f t="shared" si="156"/>
        <v>#N/A</v>
      </c>
      <c r="W987" t="e">
        <f t="shared" si="157"/>
        <v>#N/A</v>
      </c>
      <c r="X987" t="e">
        <f t="shared" si="158"/>
        <v>#N/A</v>
      </c>
      <c r="Y987" t="e">
        <f t="shared" si="159"/>
        <v>#N/A</v>
      </c>
    </row>
    <row r="988" spans="1:25" x14ac:dyDescent="0.2">
      <c r="A988">
        <v>1986</v>
      </c>
      <c r="B988" t="s">
        <v>42</v>
      </c>
      <c r="C988" t="s">
        <v>15</v>
      </c>
      <c r="D988">
        <v>2022</v>
      </c>
      <c r="E988" t="s">
        <v>16</v>
      </c>
      <c r="F988">
        <v>156</v>
      </c>
      <c r="G988">
        <v>4</v>
      </c>
      <c r="H988">
        <v>4</v>
      </c>
      <c r="I988">
        <v>630000</v>
      </c>
      <c r="J988">
        <v>4038.5</v>
      </c>
      <c r="K988">
        <v>2</v>
      </c>
      <c r="L988" t="s">
        <v>20</v>
      </c>
      <c r="M988">
        <v>74</v>
      </c>
      <c r="N988" t="s">
        <v>21</v>
      </c>
      <c r="P988" t="e">
        <f t="shared" si="150"/>
        <v>#N/A</v>
      </c>
      <c r="Q988" t="e">
        <f t="shared" si="151"/>
        <v>#N/A</v>
      </c>
      <c r="R988">
        <f t="shared" si="152"/>
        <v>630000</v>
      </c>
      <c r="S988">
        <f t="shared" si="153"/>
        <v>156</v>
      </c>
      <c r="T988" t="e">
        <f t="shared" si="154"/>
        <v>#N/A</v>
      </c>
      <c r="U988" t="e">
        <f t="shared" si="155"/>
        <v>#N/A</v>
      </c>
      <c r="V988" t="e">
        <f t="shared" si="156"/>
        <v>#N/A</v>
      </c>
      <c r="W988" t="e">
        <f t="shared" si="157"/>
        <v>#N/A</v>
      </c>
      <c r="X988" t="e">
        <f t="shared" si="158"/>
        <v>#N/A</v>
      </c>
      <c r="Y988" t="e">
        <f t="shared" si="159"/>
        <v>#N/A</v>
      </c>
    </row>
    <row r="989" spans="1:25" x14ac:dyDescent="0.2">
      <c r="A989">
        <v>1987</v>
      </c>
      <c r="B989" t="s">
        <v>37</v>
      </c>
      <c r="C989" t="s">
        <v>36</v>
      </c>
      <c r="D989">
        <v>2024</v>
      </c>
      <c r="E989" t="s">
        <v>16</v>
      </c>
      <c r="F989">
        <v>460</v>
      </c>
      <c r="G989">
        <v>3</v>
      </c>
      <c r="H989">
        <v>3</v>
      </c>
      <c r="I989">
        <v>1560000</v>
      </c>
      <c r="J989">
        <v>3391.3</v>
      </c>
      <c r="K989">
        <v>0</v>
      </c>
      <c r="L989" t="s">
        <v>20</v>
      </c>
      <c r="M989">
        <v>100</v>
      </c>
      <c r="N989" t="s">
        <v>27</v>
      </c>
      <c r="P989" t="e">
        <f t="shared" si="150"/>
        <v>#N/A</v>
      </c>
      <c r="Q989" t="e">
        <f t="shared" si="151"/>
        <v>#N/A</v>
      </c>
      <c r="R989" t="e">
        <f t="shared" si="152"/>
        <v>#N/A</v>
      </c>
      <c r="S989" t="e">
        <f t="shared" si="153"/>
        <v>#N/A</v>
      </c>
      <c r="T989" t="e">
        <f t="shared" si="154"/>
        <v>#N/A</v>
      </c>
      <c r="U989" t="e">
        <f t="shared" si="155"/>
        <v>#N/A</v>
      </c>
      <c r="V989" t="e">
        <f t="shared" si="156"/>
        <v>#N/A</v>
      </c>
      <c r="W989" t="e">
        <f t="shared" si="157"/>
        <v>#N/A</v>
      </c>
      <c r="X989">
        <f t="shared" si="158"/>
        <v>1560000</v>
      </c>
      <c r="Y989">
        <f t="shared" si="159"/>
        <v>460</v>
      </c>
    </row>
    <row r="990" spans="1:25" x14ac:dyDescent="0.2">
      <c r="A990">
        <v>1988</v>
      </c>
      <c r="B990" t="s">
        <v>43</v>
      </c>
      <c r="C990" t="s">
        <v>23</v>
      </c>
      <c r="D990">
        <v>2022</v>
      </c>
      <c r="E990" t="s">
        <v>30</v>
      </c>
      <c r="F990">
        <v>279</v>
      </c>
      <c r="G990">
        <v>3</v>
      </c>
      <c r="H990">
        <v>3</v>
      </c>
      <c r="I990">
        <v>1287000</v>
      </c>
      <c r="J990">
        <v>4612.8999999999996</v>
      </c>
      <c r="K990">
        <v>0</v>
      </c>
      <c r="L990" t="s">
        <v>34</v>
      </c>
      <c r="M990">
        <v>166</v>
      </c>
      <c r="N990" t="s">
        <v>27</v>
      </c>
      <c r="P990" t="e">
        <f t="shared" si="150"/>
        <v>#N/A</v>
      </c>
      <c r="Q990" t="e">
        <f t="shared" si="151"/>
        <v>#N/A</v>
      </c>
      <c r="R990" t="e">
        <f t="shared" si="152"/>
        <v>#N/A</v>
      </c>
      <c r="S990" t="e">
        <f t="shared" si="153"/>
        <v>#N/A</v>
      </c>
      <c r="T990">
        <f t="shared" si="154"/>
        <v>1287000</v>
      </c>
      <c r="U990">
        <f t="shared" si="155"/>
        <v>279</v>
      </c>
      <c r="V990" t="e">
        <f t="shared" si="156"/>
        <v>#N/A</v>
      </c>
      <c r="W990" t="e">
        <f t="shared" si="157"/>
        <v>#N/A</v>
      </c>
      <c r="X990" t="e">
        <f t="shared" si="158"/>
        <v>#N/A</v>
      </c>
      <c r="Y990" t="e">
        <f t="shared" si="159"/>
        <v>#N/A</v>
      </c>
    </row>
    <row r="991" spans="1:25" x14ac:dyDescent="0.2">
      <c r="A991">
        <v>1989</v>
      </c>
      <c r="B991" t="s">
        <v>42</v>
      </c>
      <c r="C991" t="s">
        <v>15</v>
      </c>
      <c r="D991">
        <v>2024</v>
      </c>
      <c r="E991" t="s">
        <v>16</v>
      </c>
      <c r="F991">
        <v>136</v>
      </c>
      <c r="G991">
        <v>3</v>
      </c>
      <c r="H991">
        <v>3</v>
      </c>
      <c r="I991">
        <v>685000</v>
      </c>
      <c r="J991">
        <v>5036.8</v>
      </c>
      <c r="K991">
        <v>5</v>
      </c>
      <c r="L991" t="s">
        <v>17</v>
      </c>
      <c r="M991">
        <v>179</v>
      </c>
      <c r="N991" t="s">
        <v>21</v>
      </c>
      <c r="P991" t="e">
        <f t="shared" si="150"/>
        <v>#N/A</v>
      </c>
      <c r="Q991" t="e">
        <f t="shared" si="151"/>
        <v>#N/A</v>
      </c>
      <c r="R991">
        <f t="shared" si="152"/>
        <v>685000</v>
      </c>
      <c r="S991">
        <f t="shared" si="153"/>
        <v>136</v>
      </c>
      <c r="T991" t="e">
        <f t="shared" si="154"/>
        <v>#N/A</v>
      </c>
      <c r="U991" t="e">
        <f t="shared" si="155"/>
        <v>#N/A</v>
      </c>
      <c r="V991" t="e">
        <f t="shared" si="156"/>
        <v>#N/A</v>
      </c>
      <c r="W991" t="e">
        <f t="shared" si="157"/>
        <v>#N/A</v>
      </c>
      <c r="X991" t="e">
        <f t="shared" si="158"/>
        <v>#N/A</v>
      </c>
      <c r="Y991" t="e">
        <f t="shared" si="159"/>
        <v>#N/A</v>
      </c>
    </row>
    <row r="992" spans="1:25" x14ac:dyDescent="0.2">
      <c r="A992">
        <v>1990</v>
      </c>
      <c r="B992" t="s">
        <v>19</v>
      </c>
      <c r="C992" t="s">
        <v>15</v>
      </c>
      <c r="D992">
        <v>2023</v>
      </c>
      <c r="E992" t="s">
        <v>26</v>
      </c>
      <c r="F992">
        <v>113</v>
      </c>
      <c r="G992">
        <v>4</v>
      </c>
      <c r="H992">
        <v>4</v>
      </c>
      <c r="I992">
        <v>390000</v>
      </c>
      <c r="J992">
        <v>3451.3</v>
      </c>
      <c r="K992">
        <v>10</v>
      </c>
      <c r="L992" t="s">
        <v>17</v>
      </c>
      <c r="M992">
        <v>133</v>
      </c>
      <c r="N992" t="s">
        <v>21</v>
      </c>
      <c r="P992" t="e">
        <f t="shared" si="150"/>
        <v>#N/A</v>
      </c>
      <c r="Q992" t="e">
        <f t="shared" si="151"/>
        <v>#N/A</v>
      </c>
      <c r="R992">
        <f t="shared" si="152"/>
        <v>390000</v>
      </c>
      <c r="S992">
        <f t="shared" si="153"/>
        <v>113</v>
      </c>
      <c r="T992" t="e">
        <f t="shared" si="154"/>
        <v>#N/A</v>
      </c>
      <c r="U992" t="e">
        <f t="shared" si="155"/>
        <v>#N/A</v>
      </c>
      <c r="V992" t="e">
        <f t="shared" si="156"/>
        <v>#N/A</v>
      </c>
      <c r="W992" t="e">
        <f t="shared" si="157"/>
        <v>#N/A</v>
      </c>
      <c r="X992" t="e">
        <f t="shared" si="158"/>
        <v>#N/A</v>
      </c>
      <c r="Y992" t="e">
        <f t="shared" si="159"/>
        <v>#N/A</v>
      </c>
    </row>
    <row r="993" spans="1:25" x14ac:dyDescent="0.2">
      <c r="A993">
        <v>1991</v>
      </c>
      <c r="B993" t="s">
        <v>33</v>
      </c>
      <c r="C993" t="s">
        <v>38</v>
      </c>
      <c r="D993">
        <v>2021</v>
      </c>
      <c r="E993" t="s">
        <v>16</v>
      </c>
      <c r="F993">
        <v>44</v>
      </c>
      <c r="G993">
        <v>0</v>
      </c>
      <c r="H993">
        <v>1</v>
      </c>
      <c r="I993">
        <v>125000</v>
      </c>
      <c r="J993">
        <v>2840.9</v>
      </c>
      <c r="K993">
        <v>2</v>
      </c>
      <c r="L993" t="s">
        <v>20</v>
      </c>
      <c r="M993">
        <v>131</v>
      </c>
      <c r="N993" t="s">
        <v>27</v>
      </c>
      <c r="P993" t="e">
        <f t="shared" si="150"/>
        <v>#N/A</v>
      </c>
      <c r="Q993" t="e">
        <f t="shared" si="151"/>
        <v>#N/A</v>
      </c>
      <c r="R993" t="e">
        <f t="shared" si="152"/>
        <v>#N/A</v>
      </c>
      <c r="S993" t="e">
        <f t="shared" si="153"/>
        <v>#N/A</v>
      </c>
      <c r="T993" t="e">
        <f t="shared" si="154"/>
        <v>#N/A</v>
      </c>
      <c r="U993" t="e">
        <f t="shared" si="155"/>
        <v>#N/A</v>
      </c>
      <c r="V993">
        <f t="shared" si="156"/>
        <v>125000</v>
      </c>
      <c r="W993">
        <f t="shared" si="157"/>
        <v>44</v>
      </c>
      <c r="X993" t="e">
        <f t="shared" si="158"/>
        <v>#N/A</v>
      </c>
      <c r="Y993" t="e">
        <f t="shared" si="159"/>
        <v>#N/A</v>
      </c>
    </row>
    <row r="994" spans="1:25" x14ac:dyDescent="0.2">
      <c r="A994">
        <v>1992</v>
      </c>
      <c r="B994" t="s">
        <v>35</v>
      </c>
      <c r="C994" t="s">
        <v>36</v>
      </c>
      <c r="D994">
        <v>2021</v>
      </c>
      <c r="E994" t="s">
        <v>16</v>
      </c>
      <c r="F994">
        <v>407</v>
      </c>
      <c r="G994">
        <v>3</v>
      </c>
      <c r="H994">
        <v>3</v>
      </c>
      <c r="I994">
        <v>1041000</v>
      </c>
      <c r="J994">
        <v>2557.6999999999998</v>
      </c>
      <c r="K994">
        <v>5</v>
      </c>
      <c r="L994" t="s">
        <v>34</v>
      </c>
      <c r="M994">
        <v>105</v>
      </c>
      <c r="N994" t="s">
        <v>18</v>
      </c>
      <c r="P994" t="e">
        <f t="shared" si="150"/>
        <v>#N/A</v>
      </c>
      <c r="Q994" t="e">
        <f t="shared" si="151"/>
        <v>#N/A</v>
      </c>
      <c r="R994" t="e">
        <f t="shared" si="152"/>
        <v>#N/A</v>
      </c>
      <c r="S994" t="e">
        <f t="shared" si="153"/>
        <v>#N/A</v>
      </c>
      <c r="T994" t="e">
        <f t="shared" si="154"/>
        <v>#N/A</v>
      </c>
      <c r="U994" t="e">
        <f t="shared" si="155"/>
        <v>#N/A</v>
      </c>
      <c r="V994" t="e">
        <f t="shared" si="156"/>
        <v>#N/A</v>
      </c>
      <c r="W994" t="e">
        <f t="shared" si="157"/>
        <v>#N/A</v>
      </c>
      <c r="X994">
        <f t="shared" si="158"/>
        <v>1041000</v>
      </c>
      <c r="Y994">
        <f t="shared" si="159"/>
        <v>407</v>
      </c>
    </row>
    <row r="995" spans="1:25" x14ac:dyDescent="0.2">
      <c r="A995">
        <v>1993</v>
      </c>
      <c r="B995" t="s">
        <v>42</v>
      </c>
      <c r="C995" t="s">
        <v>15</v>
      </c>
      <c r="D995">
        <v>2024</v>
      </c>
      <c r="E995" t="s">
        <v>24</v>
      </c>
      <c r="F995">
        <v>196</v>
      </c>
      <c r="G995">
        <v>3</v>
      </c>
      <c r="H995">
        <v>3</v>
      </c>
      <c r="I995">
        <v>923000</v>
      </c>
      <c r="J995">
        <v>4709.2</v>
      </c>
      <c r="K995">
        <v>15</v>
      </c>
      <c r="L995" t="s">
        <v>17</v>
      </c>
      <c r="M995">
        <v>78</v>
      </c>
      <c r="N995" t="s">
        <v>21</v>
      </c>
      <c r="P995" t="e">
        <f t="shared" si="150"/>
        <v>#N/A</v>
      </c>
      <c r="Q995" t="e">
        <f t="shared" si="151"/>
        <v>#N/A</v>
      </c>
      <c r="R995">
        <f t="shared" si="152"/>
        <v>923000</v>
      </c>
      <c r="S995">
        <f t="shared" si="153"/>
        <v>196</v>
      </c>
      <c r="T995" t="e">
        <f t="shared" si="154"/>
        <v>#N/A</v>
      </c>
      <c r="U995" t="e">
        <f t="shared" si="155"/>
        <v>#N/A</v>
      </c>
      <c r="V995" t="e">
        <f t="shared" si="156"/>
        <v>#N/A</v>
      </c>
      <c r="W995" t="e">
        <f t="shared" si="157"/>
        <v>#N/A</v>
      </c>
      <c r="X995" t="e">
        <f t="shared" si="158"/>
        <v>#N/A</v>
      </c>
      <c r="Y995" t="e">
        <f t="shared" si="159"/>
        <v>#N/A</v>
      </c>
    </row>
    <row r="996" spans="1:25" x14ac:dyDescent="0.2">
      <c r="A996">
        <v>1994</v>
      </c>
      <c r="B996" t="s">
        <v>35</v>
      </c>
      <c r="C996" t="s">
        <v>29</v>
      </c>
      <c r="D996">
        <v>2023</v>
      </c>
      <c r="E996" t="s">
        <v>30</v>
      </c>
      <c r="F996">
        <v>412</v>
      </c>
      <c r="G996">
        <v>5</v>
      </c>
      <c r="H996">
        <v>5</v>
      </c>
      <c r="I996">
        <v>2401000</v>
      </c>
      <c r="J996">
        <v>5827.7</v>
      </c>
      <c r="K996">
        <v>2</v>
      </c>
      <c r="L996" t="s">
        <v>17</v>
      </c>
      <c r="M996">
        <v>41</v>
      </c>
      <c r="N996" t="s">
        <v>18</v>
      </c>
      <c r="P996">
        <f t="shared" si="150"/>
        <v>2401000</v>
      </c>
      <c r="Q996">
        <f t="shared" si="151"/>
        <v>412</v>
      </c>
      <c r="R996" t="e">
        <f t="shared" si="152"/>
        <v>#N/A</v>
      </c>
      <c r="S996" t="e">
        <f t="shared" si="153"/>
        <v>#N/A</v>
      </c>
      <c r="T996" t="e">
        <f t="shared" si="154"/>
        <v>#N/A</v>
      </c>
      <c r="U996" t="e">
        <f t="shared" si="155"/>
        <v>#N/A</v>
      </c>
      <c r="V996" t="e">
        <f t="shared" si="156"/>
        <v>#N/A</v>
      </c>
      <c r="W996" t="e">
        <f t="shared" si="157"/>
        <v>#N/A</v>
      </c>
      <c r="X996" t="e">
        <f t="shared" si="158"/>
        <v>#N/A</v>
      </c>
      <c r="Y996" t="e">
        <f t="shared" si="159"/>
        <v>#N/A</v>
      </c>
    </row>
    <row r="997" spans="1:25" x14ac:dyDescent="0.2">
      <c r="A997">
        <v>1995</v>
      </c>
      <c r="B997" t="s">
        <v>22</v>
      </c>
      <c r="C997" t="s">
        <v>15</v>
      </c>
      <c r="D997">
        <v>2023</v>
      </c>
      <c r="E997" t="s">
        <v>30</v>
      </c>
      <c r="F997">
        <v>140</v>
      </c>
      <c r="G997">
        <v>3</v>
      </c>
      <c r="H997">
        <v>3</v>
      </c>
      <c r="I997">
        <v>483000</v>
      </c>
      <c r="J997">
        <v>3450</v>
      </c>
      <c r="K997">
        <v>1</v>
      </c>
      <c r="L997" t="s">
        <v>34</v>
      </c>
      <c r="M997">
        <v>136</v>
      </c>
      <c r="N997" t="s">
        <v>18</v>
      </c>
      <c r="P997" t="e">
        <f t="shared" si="150"/>
        <v>#N/A</v>
      </c>
      <c r="Q997" t="e">
        <f t="shared" si="151"/>
        <v>#N/A</v>
      </c>
      <c r="R997">
        <f t="shared" si="152"/>
        <v>483000</v>
      </c>
      <c r="S997">
        <f t="shared" si="153"/>
        <v>140</v>
      </c>
      <c r="T997" t="e">
        <f t="shared" si="154"/>
        <v>#N/A</v>
      </c>
      <c r="U997" t="e">
        <f t="shared" si="155"/>
        <v>#N/A</v>
      </c>
      <c r="V997" t="e">
        <f t="shared" si="156"/>
        <v>#N/A</v>
      </c>
      <c r="W997" t="e">
        <f t="shared" si="157"/>
        <v>#N/A</v>
      </c>
      <c r="X997" t="e">
        <f t="shared" si="158"/>
        <v>#N/A</v>
      </c>
      <c r="Y997" t="e">
        <f t="shared" si="159"/>
        <v>#N/A</v>
      </c>
    </row>
    <row r="998" spans="1:25" x14ac:dyDescent="0.2">
      <c r="A998">
        <v>1996</v>
      </c>
      <c r="B998" t="s">
        <v>41</v>
      </c>
      <c r="C998" t="s">
        <v>29</v>
      </c>
      <c r="D998">
        <v>2021</v>
      </c>
      <c r="E998" t="s">
        <v>16</v>
      </c>
      <c r="F998">
        <v>426</v>
      </c>
      <c r="G998">
        <v>4</v>
      </c>
      <c r="H998">
        <v>4</v>
      </c>
      <c r="I998">
        <v>2531000</v>
      </c>
      <c r="J998">
        <v>5941.3</v>
      </c>
      <c r="K998">
        <v>1</v>
      </c>
      <c r="L998" t="s">
        <v>34</v>
      </c>
      <c r="M998">
        <v>103</v>
      </c>
      <c r="N998" t="s">
        <v>21</v>
      </c>
      <c r="P998">
        <f t="shared" si="150"/>
        <v>2531000</v>
      </c>
      <c r="Q998">
        <f t="shared" si="151"/>
        <v>426</v>
      </c>
      <c r="R998" t="e">
        <f t="shared" si="152"/>
        <v>#N/A</v>
      </c>
      <c r="S998" t="e">
        <f t="shared" si="153"/>
        <v>#N/A</v>
      </c>
      <c r="T998" t="e">
        <f t="shared" si="154"/>
        <v>#N/A</v>
      </c>
      <c r="U998" t="e">
        <f t="shared" si="155"/>
        <v>#N/A</v>
      </c>
      <c r="V998" t="e">
        <f t="shared" si="156"/>
        <v>#N/A</v>
      </c>
      <c r="W998" t="e">
        <f t="shared" si="157"/>
        <v>#N/A</v>
      </c>
      <c r="X998" t="e">
        <f t="shared" si="158"/>
        <v>#N/A</v>
      </c>
      <c r="Y998" t="e">
        <f t="shared" si="159"/>
        <v>#N/A</v>
      </c>
    </row>
    <row r="999" spans="1:25" x14ac:dyDescent="0.2">
      <c r="A999">
        <v>1997</v>
      </c>
      <c r="B999" t="s">
        <v>48</v>
      </c>
      <c r="C999" t="s">
        <v>29</v>
      </c>
      <c r="D999">
        <v>2024</v>
      </c>
      <c r="E999" t="s">
        <v>24</v>
      </c>
      <c r="F999">
        <v>513</v>
      </c>
      <c r="G999">
        <v>6</v>
      </c>
      <c r="H999">
        <v>6</v>
      </c>
      <c r="I999">
        <v>2714000</v>
      </c>
      <c r="J999">
        <v>5290.4</v>
      </c>
      <c r="K999">
        <v>4</v>
      </c>
      <c r="L999" t="s">
        <v>20</v>
      </c>
      <c r="M999">
        <v>25</v>
      </c>
      <c r="N999" t="s">
        <v>27</v>
      </c>
      <c r="P999">
        <f t="shared" si="150"/>
        <v>2714000</v>
      </c>
      <c r="Q999">
        <f t="shared" si="151"/>
        <v>513</v>
      </c>
      <c r="R999" t="e">
        <f t="shared" si="152"/>
        <v>#N/A</v>
      </c>
      <c r="S999" t="e">
        <f t="shared" si="153"/>
        <v>#N/A</v>
      </c>
      <c r="T999" t="e">
        <f t="shared" si="154"/>
        <v>#N/A</v>
      </c>
      <c r="U999" t="e">
        <f t="shared" si="155"/>
        <v>#N/A</v>
      </c>
      <c r="V999" t="e">
        <f t="shared" si="156"/>
        <v>#N/A</v>
      </c>
      <c r="W999" t="e">
        <f t="shared" si="157"/>
        <v>#N/A</v>
      </c>
      <c r="X999" t="e">
        <f t="shared" si="158"/>
        <v>#N/A</v>
      </c>
      <c r="Y999" t="e">
        <f t="shared" si="159"/>
        <v>#N/A</v>
      </c>
    </row>
    <row r="1000" spans="1:25" x14ac:dyDescent="0.2">
      <c r="A1000">
        <v>1998</v>
      </c>
      <c r="B1000" t="s">
        <v>35</v>
      </c>
      <c r="C1000" t="s">
        <v>23</v>
      </c>
      <c r="D1000">
        <v>2021</v>
      </c>
      <c r="E1000" t="s">
        <v>24</v>
      </c>
      <c r="F1000">
        <v>234</v>
      </c>
      <c r="G1000">
        <v>4</v>
      </c>
      <c r="H1000">
        <v>4</v>
      </c>
      <c r="I1000">
        <v>802000</v>
      </c>
      <c r="J1000">
        <v>3427.4</v>
      </c>
      <c r="K1000">
        <v>1</v>
      </c>
      <c r="L1000" t="s">
        <v>17</v>
      </c>
      <c r="M1000">
        <v>82</v>
      </c>
      <c r="N1000" t="s">
        <v>18</v>
      </c>
      <c r="P1000" t="e">
        <f t="shared" si="150"/>
        <v>#N/A</v>
      </c>
      <c r="Q1000" t="e">
        <f t="shared" si="151"/>
        <v>#N/A</v>
      </c>
      <c r="R1000" t="e">
        <f t="shared" si="152"/>
        <v>#N/A</v>
      </c>
      <c r="S1000" t="e">
        <f t="shared" si="153"/>
        <v>#N/A</v>
      </c>
      <c r="T1000">
        <f t="shared" si="154"/>
        <v>802000</v>
      </c>
      <c r="U1000">
        <f t="shared" si="155"/>
        <v>234</v>
      </c>
      <c r="V1000" t="e">
        <f t="shared" si="156"/>
        <v>#N/A</v>
      </c>
      <c r="W1000" t="e">
        <f t="shared" si="157"/>
        <v>#N/A</v>
      </c>
      <c r="X1000" t="e">
        <f t="shared" si="158"/>
        <v>#N/A</v>
      </c>
      <c r="Y1000" t="e">
        <f t="shared" si="159"/>
        <v>#N/A</v>
      </c>
    </row>
    <row r="1001" spans="1:25" x14ac:dyDescent="0.2">
      <c r="A1001">
        <v>1999</v>
      </c>
      <c r="B1001" t="s">
        <v>37</v>
      </c>
      <c r="C1001" t="s">
        <v>23</v>
      </c>
      <c r="D1001">
        <v>2021</v>
      </c>
      <c r="E1001" t="s">
        <v>24</v>
      </c>
      <c r="F1001">
        <v>292</v>
      </c>
      <c r="G1001">
        <v>5</v>
      </c>
      <c r="H1001">
        <v>5</v>
      </c>
      <c r="I1001">
        <v>1351000</v>
      </c>
      <c r="J1001">
        <v>4626.7</v>
      </c>
      <c r="K1001">
        <v>10</v>
      </c>
      <c r="L1001" t="s">
        <v>17</v>
      </c>
      <c r="M1001">
        <v>152</v>
      </c>
      <c r="N1001" t="s">
        <v>27</v>
      </c>
      <c r="P1001" t="e">
        <f t="shared" si="150"/>
        <v>#N/A</v>
      </c>
      <c r="Q1001" t="e">
        <f t="shared" si="151"/>
        <v>#N/A</v>
      </c>
      <c r="R1001" t="e">
        <f t="shared" si="152"/>
        <v>#N/A</v>
      </c>
      <c r="S1001" t="e">
        <f t="shared" si="153"/>
        <v>#N/A</v>
      </c>
      <c r="T1001">
        <f t="shared" si="154"/>
        <v>1351000</v>
      </c>
      <c r="U1001">
        <f t="shared" si="155"/>
        <v>292</v>
      </c>
      <c r="V1001" t="e">
        <f t="shared" si="156"/>
        <v>#N/A</v>
      </c>
      <c r="W1001" t="e">
        <f t="shared" si="157"/>
        <v>#N/A</v>
      </c>
      <c r="X1001" t="e">
        <f t="shared" si="158"/>
        <v>#N/A</v>
      </c>
      <c r="Y1001" t="e">
        <f t="shared" si="159"/>
        <v>#N/A</v>
      </c>
    </row>
    <row r="1002" spans="1:25" x14ac:dyDescent="0.2">
      <c r="A1002">
        <v>2000</v>
      </c>
      <c r="B1002" t="s">
        <v>19</v>
      </c>
      <c r="C1002" t="s">
        <v>36</v>
      </c>
      <c r="D1002">
        <v>2021</v>
      </c>
      <c r="E1002" t="s">
        <v>16</v>
      </c>
      <c r="F1002">
        <v>409</v>
      </c>
      <c r="G1002">
        <v>5</v>
      </c>
      <c r="H1002">
        <v>5</v>
      </c>
      <c r="I1002">
        <v>947000</v>
      </c>
      <c r="J1002">
        <v>2315.4</v>
      </c>
      <c r="K1002">
        <v>1</v>
      </c>
      <c r="L1002" t="s">
        <v>17</v>
      </c>
      <c r="M1002">
        <v>88</v>
      </c>
      <c r="N1002" t="s">
        <v>21</v>
      </c>
      <c r="P1002" t="e">
        <f t="shared" si="150"/>
        <v>#N/A</v>
      </c>
      <c r="Q1002" t="e">
        <f t="shared" si="151"/>
        <v>#N/A</v>
      </c>
      <c r="R1002" t="e">
        <f t="shared" si="152"/>
        <v>#N/A</v>
      </c>
      <c r="S1002" t="e">
        <f t="shared" si="153"/>
        <v>#N/A</v>
      </c>
      <c r="T1002" t="e">
        <f t="shared" si="154"/>
        <v>#N/A</v>
      </c>
      <c r="U1002" t="e">
        <f t="shared" si="155"/>
        <v>#N/A</v>
      </c>
      <c r="V1002" t="e">
        <f t="shared" si="156"/>
        <v>#N/A</v>
      </c>
      <c r="W1002" t="e">
        <f t="shared" si="157"/>
        <v>#N/A</v>
      </c>
      <c r="X1002">
        <f t="shared" si="158"/>
        <v>947000</v>
      </c>
      <c r="Y1002">
        <f t="shared" si="159"/>
        <v>409</v>
      </c>
    </row>
    <row r="1003" spans="1:25" x14ac:dyDescent="0.2">
      <c r="A1003">
        <v>2001</v>
      </c>
      <c r="B1003" t="s">
        <v>22</v>
      </c>
      <c r="C1003" t="s">
        <v>23</v>
      </c>
      <c r="D1003">
        <v>2023</v>
      </c>
      <c r="E1003" t="s">
        <v>16</v>
      </c>
      <c r="F1003">
        <v>305</v>
      </c>
      <c r="G1003">
        <v>3</v>
      </c>
      <c r="H1003">
        <v>3</v>
      </c>
      <c r="I1003">
        <v>1347000</v>
      </c>
      <c r="J1003">
        <v>4416.3999999999996</v>
      </c>
      <c r="K1003">
        <v>3</v>
      </c>
      <c r="L1003" t="s">
        <v>17</v>
      </c>
      <c r="M1003">
        <v>111</v>
      </c>
      <c r="N1003" t="s">
        <v>18</v>
      </c>
      <c r="P1003" t="e">
        <f t="shared" si="150"/>
        <v>#N/A</v>
      </c>
      <c r="Q1003" t="e">
        <f t="shared" si="151"/>
        <v>#N/A</v>
      </c>
      <c r="R1003" t="e">
        <f t="shared" si="152"/>
        <v>#N/A</v>
      </c>
      <c r="S1003" t="e">
        <f t="shared" si="153"/>
        <v>#N/A</v>
      </c>
      <c r="T1003">
        <f t="shared" si="154"/>
        <v>1347000</v>
      </c>
      <c r="U1003">
        <f t="shared" si="155"/>
        <v>305</v>
      </c>
      <c r="V1003" t="e">
        <f t="shared" si="156"/>
        <v>#N/A</v>
      </c>
      <c r="W1003" t="e">
        <f t="shared" si="157"/>
        <v>#N/A</v>
      </c>
      <c r="X1003" t="e">
        <f t="shared" si="158"/>
        <v>#N/A</v>
      </c>
      <c r="Y1003" t="e">
        <f t="shared" si="159"/>
        <v>#N/A</v>
      </c>
    </row>
    <row r="1004" spans="1:25" x14ac:dyDescent="0.2">
      <c r="A1004">
        <v>2002</v>
      </c>
      <c r="B1004" t="s">
        <v>22</v>
      </c>
      <c r="C1004" t="s">
        <v>15</v>
      </c>
      <c r="D1004">
        <v>2023</v>
      </c>
      <c r="E1004" t="s">
        <v>26</v>
      </c>
      <c r="F1004">
        <v>64</v>
      </c>
      <c r="G1004">
        <v>3</v>
      </c>
      <c r="H1004">
        <v>3</v>
      </c>
      <c r="I1004">
        <v>232000</v>
      </c>
      <c r="J1004">
        <v>3625</v>
      </c>
      <c r="K1004">
        <v>7</v>
      </c>
      <c r="L1004" t="s">
        <v>20</v>
      </c>
      <c r="M1004">
        <v>55</v>
      </c>
      <c r="N1004" t="s">
        <v>18</v>
      </c>
      <c r="P1004" t="e">
        <f t="shared" si="150"/>
        <v>#N/A</v>
      </c>
      <c r="Q1004" t="e">
        <f t="shared" si="151"/>
        <v>#N/A</v>
      </c>
      <c r="R1004">
        <f t="shared" si="152"/>
        <v>232000</v>
      </c>
      <c r="S1004">
        <f t="shared" si="153"/>
        <v>64</v>
      </c>
      <c r="T1004" t="e">
        <f t="shared" si="154"/>
        <v>#N/A</v>
      </c>
      <c r="U1004" t="e">
        <f t="shared" si="155"/>
        <v>#N/A</v>
      </c>
      <c r="V1004" t="e">
        <f t="shared" si="156"/>
        <v>#N/A</v>
      </c>
      <c r="W1004" t="e">
        <f t="shared" si="157"/>
        <v>#N/A</v>
      </c>
      <c r="X1004" t="e">
        <f t="shared" si="158"/>
        <v>#N/A</v>
      </c>
      <c r="Y1004" t="e">
        <f t="shared" si="159"/>
        <v>#N/A</v>
      </c>
    </row>
    <row r="1005" spans="1:25" x14ac:dyDescent="0.2">
      <c r="A1005">
        <v>2003</v>
      </c>
      <c r="B1005" t="s">
        <v>46</v>
      </c>
      <c r="C1005" t="s">
        <v>38</v>
      </c>
      <c r="D1005">
        <v>2024</v>
      </c>
      <c r="E1005" t="s">
        <v>26</v>
      </c>
      <c r="F1005">
        <v>62</v>
      </c>
      <c r="G1005">
        <v>0</v>
      </c>
      <c r="H1005">
        <v>1</v>
      </c>
      <c r="I1005">
        <v>296000</v>
      </c>
      <c r="J1005">
        <v>4774.2</v>
      </c>
      <c r="K1005">
        <v>0</v>
      </c>
      <c r="L1005" t="s">
        <v>20</v>
      </c>
      <c r="M1005">
        <v>159</v>
      </c>
      <c r="N1005" t="s">
        <v>18</v>
      </c>
      <c r="P1005" t="e">
        <f t="shared" si="150"/>
        <v>#N/A</v>
      </c>
      <c r="Q1005" t="e">
        <f t="shared" si="151"/>
        <v>#N/A</v>
      </c>
      <c r="R1005" t="e">
        <f t="shared" si="152"/>
        <v>#N/A</v>
      </c>
      <c r="S1005" t="e">
        <f t="shared" si="153"/>
        <v>#N/A</v>
      </c>
      <c r="T1005" t="e">
        <f t="shared" si="154"/>
        <v>#N/A</v>
      </c>
      <c r="U1005" t="e">
        <f t="shared" si="155"/>
        <v>#N/A</v>
      </c>
      <c r="V1005">
        <f t="shared" si="156"/>
        <v>296000</v>
      </c>
      <c r="W1005">
        <f t="shared" si="157"/>
        <v>62</v>
      </c>
      <c r="X1005" t="e">
        <f t="shared" si="158"/>
        <v>#N/A</v>
      </c>
      <c r="Y1005" t="e">
        <f t="shared" si="159"/>
        <v>#N/A</v>
      </c>
    </row>
    <row r="1006" spans="1:25" x14ac:dyDescent="0.2">
      <c r="A1006">
        <v>2004</v>
      </c>
      <c r="B1006" t="s">
        <v>44</v>
      </c>
      <c r="C1006" t="s">
        <v>29</v>
      </c>
      <c r="D1006">
        <v>2024</v>
      </c>
      <c r="E1006" t="s">
        <v>24</v>
      </c>
      <c r="F1006">
        <v>461</v>
      </c>
      <c r="G1006">
        <v>4</v>
      </c>
      <c r="H1006">
        <v>4</v>
      </c>
      <c r="I1006">
        <v>2542000</v>
      </c>
      <c r="J1006">
        <v>5514.1</v>
      </c>
      <c r="K1006">
        <v>4</v>
      </c>
      <c r="L1006" t="s">
        <v>17</v>
      </c>
      <c r="M1006">
        <v>21</v>
      </c>
      <c r="N1006" t="s">
        <v>18</v>
      </c>
      <c r="P1006">
        <f t="shared" si="150"/>
        <v>2542000</v>
      </c>
      <c r="Q1006">
        <f t="shared" si="151"/>
        <v>461</v>
      </c>
      <c r="R1006" t="e">
        <f t="shared" si="152"/>
        <v>#N/A</v>
      </c>
      <c r="S1006" t="e">
        <f t="shared" si="153"/>
        <v>#N/A</v>
      </c>
      <c r="T1006" t="e">
        <f t="shared" si="154"/>
        <v>#N/A</v>
      </c>
      <c r="U1006" t="e">
        <f t="shared" si="155"/>
        <v>#N/A</v>
      </c>
      <c r="V1006" t="e">
        <f t="shared" si="156"/>
        <v>#N/A</v>
      </c>
      <c r="W1006" t="e">
        <f t="shared" si="157"/>
        <v>#N/A</v>
      </c>
      <c r="X1006" t="e">
        <f t="shared" si="158"/>
        <v>#N/A</v>
      </c>
      <c r="Y1006" t="e">
        <f t="shared" si="159"/>
        <v>#N/A</v>
      </c>
    </row>
    <row r="1007" spans="1:25" x14ac:dyDescent="0.2">
      <c r="A1007">
        <v>2005</v>
      </c>
      <c r="B1007" t="s">
        <v>47</v>
      </c>
      <c r="C1007" t="s">
        <v>23</v>
      </c>
      <c r="D1007">
        <v>2024</v>
      </c>
      <c r="E1007" t="s">
        <v>26</v>
      </c>
      <c r="F1007">
        <v>349</v>
      </c>
      <c r="G1007">
        <v>4</v>
      </c>
      <c r="H1007">
        <v>4</v>
      </c>
      <c r="I1007">
        <v>1353000</v>
      </c>
      <c r="J1007">
        <v>3876.8</v>
      </c>
      <c r="K1007">
        <v>1</v>
      </c>
      <c r="L1007" t="s">
        <v>20</v>
      </c>
      <c r="M1007">
        <v>154</v>
      </c>
      <c r="N1007" t="s">
        <v>21</v>
      </c>
      <c r="P1007" t="e">
        <f t="shared" si="150"/>
        <v>#N/A</v>
      </c>
      <c r="Q1007" t="e">
        <f t="shared" si="151"/>
        <v>#N/A</v>
      </c>
      <c r="R1007" t="e">
        <f t="shared" si="152"/>
        <v>#N/A</v>
      </c>
      <c r="S1007" t="e">
        <f t="shared" si="153"/>
        <v>#N/A</v>
      </c>
      <c r="T1007">
        <f t="shared" si="154"/>
        <v>1353000</v>
      </c>
      <c r="U1007">
        <f t="shared" si="155"/>
        <v>349</v>
      </c>
      <c r="V1007" t="e">
        <f t="shared" si="156"/>
        <v>#N/A</v>
      </c>
      <c r="W1007" t="e">
        <f t="shared" si="157"/>
        <v>#N/A</v>
      </c>
      <c r="X1007" t="e">
        <f t="shared" si="158"/>
        <v>#N/A</v>
      </c>
      <c r="Y1007" t="e">
        <f t="shared" si="159"/>
        <v>#N/A</v>
      </c>
    </row>
    <row r="1008" spans="1:25" x14ac:dyDescent="0.2">
      <c r="A1008">
        <v>2006</v>
      </c>
      <c r="B1008" t="s">
        <v>42</v>
      </c>
      <c r="C1008" t="s">
        <v>15</v>
      </c>
      <c r="D1008">
        <v>2023</v>
      </c>
      <c r="E1008" t="s">
        <v>24</v>
      </c>
      <c r="F1008">
        <v>193</v>
      </c>
      <c r="G1008">
        <v>3</v>
      </c>
      <c r="H1008">
        <v>3</v>
      </c>
      <c r="I1008">
        <v>916000</v>
      </c>
      <c r="J1008">
        <v>4746.1000000000004</v>
      </c>
      <c r="K1008">
        <v>3</v>
      </c>
      <c r="L1008" t="s">
        <v>20</v>
      </c>
      <c r="M1008">
        <v>10</v>
      </c>
      <c r="N1008" t="s">
        <v>21</v>
      </c>
      <c r="P1008" t="e">
        <f t="shared" si="150"/>
        <v>#N/A</v>
      </c>
      <c r="Q1008" t="e">
        <f t="shared" si="151"/>
        <v>#N/A</v>
      </c>
      <c r="R1008">
        <f t="shared" si="152"/>
        <v>916000</v>
      </c>
      <c r="S1008">
        <f t="shared" si="153"/>
        <v>193</v>
      </c>
      <c r="T1008" t="e">
        <f t="shared" si="154"/>
        <v>#N/A</v>
      </c>
      <c r="U1008" t="e">
        <f t="shared" si="155"/>
        <v>#N/A</v>
      </c>
      <c r="V1008" t="e">
        <f t="shared" si="156"/>
        <v>#N/A</v>
      </c>
      <c r="W1008" t="e">
        <f t="shared" si="157"/>
        <v>#N/A</v>
      </c>
      <c r="X1008" t="e">
        <f t="shared" si="158"/>
        <v>#N/A</v>
      </c>
      <c r="Y1008" t="e">
        <f t="shared" si="159"/>
        <v>#N/A</v>
      </c>
    </row>
    <row r="1009" spans="1:25" x14ac:dyDescent="0.2">
      <c r="A1009">
        <v>2007</v>
      </c>
      <c r="B1009" t="s">
        <v>43</v>
      </c>
      <c r="C1009" t="s">
        <v>23</v>
      </c>
      <c r="D1009">
        <v>2023</v>
      </c>
      <c r="E1009" t="s">
        <v>30</v>
      </c>
      <c r="F1009">
        <v>346</v>
      </c>
      <c r="G1009">
        <v>5</v>
      </c>
      <c r="H1009">
        <v>5</v>
      </c>
      <c r="I1009">
        <v>1843000</v>
      </c>
      <c r="J1009">
        <v>5326.6</v>
      </c>
      <c r="K1009">
        <v>5</v>
      </c>
      <c r="L1009" t="s">
        <v>20</v>
      </c>
      <c r="M1009">
        <v>38</v>
      </c>
      <c r="N1009" t="s">
        <v>27</v>
      </c>
      <c r="P1009" t="e">
        <f t="shared" si="150"/>
        <v>#N/A</v>
      </c>
      <c r="Q1009" t="e">
        <f t="shared" si="151"/>
        <v>#N/A</v>
      </c>
      <c r="R1009" t="e">
        <f t="shared" si="152"/>
        <v>#N/A</v>
      </c>
      <c r="S1009" t="e">
        <f t="shared" si="153"/>
        <v>#N/A</v>
      </c>
      <c r="T1009">
        <f t="shared" si="154"/>
        <v>1843000</v>
      </c>
      <c r="U1009">
        <f t="shared" si="155"/>
        <v>346</v>
      </c>
      <c r="V1009" t="e">
        <f t="shared" si="156"/>
        <v>#N/A</v>
      </c>
      <c r="W1009" t="e">
        <f t="shared" si="157"/>
        <v>#N/A</v>
      </c>
      <c r="X1009" t="e">
        <f t="shared" si="158"/>
        <v>#N/A</v>
      </c>
      <c r="Y1009" t="e">
        <f t="shared" si="159"/>
        <v>#N/A</v>
      </c>
    </row>
    <row r="1010" spans="1:25" x14ac:dyDescent="0.2">
      <c r="A1010">
        <v>2008</v>
      </c>
      <c r="B1010" t="s">
        <v>14</v>
      </c>
      <c r="C1010" t="s">
        <v>36</v>
      </c>
      <c r="D1010">
        <v>2023</v>
      </c>
      <c r="E1010" t="s">
        <v>16</v>
      </c>
      <c r="F1010">
        <v>355</v>
      </c>
      <c r="G1010">
        <v>3</v>
      </c>
      <c r="H1010">
        <v>3</v>
      </c>
      <c r="I1010">
        <v>997000</v>
      </c>
      <c r="J1010">
        <v>2808.5</v>
      </c>
      <c r="K1010">
        <v>10</v>
      </c>
      <c r="L1010" t="s">
        <v>17</v>
      </c>
      <c r="M1010">
        <v>64</v>
      </c>
      <c r="N1010" t="s">
        <v>18</v>
      </c>
      <c r="P1010" t="e">
        <f t="shared" si="150"/>
        <v>#N/A</v>
      </c>
      <c r="Q1010" t="e">
        <f t="shared" si="151"/>
        <v>#N/A</v>
      </c>
      <c r="R1010" t="e">
        <f t="shared" si="152"/>
        <v>#N/A</v>
      </c>
      <c r="S1010" t="e">
        <f t="shared" si="153"/>
        <v>#N/A</v>
      </c>
      <c r="T1010" t="e">
        <f t="shared" si="154"/>
        <v>#N/A</v>
      </c>
      <c r="U1010" t="e">
        <f t="shared" si="155"/>
        <v>#N/A</v>
      </c>
      <c r="V1010" t="e">
        <f t="shared" si="156"/>
        <v>#N/A</v>
      </c>
      <c r="W1010" t="e">
        <f t="shared" si="157"/>
        <v>#N/A</v>
      </c>
      <c r="X1010">
        <f t="shared" si="158"/>
        <v>997000</v>
      </c>
      <c r="Y1010">
        <f t="shared" si="159"/>
        <v>355</v>
      </c>
    </row>
    <row r="1011" spans="1:25" x14ac:dyDescent="0.2">
      <c r="A1011">
        <v>2009</v>
      </c>
      <c r="B1011" t="s">
        <v>31</v>
      </c>
      <c r="C1011" t="s">
        <v>15</v>
      </c>
      <c r="D1011">
        <v>2021</v>
      </c>
      <c r="E1011" t="s">
        <v>16</v>
      </c>
      <c r="F1011">
        <v>97</v>
      </c>
      <c r="G1011">
        <v>3</v>
      </c>
      <c r="H1011">
        <v>3</v>
      </c>
      <c r="I1011">
        <v>234000</v>
      </c>
      <c r="J1011">
        <v>2412.4</v>
      </c>
      <c r="K1011">
        <v>3</v>
      </c>
      <c r="L1011" t="s">
        <v>17</v>
      </c>
      <c r="M1011">
        <v>53</v>
      </c>
      <c r="N1011" t="s">
        <v>21</v>
      </c>
      <c r="P1011" t="e">
        <f t="shared" si="150"/>
        <v>#N/A</v>
      </c>
      <c r="Q1011" t="e">
        <f t="shared" si="151"/>
        <v>#N/A</v>
      </c>
      <c r="R1011">
        <f t="shared" si="152"/>
        <v>234000</v>
      </c>
      <c r="S1011">
        <f t="shared" si="153"/>
        <v>97</v>
      </c>
      <c r="T1011" t="e">
        <f t="shared" si="154"/>
        <v>#N/A</v>
      </c>
      <c r="U1011" t="e">
        <f t="shared" si="155"/>
        <v>#N/A</v>
      </c>
      <c r="V1011" t="e">
        <f t="shared" si="156"/>
        <v>#N/A</v>
      </c>
      <c r="W1011" t="e">
        <f t="shared" si="157"/>
        <v>#N/A</v>
      </c>
      <c r="X1011" t="e">
        <f t="shared" si="158"/>
        <v>#N/A</v>
      </c>
      <c r="Y1011" t="e">
        <f t="shared" si="159"/>
        <v>#N/A</v>
      </c>
    </row>
    <row r="1012" spans="1:25" x14ac:dyDescent="0.2">
      <c r="A1012">
        <v>2010</v>
      </c>
      <c r="B1012" t="s">
        <v>22</v>
      </c>
      <c r="C1012" t="s">
        <v>38</v>
      </c>
      <c r="D1012">
        <v>2023</v>
      </c>
      <c r="E1012" t="s">
        <v>26</v>
      </c>
      <c r="F1012">
        <v>77</v>
      </c>
      <c r="G1012">
        <v>0</v>
      </c>
      <c r="H1012">
        <v>1</v>
      </c>
      <c r="I1012">
        <v>406000</v>
      </c>
      <c r="J1012">
        <v>5272.7</v>
      </c>
      <c r="K1012">
        <v>15</v>
      </c>
      <c r="L1012" t="s">
        <v>34</v>
      </c>
      <c r="M1012">
        <v>95</v>
      </c>
      <c r="N1012" t="s">
        <v>18</v>
      </c>
      <c r="P1012" t="e">
        <f t="shared" si="150"/>
        <v>#N/A</v>
      </c>
      <c r="Q1012" t="e">
        <f t="shared" si="151"/>
        <v>#N/A</v>
      </c>
      <c r="R1012" t="e">
        <f t="shared" si="152"/>
        <v>#N/A</v>
      </c>
      <c r="S1012" t="e">
        <f t="shared" si="153"/>
        <v>#N/A</v>
      </c>
      <c r="T1012" t="e">
        <f t="shared" si="154"/>
        <v>#N/A</v>
      </c>
      <c r="U1012" t="e">
        <f t="shared" si="155"/>
        <v>#N/A</v>
      </c>
      <c r="V1012">
        <f t="shared" si="156"/>
        <v>406000</v>
      </c>
      <c r="W1012">
        <f t="shared" si="157"/>
        <v>77</v>
      </c>
      <c r="X1012" t="e">
        <f t="shared" si="158"/>
        <v>#N/A</v>
      </c>
      <c r="Y1012" t="e">
        <f t="shared" si="159"/>
        <v>#N/A</v>
      </c>
    </row>
    <row r="1013" spans="1:25" x14ac:dyDescent="0.2">
      <c r="A1013">
        <v>2011</v>
      </c>
      <c r="B1013" t="s">
        <v>37</v>
      </c>
      <c r="C1013" t="s">
        <v>15</v>
      </c>
      <c r="D1013">
        <v>2024</v>
      </c>
      <c r="E1013" t="s">
        <v>30</v>
      </c>
      <c r="F1013">
        <v>140</v>
      </c>
      <c r="G1013">
        <v>3</v>
      </c>
      <c r="H1013">
        <v>3</v>
      </c>
      <c r="I1013">
        <v>654000</v>
      </c>
      <c r="J1013">
        <v>4671.3999999999996</v>
      </c>
      <c r="K1013">
        <v>1</v>
      </c>
      <c r="L1013" t="s">
        <v>34</v>
      </c>
      <c r="M1013">
        <v>45</v>
      </c>
      <c r="N1013" t="s">
        <v>27</v>
      </c>
      <c r="P1013" t="e">
        <f t="shared" si="150"/>
        <v>#N/A</v>
      </c>
      <c r="Q1013" t="e">
        <f t="shared" si="151"/>
        <v>#N/A</v>
      </c>
      <c r="R1013">
        <f t="shared" si="152"/>
        <v>654000</v>
      </c>
      <c r="S1013">
        <f t="shared" si="153"/>
        <v>140</v>
      </c>
      <c r="T1013" t="e">
        <f t="shared" si="154"/>
        <v>#N/A</v>
      </c>
      <c r="U1013" t="e">
        <f t="shared" si="155"/>
        <v>#N/A</v>
      </c>
      <c r="V1013" t="e">
        <f t="shared" si="156"/>
        <v>#N/A</v>
      </c>
      <c r="W1013" t="e">
        <f t="shared" si="157"/>
        <v>#N/A</v>
      </c>
      <c r="X1013" t="e">
        <f t="shared" si="158"/>
        <v>#N/A</v>
      </c>
      <c r="Y1013" t="e">
        <f t="shared" si="159"/>
        <v>#N/A</v>
      </c>
    </row>
    <row r="1014" spans="1:25" x14ac:dyDescent="0.2">
      <c r="A1014">
        <v>2012</v>
      </c>
      <c r="B1014" t="s">
        <v>35</v>
      </c>
      <c r="C1014" t="s">
        <v>23</v>
      </c>
      <c r="D1014">
        <v>2024</v>
      </c>
      <c r="E1014" t="s">
        <v>26</v>
      </c>
      <c r="F1014">
        <v>282</v>
      </c>
      <c r="G1014">
        <v>4</v>
      </c>
      <c r="H1014">
        <v>4</v>
      </c>
      <c r="I1014">
        <v>1309000</v>
      </c>
      <c r="J1014">
        <v>4641.8</v>
      </c>
      <c r="K1014">
        <v>0</v>
      </c>
      <c r="L1014" t="s">
        <v>17</v>
      </c>
      <c r="M1014">
        <v>138</v>
      </c>
      <c r="N1014" t="s">
        <v>18</v>
      </c>
      <c r="P1014" t="e">
        <f t="shared" si="150"/>
        <v>#N/A</v>
      </c>
      <c r="Q1014" t="e">
        <f t="shared" si="151"/>
        <v>#N/A</v>
      </c>
      <c r="R1014" t="e">
        <f t="shared" si="152"/>
        <v>#N/A</v>
      </c>
      <c r="S1014" t="e">
        <f t="shared" si="153"/>
        <v>#N/A</v>
      </c>
      <c r="T1014">
        <f t="shared" si="154"/>
        <v>1309000</v>
      </c>
      <c r="U1014">
        <f t="shared" si="155"/>
        <v>282</v>
      </c>
      <c r="V1014" t="e">
        <f t="shared" si="156"/>
        <v>#N/A</v>
      </c>
      <c r="W1014" t="e">
        <f t="shared" si="157"/>
        <v>#N/A</v>
      </c>
      <c r="X1014" t="e">
        <f t="shared" si="158"/>
        <v>#N/A</v>
      </c>
      <c r="Y1014" t="e">
        <f t="shared" si="159"/>
        <v>#N/A</v>
      </c>
    </row>
    <row r="1015" spans="1:25" x14ac:dyDescent="0.2">
      <c r="A1015">
        <v>2013</v>
      </c>
      <c r="B1015" t="s">
        <v>42</v>
      </c>
      <c r="C1015" t="s">
        <v>15</v>
      </c>
      <c r="D1015">
        <v>2022</v>
      </c>
      <c r="E1015" t="s">
        <v>30</v>
      </c>
      <c r="F1015">
        <v>196</v>
      </c>
      <c r="G1015">
        <v>4</v>
      </c>
      <c r="H1015">
        <v>4</v>
      </c>
      <c r="I1015">
        <v>788000</v>
      </c>
      <c r="J1015">
        <v>4020.4</v>
      </c>
      <c r="K1015">
        <v>3</v>
      </c>
      <c r="L1015" t="s">
        <v>17</v>
      </c>
      <c r="M1015">
        <v>55</v>
      </c>
      <c r="N1015" t="s">
        <v>21</v>
      </c>
      <c r="P1015" t="e">
        <f t="shared" si="150"/>
        <v>#N/A</v>
      </c>
      <c r="Q1015" t="e">
        <f t="shared" si="151"/>
        <v>#N/A</v>
      </c>
      <c r="R1015">
        <f t="shared" si="152"/>
        <v>788000</v>
      </c>
      <c r="S1015">
        <f t="shared" si="153"/>
        <v>196</v>
      </c>
      <c r="T1015" t="e">
        <f t="shared" si="154"/>
        <v>#N/A</v>
      </c>
      <c r="U1015" t="e">
        <f t="shared" si="155"/>
        <v>#N/A</v>
      </c>
      <c r="V1015" t="e">
        <f t="shared" si="156"/>
        <v>#N/A</v>
      </c>
      <c r="W1015" t="e">
        <f t="shared" si="157"/>
        <v>#N/A</v>
      </c>
      <c r="X1015" t="e">
        <f t="shared" si="158"/>
        <v>#N/A</v>
      </c>
      <c r="Y1015" t="e">
        <f t="shared" si="159"/>
        <v>#N/A</v>
      </c>
    </row>
    <row r="1016" spans="1:25" x14ac:dyDescent="0.2">
      <c r="A1016">
        <v>2014</v>
      </c>
      <c r="B1016" t="s">
        <v>48</v>
      </c>
      <c r="C1016" t="s">
        <v>15</v>
      </c>
      <c r="D1016">
        <v>2023</v>
      </c>
      <c r="E1016" t="s">
        <v>26</v>
      </c>
      <c r="F1016">
        <v>123</v>
      </c>
      <c r="G1016">
        <v>4</v>
      </c>
      <c r="H1016">
        <v>4</v>
      </c>
      <c r="I1016">
        <v>382000</v>
      </c>
      <c r="J1016">
        <v>3105.7</v>
      </c>
      <c r="K1016">
        <v>1</v>
      </c>
      <c r="L1016" t="s">
        <v>17</v>
      </c>
      <c r="M1016">
        <v>51</v>
      </c>
      <c r="N1016" t="s">
        <v>27</v>
      </c>
      <c r="P1016" t="e">
        <f t="shared" si="150"/>
        <v>#N/A</v>
      </c>
      <c r="Q1016" t="e">
        <f t="shared" si="151"/>
        <v>#N/A</v>
      </c>
      <c r="R1016">
        <f t="shared" si="152"/>
        <v>382000</v>
      </c>
      <c r="S1016">
        <f t="shared" si="153"/>
        <v>123</v>
      </c>
      <c r="T1016" t="e">
        <f t="shared" si="154"/>
        <v>#N/A</v>
      </c>
      <c r="U1016" t="e">
        <f t="shared" si="155"/>
        <v>#N/A</v>
      </c>
      <c r="V1016" t="e">
        <f t="shared" si="156"/>
        <v>#N/A</v>
      </c>
      <c r="W1016" t="e">
        <f t="shared" si="157"/>
        <v>#N/A</v>
      </c>
      <c r="X1016" t="e">
        <f t="shared" si="158"/>
        <v>#N/A</v>
      </c>
      <c r="Y1016" t="e">
        <f t="shared" si="159"/>
        <v>#N/A</v>
      </c>
    </row>
    <row r="1017" spans="1:25" x14ac:dyDescent="0.2">
      <c r="A1017">
        <v>2015</v>
      </c>
      <c r="B1017" t="s">
        <v>44</v>
      </c>
      <c r="C1017" t="s">
        <v>38</v>
      </c>
      <c r="D1017">
        <v>2022</v>
      </c>
      <c r="E1017" t="s">
        <v>26</v>
      </c>
      <c r="F1017">
        <v>42</v>
      </c>
      <c r="G1017">
        <v>0</v>
      </c>
      <c r="H1017">
        <v>1</v>
      </c>
      <c r="I1017">
        <v>153000</v>
      </c>
      <c r="J1017">
        <v>3642.9</v>
      </c>
      <c r="K1017">
        <v>10</v>
      </c>
      <c r="L1017" t="s">
        <v>17</v>
      </c>
      <c r="M1017">
        <v>82</v>
      </c>
      <c r="N1017" t="s">
        <v>18</v>
      </c>
      <c r="P1017" t="e">
        <f t="shared" si="150"/>
        <v>#N/A</v>
      </c>
      <c r="Q1017" t="e">
        <f t="shared" si="151"/>
        <v>#N/A</v>
      </c>
      <c r="R1017" t="e">
        <f t="shared" si="152"/>
        <v>#N/A</v>
      </c>
      <c r="S1017" t="e">
        <f t="shared" si="153"/>
        <v>#N/A</v>
      </c>
      <c r="T1017" t="e">
        <f t="shared" si="154"/>
        <v>#N/A</v>
      </c>
      <c r="U1017" t="e">
        <f t="shared" si="155"/>
        <v>#N/A</v>
      </c>
      <c r="V1017">
        <f t="shared" si="156"/>
        <v>153000</v>
      </c>
      <c r="W1017">
        <f t="shared" si="157"/>
        <v>42</v>
      </c>
      <c r="X1017" t="e">
        <f t="shared" si="158"/>
        <v>#N/A</v>
      </c>
      <c r="Y1017" t="e">
        <f t="shared" si="159"/>
        <v>#N/A</v>
      </c>
    </row>
    <row r="1018" spans="1:25" x14ac:dyDescent="0.2">
      <c r="A1018">
        <v>2016</v>
      </c>
      <c r="B1018" t="s">
        <v>33</v>
      </c>
      <c r="C1018" t="s">
        <v>36</v>
      </c>
      <c r="D1018">
        <v>2024</v>
      </c>
      <c r="E1018" t="s">
        <v>16</v>
      </c>
      <c r="F1018">
        <v>324</v>
      </c>
      <c r="G1018">
        <v>5</v>
      </c>
      <c r="H1018">
        <v>5</v>
      </c>
      <c r="I1018">
        <v>770000</v>
      </c>
      <c r="J1018">
        <v>2376.5</v>
      </c>
      <c r="K1018">
        <v>0</v>
      </c>
      <c r="L1018" t="s">
        <v>17</v>
      </c>
      <c r="M1018">
        <v>26</v>
      </c>
      <c r="N1018" t="s">
        <v>27</v>
      </c>
      <c r="P1018" t="e">
        <f t="shared" si="150"/>
        <v>#N/A</v>
      </c>
      <c r="Q1018" t="e">
        <f t="shared" si="151"/>
        <v>#N/A</v>
      </c>
      <c r="R1018" t="e">
        <f t="shared" si="152"/>
        <v>#N/A</v>
      </c>
      <c r="S1018" t="e">
        <f t="shared" si="153"/>
        <v>#N/A</v>
      </c>
      <c r="T1018" t="e">
        <f t="shared" si="154"/>
        <v>#N/A</v>
      </c>
      <c r="U1018" t="e">
        <f t="shared" si="155"/>
        <v>#N/A</v>
      </c>
      <c r="V1018" t="e">
        <f t="shared" si="156"/>
        <v>#N/A</v>
      </c>
      <c r="W1018" t="e">
        <f t="shared" si="157"/>
        <v>#N/A</v>
      </c>
      <c r="X1018">
        <f t="shared" si="158"/>
        <v>770000</v>
      </c>
      <c r="Y1018">
        <f t="shared" si="159"/>
        <v>324</v>
      </c>
    </row>
    <row r="1019" spans="1:25" x14ac:dyDescent="0.2">
      <c r="A1019">
        <v>2017</v>
      </c>
      <c r="B1019" t="s">
        <v>39</v>
      </c>
      <c r="C1019" t="s">
        <v>15</v>
      </c>
      <c r="D1019">
        <v>2022</v>
      </c>
      <c r="E1019" t="s">
        <v>16</v>
      </c>
      <c r="F1019">
        <v>124</v>
      </c>
      <c r="G1019">
        <v>4</v>
      </c>
      <c r="H1019">
        <v>4</v>
      </c>
      <c r="I1019">
        <v>445000</v>
      </c>
      <c r="J1019">
        <v>3588.7</v>
      </c>
      <c r="K1019">
        <v>3</v>
      </c>
      <c r="L1019" t="s">
        <v>34</v>
      </c>
      <c r="M1019">
        <v>95</v>
      </c>
      <c r="N1019" t="s">
        <v>21</v>
      </c>
      <c r="P1019" t="e">
        <f t="shared" si="150"/>
        <v>#N/A</v>
      </c>
      <c r="Q1019" t="e">
        <f t="shared" si="151"/>
        <v>#N/A</v>
      </c>
      <c r="R1019">
        <f t="shared" si="152"/>
        <v>445000</v>
      </c>
      <c r="S1019">
        <f t="shared" si="153"/>
        <v>124</v>
      </c>
      <c r="T1019" t="e">
        <f t="shared" si="154"/>
        <v>#N/A</v>
      </c>
      <c r="U1019" t="e">
        <f t="shared" si="155"/>
        <v>#N/A</v>
      </c>
      <c r="V1019" t="e">
        <f t="shared" si="156"/>
        <v>#N/A</v>
      </c>
      <c r="W1019" t="e">
        <f t="shared" si="157"/>
        <v>#N/A</v>
      </c>
      <c r="X1019" t="e">
        <f t="shared" si="158"/>
        <v>#N/A</v>
      </c>
      <c r="Y1019" t="e">
        <f t="shared" si="159"/>
        <v>#N/A</v>
      </c>
    </row>
    <row r="1020" spans="1:25" x14ac:dyDescent="0.2">
      <c r="A1020">
        <v>2018</v>
      </c>
      <c r="B1020" t="s">
        <v>33</v>
      </c>
      <c r="C1020" t="s">
        <v>23</v>
      </c>
      <c r="D1020">
        <v>2021</v>
      </c>
      <c r="E1020" t="s">
        <v>26</v>
      </c>
      <c r="F1020">
        <v>210</v>
      </c>
      <c r="G1020">
        <v>5</v>
      </c>
      <c r="H1020">
        <v>5</v>
      </c>
      <c r="I1020">
        <v>580000</v>
      </c>
      <c r="J1020">
        <v>2761.9</v>
      </c>
      <c r="K1020">
        <v>2</v>
      </c>
      <c r="L1020" t="s">
        <v>20</v>
      </c>
      <c r="M1020">
        <v>58</v>
      </c>
      <c r="N1020" t="s">
        <v>27</v>
      </c>
      <c r="P1020" t="e">
        <f t="shared" si="150"/>
        <v>#N/A</v>
      </c>
      <c r="Q1020" t="e">
        <f t="shared" si="151"/>
        <v>#N/A</v>
      </c>
      <c r="R1020" t="e">
        <f t="shared" si="152"/>
        <v>#N/A</v>
      </c>
      <c r="S1020" t="e">
        <f t="shared" si="153"/>
        <v>#N/A</v>
      </c>
      <c r="T1020">
        <f t="shared" si="154"/>
        <v>580000</v>
      </c>
      <c r="U1020">
        <f t="shared" si="155"/>
        <v>210</v>
      </c>
      <c r="V1020" t="e">
        <f t="shared" si="156"/>
        <v>#N/A</v>
      </c>
      <c r="W1020" t="e">
        <f t="shared" si="157"/>
        <v>#N/A</v>
      </c>
      <c r="X1020" t="e">
        <f t="shared" si="158"/>
        <v>#N/A</v>
      </c>
      <c r="Y1020" t="e">
        <f t="shared" si="159"/>
        <v>#N/A</v>
      </c>
    </row>
    <row r="1021" spans="1:25" x14ac:dyDescent="0.2">
      <c r="A1021">
        <v>2019</v>
      </c>
      <c r="B1021" t="s">
        <v>33</v>
      </c>
      <c r="C1021" t="s">
        <v>29</v>
      </c>
      <c r="D1021">
        <v>2021</v>
      </c>
      <c r="E1021" t="s">
        <v>24</v>
      </c>
      <c r="F1021">
        <v>413</v>
      </c>
      <c r="G1021">
        <v>6</v>
      </c>
      <c r="H1021">
        <v>6</v>
      </c>
      <c r="I1021">
        <v>1404000</v>
      </c>
      <c r="J1021">
        <v>3399.5</v>
      </c>
      <c r="K1021">
        <v>20</v>
      </c>
      <c r="L1021" t="s">
        <v>20</v>
      </c>
      <c r="M1021">
        <v>84</v>
      </c>
      <c r="N1021" t="s">
        <v>27</v>
      </c>
      <c r="P1021">
        <f t="shared" si="150"/>
        <v>1404000</v>
      </c>
      <c r="Q1021">
        <f t="shared" si="151"/>
        <v>413</v>
      </c>
      <c r="R1021" t="e">
        <f t="shared" si="152"/>
        <v>#N/A</v>
      </c>
      <c r="S1021" t="e">
        <f t="shared" si="153"/>
        <v>#N/A</v>
      </c>
      <c r="T1021" t="e">
        <f t="shared" si="154"/>
        <v>#N/A</v>
      </c>
      <c r="U1021" t="e">
        <f t="shared" si="155"/>
        <v>#N/A</v>
      </c>
      <c r="V1021" t="e">
        <f t="shared" si="156"/>
        <v>#N/A</v>
      </c>
      <c r="W1021" t="e">
        <f t="shared" si="157"/>
        <v>#N/A</v>
      </c>
      <c r="X1021" t="e">
        <f t="shared" si="158"/>
        <v>#N/A</v>
      </c>
      <c r="Y1021" t="e">
        <f t="shared" si="159"/>
        <v>#N/A</v>
      </c>
    </row>
    <row r="1022" spans="1:25" x14ac:dyDescent="0.2">
      <c r="A1022">
        <v>2020</v>
      </c>
      <c r="B1022" t="s">
        <v>43</v>
      </c>
      <c r="C1022" t="s">
        <v>29</v>
      </c>
      <c r="D1022">
        <v>2021</v>
      </c>
      <c r="E1022" t="s">
        <v>30</v>
      </c>
      <c r="F1022">
        <v>427</v>
      </c>
      <c r="G1022">
        <v>6</v>
      </c>
      <c r="H1022">
        <v>6</v>
      </c>
      <c r="I1022">
        <v>2252000</v>
      </c>
      <c r="J1022">
        <v>5274</v>
      </c>
      <c r="K1022">
        <v>10</v>
      </c>
      <c r="L1022" t="s">
        <v>20</v>
      </c>
      <c r="M1022">
        <v>135</v>
      </c>
      <c r="N1022" t="s">
        <v>27</v>
      </c>
      <c r="P1022">
        <f t="shared" si="150"/>
        <v>2252000</v>
      </c>
      <c r="Q1022">
        <f t="shared" si="151"/>
        <v>427</v>
      </c>
      <c r="R1022" t="e">
        <f t="shared" si="152"/>
        <v>#N/A</v>
      </c>
      <c r="S1022" t="e">
        <f t="shared" si="153"/>
        <v>#N/A</v>
      </c>
      <c r="T1022" t="e">
        <f t="shared" si="154"/>
        <v>#N/A</v>
      </c>
      <c r="U1022" t="e">
        <f t="shared" si="155"/>
        <v>#N/A</v>
      </c>
      <c r="V1022" t="e">
        <f t="shared" si="156"/>
        <v>#N/A</v>
      </c>
      <c r="W1022" t="e">
        <f t="shared" si="157"/>
        <v>#N/A</v>
      </c>
      <c r="X1022" t="e">
        <f t="shared" si="158"/>
        <v>#N/A</v>
      </c>
      <c r="Y1022" t="e">
        <f t="shared" si="159"/>
        <v>#N/A</v>
      </c>
    </row>
    <row r="1023" spans="1:25" x14ac:dyDescent="0.2">
      <c r="A1023">
        <v>2021</v>
      </c>
      <c r="B1023" t="s">
        <v>22</v>
      </c>
      <c r="C1023" t="s">
        <v>15</v>
      </c>
      <c r="D1023">
        <v>2021</v>
      </c>
      <c r="E1023" t="s">
        <v>30</v>
      </c>
      <c r="F1023">
        <v>101</v>
      </c>
      <c r="G1023">
        <v>4</v>
      </c>
      <c r="H1023">
        <v>4</v>
      </c>
      <c r="I1023">
        <v>296000</v>
      </c>
      <c r="J1023">
        <v>2930.7</v>
      </c>
      <c r="K1023">
        <v>10</v>
      </c>
      <c r="L1023" t="s">
        <v>17</v>
      </c>
      <c r="M1023">
        <v>135</v>
      </c>
      <c r="N1023" t="s">
        <v>18</v>
      </c>
      <c r="P1023" t="e">
        <f t="shared" si="150"/>
        <v>#N/A</v>
      </c>
      <c r="Q1023" t="e">
        <f t="shared" si="151"/>
        <v>#N/A</v>
      </c>
      <c r="R1023">
        <f t="shared" si="152"/>
        <v>296000</v>
      </c>
      <c r="S1023">
        <f t="shared" si="153"/>
        <v>101</v>
      </c>
      <c r="T1023" t="e">
        <f t="shared" si="154"/>
        <v>#N/A</v>
      </c>
      <c r="U1023" t="e">
        <f t="shared" si="155"/>
        <v>#N/A</v>
      </c>
      <c r="V1023" t="e">
        <f t="shared" si="156"/>
        <v>#N/A</v>
      </c>
      <c r="W1023" t="e">
        <f t="shared" si="157"/>
        <v>#N/A</v>
      </c>
      <c r="X1023" t="e">
        <f t="shared" si="158"/>
        <v>#N/A</v>
      </c>
      <c r="Y1023" t="e">
        <f t="shared" si="159"/>
        <v>#N/A</v>
      </c>
    </row>
    <row r="1024" spans="1:25" x14ac:dyDescent="0.2">
      <c r="A1024">
        <v>2022</v>
      </c>
      <c r="B1024" t="s">
        <v>31</v>
      </c>
      <c r="C1024" t="s">
        <v>29</v>
      </c>
      <c r="D1024">
        <v>2021</v>
      </c>
      <c r="E1024" t="s">
        <v>24</v>
      </c>
      <c r="F1024">
        <v>395</v>
      </c>
      <c r="G1024">
        <v>5</v>
      </c>
      <c r="H1024">
        <v>5</v>
      </c>
      <c r="I1024">
        <v>1550000</v>
      </c>
      <c r="J1024">
        <v>3924.1</v>
      </c>
      <c r="K1024">
        <v>20</v>
      </c>
      <c r="L1024" t="s">
        <v>17</v>
      </c>
      <c r="M1024">
        <v>95</v>
      </c>
      <c r="N1024" t="s">
        <v>21</v>
      </c>
      <c r="P1024">
        <f t="shared" si="150"/>
        <v>1550000</v>
      </c>
      <c r="Q1024">
        <f t="shared" si="151"/>
        <v>395</v>
      </c>
      <c r="R1024" t="e">
        <f t="shared" si="152"/>
        <v>#N/A</v>
      </c>
      <c r="S1024" t="e">
        <f t="shared" si="153"/>
        <v>#N/A</v>
      </c>
      <c r="T1024" t="e">
        <f t="shared" si="154"/>
        <v>#N/A</v>
      </c>
      <c r="U1024" t="e">
        <f t="shared" si="155"/>
        <v>#N/A</v>
      </c>
      <c r="V1024" t="e">
        <f t="shared" si="156"/>
        <v>#N/A</v>
      </c>
      <c r="W1024" t="e">
        <f t="shared" si="157"/>
        <v>#N/A</v>
      </c>
      <c r="X1024" t="e">
        <f t="shared" si="158"/>
        <v>#N/A</v>
      </c>
      <c r="Y1024" t="e">
        <f t="shared" si="159"/>
        <v>#N/A</v>
      </c>
    </row>
    <row r="1025" spans="1:25" x14ac:dyDescent="0.2">
      <c r="A1025">
        <v>2023</v>
      </c>
      <c r="B1025" t="s">
        <v>25</v>
      </c>
      <c r="C1025" t="s">
        <v>38</v>
      </c>
      <c r="D1025">
        <v>2022</v>
      </c>
      <c r="E1025" t="s">
        <v>16</v>
      </c>
      <c r="F1025">
        <v>47</v>
      </c>
      <c r="G1025">
        <v>0</v>
      </c>
      <c r="H1025">
        <v>1</v>
      </c>
      <c r="I1025">
        <v>153000</v>
      </c>
      <c r="J1025">
        <v>3255.3</v>
      </c>
      <c r="K1025">
        <v>5</v>
      </c>
      <c r="L1025" t="s">
        <v>17</v>
      </c>
      <c r="M1025">
        <v>38</v>
      </c>
      <c r="N1025" t="s">
        <v>27</v>
      </c>
      <c r="P1025" t="e">
        <f t="shared" si="150"/>
        <v>#N/A</v>
      </c>
      <c r="Q1025" t="e">
        <f t="shared" si="151"/>
        <v>#N/A</v>
      </c>
      <c r="R1025" t="e">
        <f t="shared" si="152"/>
        <v>#N/A</v>
      </c>
      <c r="S1025" t="e">
        <f t="shared" si="153"/>
        <v>#N/A</v>
      </c>
      <c r="T1025" t="e">
        <f t="shared" si="154"/>
        <v>#N/A</v>
      </c>
      <c r="U1025" t="e">
        <f t="shared" si="155"/>
        <v>#N/A</v>
      </c>
      <c r="V1025">
        <f t="shared" si="156"/>
        <v>153000</v>
      </c>
      <c r="W1025">
        <f t="shared" si="157"/>
        <v>47</v>
      </c>
      <c r="X1025" t="e">
        <f t="shared" si="158"/>
        <v>#N/A</v>
      </c>
      <c r="Y1025" t="e">
        <f t="shared" si="159"/>
        <v>#N/A</v>
      </c>
    </row>
    <row r="1026" spans="1:25" x14ac:dyDescent="0.2">
      <c r="A1026">
        <v>2024</v>
      </c>
      <c r="B1026" t="s">
        <v>32</v>
      </c>
      <c r="C1026" t="s">
        <v>36</v>
      </c>
      <c r="D1026">
        <v>2022</v>
      </c>
      <c r="E1026" t="s">
        <v>16</v>
      </c>
      <c r="F1026">
        <v>237</v>
      </c>
      <c r="G1026">
        <v>4</v>
      </c>
      <c r="H1026">
        <v>4</v>
      </c>
      <c r="I1026">
        <v>531000</v>
      </c>
      <c r="J1026">
        <v>2240.5</v>
      </c>
      <c r="K1026">
        <v>1</v>
      </c>
      <c r="L1026" t="s">
        <v>17</v>
      </c>
      <c r="M1026">
        <v>179</v>
      </c>
      <c r="N1026" t="s">
        <v>18</v>
      </c>
      <c r="P1026" t="e">
        <f t="shared" si="150"/>
        <v>#N/A</v>
      </c>
      <c r="Q1026" t="e">
        <f t="shared" si="151"/>
        <v>#N/A</v>
      </c>
      <c r="R1026" t="e">
        <f t="shared" si="152"/>
        <v>#N/A</v>
      </c>
      <c r="S1026" t="e">
        <f t="shared" si="153"/>
        <v>#N/A</v>
      </c>
      <c r="T1026" t="e">
        <f t="shared" si="154"/>
        <v>#N/A</v>
      </c>
      <c r="U1026" t="e">
        <f t="shared" si="155"/>
        <v>#N/A</v>
      </c>
      <c r="V1026" t="e">
        <f t="shared" si="156"/>
        <v>#N/A</v>
      </c>
      <c r="W1026" t="e">
        <f t="shared" si="157"/>
        <v>#N/A</v>
      </c>
      <c r="X1026">
        <f t="shared" si="158"/>
        <v>531000</v>
      </c>
      <c r="Y1026">
        <f t="shared" si="159"/>
        <v>237</v>
      </c>
    </row>
    <row r="1027" spans="1:25" x14ac:dyDescent="0.2">
      <c r="A1027">
        <v>2025</v>
      </c>
      <c r="B1027" t="s">
        <v>41</v>
      </c>
      <c r="C1027" t="s">
        <v>15</v>
      </c>
      <c r="D1027">
        <v>2022</v>
      </c>
      <c r="E1027" t="s">
        <v>16</v>
      </c>
      <c r="F1027">
        <v>148</v>
      </c>
      <c r="G1027">
        <v>2</v>
      </c>
      <c r="H1027">
        <v>2</v>
      </c>
      <c r="I1027">
        <v>660000</v>
      </c>
      <c r="J1027">
        <v>4459.5</v>
      </c>
      <c r="K1027">
        <v>0</v>
      </c>
      <c r="L1027" t="s">
        <v>17</v>
      </c>
      <c r="M1027">
        <v>29</v>
      </c>
      <c r="N1027" t="s">
        <v>21</v>
      </c>
      <c r="P1027" t="e">
        <f t="shared" ref="P1027:P1090" si="160">IF(C1027="Villa", I1027, NA())</f>
        <v>#N/A</v>
      </c>
      <c r="Q1027" t="e">
        <f t="shared" ref="Q1027:Q1090" si="161">IF(C1027="Villa", F1027, NA())</f>
        <v>#N/A</v>
      </c>
      <c r="R1027">
        <f t="shared" ref="R1027:R1090" si="162">IF(C1027="Apartment",I1027,NA())</f>
        <v>660000</v>
      </c>
      <c r="S1027">
        <f t="shared" ref="S1027:S1090" si="163">IF(C1027="Apartment",F1027,NA())</f>
        <v>148</v>
      </c>
      <c r="T1027" t="e">
        <f t="shared" ref="T1027:T1090" si="164">IF(C1027="Duplex",I1027,NA())</f>
        <v>#N/A</v>
      </c>
      <c r="U1027" t="e">
        <f t="shared" ref="U1027:U1090" si="165">IF(C1027="Duplex",F1027,NA())</f>
        <v>#N/A</v>
      </c>
      <c r="V1027" t="e">
        <f t="shared" ref="V1027:V1090" si="166">IF(C1027="Studio",I1027,NA())</f>
        <v>#N/A</v>
      </c>
      <c r="W1027" t="e">
        <f t="shared" ref="W1027:W1090" si="167">IF(C1027="Studio",F1027,NA())</f>
        <v>#N/A</v>
      </c>
      <c r="X1027" t="e">
        <f t="shared" ref="X1027:X1090" si="168">IF(C1027="Floor",I1027,NA())</f>
        <v>#N/A</v>
      </c>
      <c r="Y1027" t="e">
        <f t="shared" ref="Y1027:Y1090" si="169">IF(C1027="Floor",F1027,NA())</f>
        <v>#N/A</v>
      </c>
    </row>
    <row r="1028" spans="1:25" x14ac:dyDescent="0.2">
      <c r="A1028">
        <v>2026</v>
      </c>
      <c r="B1028" t="s">
        <v>28</v>
      </c>
      <c r="C1028" t="s">
        <v>29</v>
      </c>
      <c r="D1028">
        <v>2022</v>
      </c>
      <c r="E1028" t="s">
        <v>24</v>
      </c>
      <c r="F1028">
        <v>437</v>
      </c>
      <c r="G1028">
        <v>5</v>
      </c>
      <c r="H1028">
        <v>5</v>
      </c>
      <c r="I1028">
        <v>1755000</v>
      </c>
      <c r="J1028">
        <v>4016</v>
      </c>
      <c r="K1028">
        <v>15</v>
      </c>
      <c r="L1028" t="s">
        <v>34</v>
      </c>
      <c r="M1028">
        <v>106</v>
      </c>
      <c r="N1028" t="s">
        <v>27</v>
      </c>
      <c r="P1028">
        <f t="shared" si="160"/>
        <v>1755000</v>
      </c>
      <c r="Q1028">
        <f t="shared" si="161"/>
        <v>437</v>
      </c>
      <c r="R1028" t="e">
        <f t="shared" si="162"/>
        <v>#N/A</v>
      </c>
      <c r="S1028" t="e">
        <f t="shared" si="163"/>
        <v>#N/A</v>
      </c>
      <c r="T1028" t="e">
        <f t="shared" si="164"/>
        <v>#N/A</v>
      </c>
      <c r="U1028" t="e">
        <f t="shared" si="165"/>
        <v>#N/A</v>
      </c>
      <c r="V1028" t="e">
        <f t="shared" si="166"/>
        <v>#N/A</v>
      </c>
      <c r="W1028" t="e">
        <f t="shared" si="167"/>
        <v>#N/A</v>
      </c>
      <c r="X1028" t="e">
        <f t="shared" si="168"/>
        <v>#N/A</v>
      </c>
      <c r="Y1028" t="e">
        <f t="shared" si="169"/>
        <v>#N/A</v>
      </c>
    </row>
    <row r="1029" spans="1:25" x14ac:dyDescent="0.2">
      <c r="A1029">
        <v>2027</v>
      </c>
      <c r="B1029" t="s">
        <v>44</v>
      </c>
      <c r="C1029" t="s">
        <v>15</v>
      </c>
      <c r="D1029">
        <v>2024</v>
      </c>
      <c r="E1029" t="s">
        <v>24</v>
      </c>
      <c r="F1029">
        <v>122</v>
      </c>
      <c r="G1029">
        <v>3</v>
      </c>
      <c r="H1029">
        <v>3</v>
      </c>
      <c r="I1029">
        <v>406000</v>
      </c>
      <c r="J1029">
        <v>3327.9</v>
      </c>
      <c r="K1029">
        <v>10</v>
      </c>
      <c r="L1029" t="s">
        <v>20</v>
      </c>
      <c r="M1029">
        <v>48</v>
      </c>
      <c r="N1029" t="s">
        <v>18</v>
      </c>
      <c r="P1029" t="e">
        <f t="shared" si="160"/>
        <v>#N/A</v>
      </c>
      <c r="Q1029" t="e">
        <f t="shared" si="161"/>
        <v>#N/A</v>
      </c>
      <c r="R1029">
        <f t="shared" si="162"/>
        <v>406000</v>
      </c>
      <c r="S1029">
        <f t="shared" si="163"/>
        <v>122</v>
      </c>
      <c r="T1029" t="e">
        <f t="shared" si="164"/>
        <v>#N/A</v>
      </c>
      <c r="U1029" t="e">
        <f t="shared" si="165"/>
        <v>#N/A</v>
      </c>
      <c r="V1029" t="e">
        <f t="shared" si="166"/>
        <v>#N/A</v>
      </c>
      <c r="W1029" t="e">
        <f t="shared" si="167"/>
        <v>#N/A</v>
      </c>
      <c r="X1029" t="e">
        <f t="shared" si="168"/>
        <v>#N/A</v>
      </c>
      <c r="Y1029" t="e">
        <f t="shared" si="169"/>
        <v>#N/A</v>
      </c>
    </row>
    <row r="1030" spans="1:25" x14ac:dyDescent="0.2">
      <c r="A1030">
        <v>2028</v>
      </c>
      <c r="B1030" t="s">
        <v>14</v>
      </c>
      <c r="C1030" t="s">
        <v>15</v>
      </c>
      <c r="D1030">
        <v>2024</v>
      </c>
      <c r="E1030" t="s">
        <v>24</v>
      </c>
      <c r="F1030">
        <v>177</v>
      </c>
      <c r="G1030">
        <v>3</v>
      </c>
      <c r="H1030">
        <v>3</v>
      </c>
      <c r="I1030">
        <v>730000</v>
      </c>
      <c r="J1030">
        <v>4124.3</v>
      </c>
      <c r="K1030">
        <v>0</v>
      </c>
      <c r="L1030" t="s">
        <v>20</v>
      </c>
      <c r="M1030">
        <v>39</v>
      </c>
      <c r="N1030" t="s">
        <v>18</v>
      </c>
      <c r="P1030" t="e">
        <f t="shared" si="160"/>
        <v>#N/A</v>
      </c>
      <c r="Q1030" t="e">
        <f t="shared" si="161"/>
        <v>#N/A</v>
      </c>
      <c r="R1030">
        <f t="shared" si="162"/>
        <v>730000</v>
      </c>
      <c r="S1030">
        <f t="shared" si="163"/>
        <v>177</v>
      </c>
      <c r="T1030" t="e">
        <f t="shared" si="164"/>
        <v>#N/A</v>
      </c>
      <c r="U1030" t="e">
        <f t="shared" si="165"/>
        <v>#N/A</v>
      </c>
      <c r="V1030" t="e">
        <f t="shared" si="166"/>
        <v>#N/A</v>
      </c>
      <c r="W1030" t="e">
        <f t="shared" si="167"/>
        <v>#N/A</v>
      </c>
      <c r="X1030" t="e">
        <f t="shared" si="168"/>
        <v>#N/A</v>
      </c>
      <c r="Y1030" t="e">
        <f t="shared" si="169"/>
        <v>#N/A</v>
      </c>
    </row>
    <row r="1031" spans="1:25" x14ac:dyDescent="0.2">
      <c r="A1031">
        <v>2029</v>
      </c>
      <c r="B1031" t="s">
        <v>25</v>
      </c>
      <c r="C1031" t="s">
        <v>15</v>
      </c>
      <c r="D1031">
        <v>2022</v>
      </c>
      <c r="E1031" t="s">
        <v>26</v>
      </c>
      <c r="F1031">
        <v>146</v>
      </c>
      <c r="G1031">
        <v>2</v>
      </c>
      <c r="H1031">
        <v>2</v>
      </c>
      <c r="I1031">
        <v>368000</v>
      </c>
      <c r="J1031">
        <v>2520.5</v>
      </c>
      <c r="K1031">
        <v>0</v>
      </c>
      <c r="L1031" t="s">
        <v>34</v>
      </c>
      <c r="M1031">
        <v>77</v>
      </c>
      <c r="N1031" t="s">
        <v>27</v>
      </c>
      <c r="P1031" t="e">
        <f t="shared" si="160"/>
        <v>#N/A</v>
      </c>
      <c r="Q1031" t="e">
        <f t="shared" si="161"/>
        <v>#N/A</v>
      </c>
      <c r="R1031">
        <f t="shared" si="162"/>
        <v>368000</v>
      </c>
      <c r="S1031">
        <f t="shared" si="163"/>
        <v>146</v>
      </c>
      <c r="T1031" t="e">
        <f t="shared" si="164"/>
        <v>#N/A</v>
      </c>
      <c r="U1031" t="e">
        <f t="shared" si="165"/>
        <v>#N/A</v>
      </c>
      <c r="V1031" t="e">
        <f t="shared" si="166"/>
        <v>#N/A</v>
      </c>
      <c r="W1031" t="e">
        <f t="shared" si="167"/>
        <v>#N/A</v>
      </c>
      <c r="X1031" t="e">
        <f t="shared" si="168"/>
        <v>#N/A</v>
      </c>
      <c r="Y1031" t="e">
        <f t="shared" si="169"/>
        <v>#N/A</v>
      </c>
    </row>
    <row r="1032" spans="1:25" x14ac:dyDescent="0.2">
      <c r="A1032">
        <v>2030</v>
      </c>
      <c r="B1032" t="s">
        <v>43</v>
      </c>
      <c r="C1032" t="s">
        <v>15</v>
      </c>
      <c r="D1032">
        <v>2021</v>
      </c>
      <c r="E1032" t="s">
        <v>16</v>
      </c>
      <c r="F1032">
        <v>124</v>
      </c>
      <c r="G1032">
        <v>4</v>
      </c>
      <c r="H1032">
        <v>4</v>
      </c>
      <c r="I1032">
        <v>461000</v>
      </c>
      <c r="J1032">
        <v>3717.7</v>
      </c>
      <c r="K1032">
        <v>4</v>
      </c>
      <c r="L1032" t="s">
        <v>17</v>
      </c>
      <c r="M1032">
        <v>94</v>
      </c>
      <c r="N1032" t="s">
        <v>27</v>
      </c>
      <c r="P1032" t="e">
        <f t="shared" si="160"/>
        <v>#N/A</v>
      </c>
      <c r="Q1032" t="e">
        <f t="shared" si="161"/>
        <v>#N/A</v>
      </c>
      <c r="R1032">
        <f t="shared" si="162"/>
        <v>461000</v>
      </c>
      <c r="S1032">
        <f t="shared" si="163"/>
        <v>124</v>
      </c>
      <c r="T1032" t="e">
        <f t="shared" si="164"/>
        <v>#N/A</v>
      </c>
      <c r="U1032" t="e">
        <f t="shared" si="165"/>
        <v>#N/A</v>
      </c>
      <c r="V1032" t="e">
        <f t="shared" si="166"/>
        <v>#N/A</v>
      </c>
      <c r="W1032" t="e">
        <f t="shared" si="167"/>
        <v>#N/A</v>
      </c>
      <c r="X1032" t="e">
        <f t="shared" si="168"/>
        <v>#N/A</v>
      </c>
      <c r="Y1032" t="e">
        <f t="shared" si="169"/>
        <v>#N/A</v>
      </c>
    </row>
    <row r="1033" spans="1:25" x14ac:dyDescent="0.2">
      <c r="A1033">
        <v>2031</v>
      </c>
      <c r="B1033" t="s">
        <v>37</v>
      </c>
      <c r="C1033" t="s">
        <v>15</v>
      </c>
      <c r="D1033">
        <v>2022</v>
      </c>
      <c r="E1033" t="s">
        <v>16</v>
      </c>
      <c r="F1033">
        <v>100</v>
      </c>
      <c r="G1033">
        <v>3</v>
      </c>
      <c r="H1033">
        <v>3</v>
      </c>
      <c r="I1033">
        <v>395000</v>
      </c>
      <c r="J1033">
        <v>3950</v>
      </c>
      <c r="K1033">
        <v>3</v>
      </c>
      <c r="L1033" t="s">
        <v>17</v>
      </c>
      <c r="M1033">
        <v>46</v>
      </c>
      <c r="N1033" t="s">
        <v>27</v>
      </c>
      <c r="P1033" t="e">
        <f t="shared" si="160"/>
        <v>#N/A</v>
      </c>
      <c r="Q1033" t="e">
        <f t="shared" si="161"/>
        <v>#N/A</v>
      </c>
      <c r="R1033">
        <f t="shared" si="162"/>
        <v>395000</v>
      </c>
      <c r="S1033">
        <f t="shared" si="163"/>
        <v>100</v>
      </c>
      <c r="T1033" t="e">
        <f t="shared" si="164"/>
        <v>#N/A</v>
      </c>
      <c r="U1033" t="e">
        <f t="shared" si="165"/>
        <v>#N/A</v>
      </c>
      <c r="V1033" t="e">
        <f t="shared" si="166"/>
        <v>#N/A</v>
      </c>
      <c r="W1033" t="e">
        <f t="shared" si="167"/>
        <v>#N/A</v>
      </c>
      <c r="X1033" t="e">
        <f t="shared" si="168"/>
        <v>#N/A</v>
      </c>
      <c r="Y1033" t="e">
        <f t="shared" si="169"/>
        <v>#N/A</v>
      </c>
    </row>
    <row r="1034" spans="1:25" x14ac:dyDescent="0.2">
      <c r="A1034">
        <v>2032</v>
      </c>
      <c r="B1034" t="s">
        <v>14</v>
      </c>
      <c r="C1034" t="s">
        <v>29</v>
      </c>
      <c r="D1034">
        <v>2024</v>
      </c>
      <c r="E1034" t="s">
        <v>24</v>
      </c>
      <c r="F1034">
        <v>441</v>
      </c>
      <c r="G1034">
        <v>5</v>
      </c>
      <c r="H1034">
        <v>5</v>
      </c>
      <c r="I1034">
        <v>2818000</v>
      </c>
      <c r="J1034">
        <v>6390</v>
      </c>
      <c r="K1034">
        <v>10</v>
      </c>
      <c r="L1034" t="s">
        <v>17</v>
      </c>
      <c r="M1034">
        <v>77</v>
      </c>
      <c r="N1034" t="s">
        <v>18</v>
      </c>
      <c r="P1034">
        <f t="shared" si="160"/>
        <v>2818000</v>
      </c>
      <c r="Q1034">
        <f t="shared" si="161"/>
        <v>441</v>
      </c>
      <c r="R1034" t="e">
        <f t="shared" si="162"/>
        <v>#N/A</v>
      </c>
      <c r="S1034" t="e">
        <f t="shared" si="163"/>
        <v>#N/A</v>
      </c>
      <c r="T1034" t="e">
        <f t="shared" si="164"/>
        <v>#N/A</v>
      </c>
      <c r="U1034" t="e">
        <f t="shared" si="165"/>
        <v>#N/A</v>
      </c>
      <c r="V1034" t="e">
        <f t="shared" si="166"/>
        <v>#N/A</v>
      </c>
      <c r="W1034" t="e">
        <f t="shared" si="167"/>
        <v>#N/A</v>
      </c>
      <c r="X1034" t="e">
        <f t="shared" si="168"/>
        <v>#N/A</v>
      </c>
      <c r="Y1034" t="e">
        <f t="shared" si="169"/>
        <v>#N/A</v>
      </c>
    </row>
    <row r="1035" spans="1:25" x14ac:dyDescent="0.2">
      <c r="A1035">
        <v>2033</v>
      </c>
      <c r="B1035" t="s">
        <v>25</v>
      </c>
      <c r="C1035" t="s">
        <v>29</v>
      </c>
      <c r="D1035">
        <v>2022</v>
      </c>
      <c r="E1035" t="s">
        <v>26</v>
      </c>
      <c r="F1035">
        <v>461</v>
      </c>
      <c r="G1035">
        <v>4</v>
      </c>
      <c r="H1035">
        <v>4</v>
      </c>
      <c r="I1035">
        <v>1658000</v>
      </c>
      <c r="J1035">
        <v>3596.5</v>
      </c>
      <c r="K1035">
        <v>3</v>
      </c>
      <c r="L1035" t="s">
        <v>17</v>
      </c>
      <c r="M1035">
        <v>2</v>
      </c>
      <c r="N1035" t="s">
        <v>27</v>
      </c>
      <c r="P1035">
        <f t="shared" si="160"/>
        <v>1658000</v>
      </c>
      <c r="Q1035">
        <f t="shared" si="161"/>
        <v>461</v>
      </c>
      <c r="R1035" t="e">
        <f t="shared" si="162"/>
        <v>#N/A</v>
      </c>
      <c r="S1035" t="e">
        <f t="shared" si="163"/>
        <v>#N/A</v>
      </c>
      <c r="T1035" t="e">
        <f t="shared" si="164"/>
        <v>#N/A</v>
      </c>
      <c r="U1035" t="e">
        <f t="shared" si="165"/>
        <v>#N/A</v>
      </c>
      <c r="V1035" t="e">
        <f t="shared" si="166"/>
        <v>#N/A</v>
      </c>
      <c r="W1035" t="e">
        <f t="shared" si="167"/>
        <v>#N/A</v>
      </c>
      <c r="X1035" t="e">
        <f t="shared" si="168"/>
        <v>#N/A</v>
      </c>
      <c r="Y1035" t="e">
        <f t="shared" si="169"/>
        <v>#N/A</v>
      </c>
    </row>
    <row r="1036" spans="1:25" x14ac:dyDescent="0.2">
      <c r="A1036">
        <v>2034</v>
      </c>
      <c r="B1036" t="s">
        <v>44</v>
      </c>
      <c r="C1036" t="s">
        <v>15</v>
      </c>
      <c r="D1036">
        <v>2023</v>
      </c>
      <c r="E1036" t="s">
        <v>24</v>
      </c>
      <c r="F1036">
        <v>131</v>
      </c>
      <c r="G1036">
        <v>2</v>
      </c>
      <c r="H1036">
        <v>2</v>
      </c>
      <c r="I1036">
        <v>405000</v>
      </c>
      <c r="J1036">
        <v>3091.6</v>
      </c>
      <c r="K1036">
        <v>2</v>
      </c>
      <c r="L1036" t="s">
        <v>17</v>
      </c>
      <c r="M1036">
        <v>8</v>
      </c>
      <c r="N1036" t="s">
        <v>18</v>
      </c>
      <c r="P1036" t="e">
        <f t="shared" si="160"/>
        <v>#N/A</v>
      </c>
      <c r="Q1036" t="e">
        <f t="shared" si="161"/>
        <v>#N/A</v>
      </c>
      <c r="R1036">
        <f t="shared" si="162"/>
        <v>405000</v>
      </c>
      <c r="S1036">
        <f t="shared" si="163"/>
        <v>131</v>
      </c>
      <c r="T1036" t="e">
        <f t="shared" si="164"/>
        <v>#N/A</v>
      </c>
      <c r="U1036" t="e">
        <f t="shared" si="165"/>
        <v>#N/A</v>
      </c>
      <c r="V1036" t="e">
        <f t="shared" si="166"/>
        <v>#N/A</v>
      </c>
      <c r="W1036" t="e">
        <f t="shared" si="167"/>
        <v>#N/A</v>
      </c>
      <c r="X1036" t="e">
        <f t="shared" si="168"/>
        <v>#N/A</v>
      </c>
      <c r="Y1036" t="e">
        <f t="shared" si="169"/>
        <v>#N/A</v>
      </c>
    </row>
    <row r="1037" spans="1:25" x14ac:dyDescent="0.2">
      <c r="A1037">
        <v>2035</v>
      </c>
      <c r="B1037" t="s">
        <v>35</v>
      </c>
      <c r="C1037" t="s">
        <v>15</v>
      </c>
      <c r="D1037">
        <v>2021</v>
      </c>
      <c r="E1037" t="s">
        <v>30</v>
      </c>
      <c r="F1037">
        <v>149</v>
      </c>
      <c r="G1037">
        <v>4</v>
      </c>
      <c r="H1037">
        <v>4</v>
      </c>
      <c r="I1037">
        <v>433000</v>
      </c>
      <c r="J1037">
        <v>2906</v>
      </c>
      <c r="K1037">
        <v>4</v>
      </c>
      <c r="L1037" t="s">
        <v>34</v>
      </c>
      <c r="M1037">
        <v>136</v>
      </c>
      <c r="N1037" t="s">
        <v>18</v>
      </c>
      <c r="P1037" t="e">
        <f t="shared" si="160"/>
        <v>#N/A</v>
      </c>
      <c r="Q1037" t="e">
        <f t="shared" si="161"/>
        <v>#N/A</v>
      </c>
      <c r="R1037">
        <f t="shared" si="162"/>
        <v>433000</v>
      </c>
      <c r="S1037">
        <f t="shared" si="163"/>
        <v>149</v>
      </c>
      <c r="T1037" t="e">
        <f t="shared" si="164"/>
        <v>#N/A</v>
      </c>
      <c r="U1037" t="e">
        <f t="shared" si="165"/>
        <v>#N/A</v>
      </c>
      <c r="V1037" t="e">
        <f t="shared" si="166"/>
        <v>#N/A</v>
      </c>
      <c r="W1037" t="e">
        <f t="shared" si="167"/>
        <v>#N/A</v>
      </c>
      <c r="X1037" t="e">
        <f t="shared" si="168"/>
        <v>#N/A</v>
      </c>
      <c r="Y1037" t="e">
        <f t="shared" si="169"/>
        <v>#N/A</v>
      </c>
    </row>
    <row r="1038" spans="1:25" x14ac:dyDescent="0.2">
      <c r="A1038">
        <v>2036</v>
      </c>
      <c r="B1038" t="s">
        <v>14</v>
      </c>
      <c r="C1038" t="s">
        <v>15</v>
      </c>
      <c r="D1038">
        <v>2021</v>
      </c>
      <c r="E1038" t="s">
        <v>16</v>
      </c>
      <c r="F1038">
        <v>193</v>
      </c>
      <c r="G1038">
        <v>3</v>
      </c>
      <c r="H1038">
        <v>3</v>
      </c>
      <c r="I1038">
        <v>603000</v>
      </c>
      <c r="J1038">
        <v>3124.4</v>
      </c>
      <c r="K1038">
        <v>15</v>
      </c>
      <c r="L1038" t="s">
        <v>20</v>
      </c>
      <c r="M1038">
        <v>80</v>
      </c>
      <c r="N1038" t="s">
        <v>18</v>
      </c>
      <c r="P1038" t="e">
        <f t="shared" si="160"/>
        <v>#N/A</v>
      </c>
      <c r="Q1038" t="e">
        <f t="shared" si="161"/>
        <v>#N/A</v>
      </c>
      <c r="R1038">
        <f t="shared" si="162"/>
        <v>603000</v>
      </c>
      <c r="S1038">
        <f t="shared" si="163"/>
        <v>193</v>
      </c>
      <c r="T1038" t="e">
        <f t="shared" si="164"/>
        <v>#N/A</v>
      </c>
      <c r="U1038" t="e">
        <f t="shared" si="165"/>
        <v>#N/A</v>
      </c>
      <c r="V1038" t="e">
        <f t="shared" si="166"/>
        <v>#N/A</v>
      </c>
      <c r="W1038" t="e">
        <f t="shared" si="167"/>
        <v>#N/A</v>
      </c>
      <c r="X1038" t="e">
        <f t="shared" si="168"/>
        <v>#N/A</v>
      </c>
      <c r="Y1038" t="e">
        <f t="shared" si="169"/>
        <v>#N/A</v>
      </c>
    </row>
    <row r="1039" spans="1:25" x14ac:dyDescent="0.2">
      <c r="A1039">
        <v>2037</v>
      </c>
      <c r="B1039" t="s">
        <v>19</v>
      </c>
      <c r="C1039" t="s">
        <v>15</v>
      </c>
      <c r="D1039">
        <v>2023</v>
      </c>
      <c r="E1039" t="s">
        <v>16</v>
      </c>
      <c r="F1039">
        <v>172</v>
      </c>
      <c r="G1039">
        <v>2</v>
      </c>
      <c r="H1039">
        <v>2</v>
      </c>
      <c r="I1039">
        <v>561000</v>
      </c>
      <c r="J1039">
        <v>3261.6</v>
      </c>
      <c r="K1039">
        <v>1</v>
      </c>
      <c r="L1039" t="s">
        <v>34</v>
      </c>
      <c r="M1039">
        <v>130</v>
      </c>
      <c r="N1039" t="s">
        <v>21</v>
      </c>
      <c r="P1039" t="e">
        <f t="shared" si="160"/>
        <v>#N/A</v>
      </c>
      <c r="Q1039" t="e">
        <f t="shared" si="161"/>
        <v>#N/A</v>
      </c>
      <c r="R1039">
        <f t="shared" si="162"/>
        <v>561000</v>
      </c>
      <c r="S1039">
        <f t="shared" si="163"/>
        <v>172</v>
      </c>
      <c r="T1039" t="e">
        <f t="shared" si="164"/>
        <v>#N/A</v>
      </c>
      <c r="U1039" t="e">
        <f t="shared" si="165"/>
        <v>#N/A</v>
      </c>
      <c r="V1039" t="e">
        <f t="shared" si="166"/>
        <v>#N/A</v>
      </c>
      <c r="W1039" t="e">
        <f t="shared" si="167"/>
        <v>#N/A</v>
      </c>
      <c r="X1039" t="e">
        <f t="shared" si="168"/>
        <v>#N/A</v>
      </c>
      <c r="Y1039" t="e">
        <f t="shared" si="169"/>
        <v>#N/A</v>
      </c>
    </row>
    <row r="1040" spans="1:25" x14ac:dyDescent="0.2">
      <c r="A1040">
        <v>2038</v>
      </c>
      <c r="B1040" t="s">
        <v>28</v>
      </c>
      <c r="C1040" t="s">
        <v>29</v>
      </c>
      <c r="D1040">
        <v>2024</v>
      </c>
      <c r="E1040" t="s">
        <v>26</v>
      </c>
      <c r="F1040">
        <v>248</v>
      </c>
      <c r="G1040">
        <v>5</v>
      </c>
      <c r="H1040">
        <v>5</v>
      </c>
      <c r="I1040">
        <v>1145000</v>
      </c>
      <c r="J1040">
        <v>4616.8999999999996</v>
      </c>
      <c r="K1040">
        <v>0</v>
      </c>
      <c r="L1040" t="s">
        <v>20</v>
      </c>
      <c r="M1040">
        <v>32</v>
      </c>
      <c r="N1040" t="s">
        <v>27</v>
      </c>
      <c r="P1040">
        <f t="shared" si="160"/>
        <v>1145000</v>
      </c>
      <c r="Q1040">
        <f t="shared" si="161"/>
        <v>248</v>
      </c>
      <c r="R1040" t="e">
        <f t="shared" si="162"/>
        <v>#N/A</v>
      </c>
      <c r="S1040" t="e">
        <f t="shared" si="163"/>
        <v>#N/A</v>
      </c>
      <c r="T1040" t="e">
        <f t="shared" si="164"/>
        <v>#N/A</v>
      </c>
      <c r="U1040" t="e">
        <f t="shared" si="165"/>
        <v>#N/A</v>
      </c>
      <c r="V1040" t="e">
        <f t="shared" si="166"/>
        <v>#N/A</v>
      </c>
      <c r="W1040" t="e">
        <f t="shared" si="167"/>
        <v>#N/A</v>
      </c>
      <c r="X1040" t="e">
        <f t="shared" si="168"/>
        <v>#N/A</v>
      </c>
      <c r="Y1040" t="e">
        <f t="shared" si="169"/>
        <v>#N/A</v>
      </c>
    </row>
    <row r="1041" spans="1:25" x14ac:dyDescent="0.2">
      <c r="A1041">
        <v>2039</v>
      </c>
      <c r="B1041" t="s">
        <v>19</v>
      </c>
      <c r="C1041" t="s">
        <v>15</v>
      </c>
      <c r="D1041">
        <v>2022</v>
      </c>
      <c r="E1041" t="s">
        <v>26</v>
      </c>
      <c r="F1041">
        <v>123</v>
      </c>
      <c r="G1041">
        <v>3</v>
      </c>
      <c r="H1041">
        <v>3</v>
      </c>
      <c r="I1041">
        <v>372000</v>
      </c>
      <c r="J1041">
        <v>3024.4</v>
      </c>
      <c r="K1041">
        <v>5</v>
      </c>
      <c r="L1041" t="s">
        <v>20</v>
      </c>
      <c r="M1041">
        <v>84</v>
      </c>
      <c r="N1041" t="s">
        <v>21</v>
      </c>
      <c r="P1041" t="e">
        <f t="shared" si="160"/>
        <v>#N/A</v>
      </c>
      <c r="Q1041" t="e">
        <f t="shared" si="161"/>
        <v>#N/A</v>
      </c>
      <c r="R1041">
        <f t="shared" si="162"/>
        <v>372000</v>
      </c>
      <c r="S1041">
        <f t="shared" si="163"/>
        <v>123</v>
      </c>
      <c r="T1041" t="e">
        <f t="shared" si="164"/>
        <v>#N/A</v>
      </c>
      <c r="U1041" t="e">
        <f t="shared" si="165"/>
        <v>#N/A</v>
      </c>
      <c r="V1041" t="e">
        <f t="shared" si="166"/>
        <v>#N/A</v>
      </c>
      <c r="W1041" t="e">
        <f t="shared" si="167"/>
        <v>#N/A</v>
      </c>
      <c r="X1041" t="e">
        <f t="shared" si="168"/>
        <v>#N/A</v>
      </c>
      <c r="Y1041" t="e">
        <f t="shared" si="169"/>
        <v>#N/A</v>
      </c>
    </row>
    <row r="1042" spans="1:25" x14ac:dyDescent="0.2">
      <c r="A1042">
        <v>2040</v>
      </c>
      <c r="B1042" t="s">
        <v>39</v>
      </c>
      <c r="C1042" t="s">
        <v>29</v>
      </c>
      <c r="D1042">
        <v>2024</v>
      </c>
      <c r="E1042" t="s">
        <v>30</v>
      </c>
      <c r="F1042">
        <v>409</v>
      </c>
      <c r="G1042">
        <v>5</v>
      </c>
      <c r="H1042">
        <v>5</v>
      </c>
      <c r="I1042">
        <v>2459000</v>
      </c>
      <c r="J1042">
        <v>6012.2</v>
      </c>
      <c r="K1042">
        <v>0</v>
      </c>
      <c r="L1042" t="s">
        <v>17</v>
      </c>
      <c r="M1042">
        <v>113</v>
      </c>
      <c r="N1042" t="s">
        <v>21</v>
      </c>
      <c r="P1042">
        <f t="shared" si="160"/>
        <v>2459000</v>
      </c>
      <c r="Q1042">
        <f t="shared" si="161"/>
        <v>409</v>
      </c>
      <c r="R1042" t="e">
        <f t="shared" si="162"/>
        <v>#N/A</v>
      </c>
      <c r="S1042" t="e">
        <f t="shared" si="163"/>
        <v>#N/A</v>
      </c>
      <c r="T1042" t="e">
        <f t="shared" si="164"/>
        <v>#N/A</v>
      </c>
      <c r="U1042" t="e">
        <f t="shared" si="165"/>
        <v>#N/A</v>
      </c>
      <c r="V1042" t="e">
        <f t="shared" si="166"/>
        <v>#N/A</v>
      </c>
      <c r="W1042" t="e">
        <f t="shared" si="167"/>
        <v>#N/A</v>
      </c>
      <c r="X1042" t="e">
        <f t="shared" si="168"/>
        <v>#N/A</v>
      </c>
      <c r="Y1042" t="e">
        <f t="shared" si="169"/>
        <v>#N/A</v>
      </c>
    </row>
    <row r="1043" spans="1:25" x14ac:dyDescent="0.2">
      <c r="A1043">
        <v>2041</v>
      </c>
      <c r="B1043" t="s">
        <v>41</v>
      </c>
      <c r="C1043" t="s">
        <v>23</v>
      </c>
      <c r="D1043">
        <v>2021</v>
      </c>
      <c r="E1043" t="s">
        <v>16</v>
      </c>
      <c r="F1043">
        <v>284</v>
      </c>
      <c r="G1043">
        <v>5</v>
      </c>
      <c r="H1043">
        <v>5</v>
      </c>
      <c r="I1043">
        <v>1365000</v>
      </c>
      <c r="J1043">
        <v>4806.3</v>
      </c>
      <c r="K1043">
        <v>20</v>
      </c>
      <c r="L1043" t="s">
        <v>17</v>
      </c>
      <c r="M1043">
        <v>123</v>
      </c>
      <c r="N1043" t="s">
        <v>21</v>
      </c>
      <c r="P1043" t="e">
        <f t="shared" si="160"/>
        <v>#N/A</v>
      </c>
      <c r="Q1043" t="e">
        <f t="shared" si="161"/>
        <v>#N/A</v>
      </c>
      <c r="R1043" t="e">
        <f t="shared" si="162"/>
        <v>#N/A</v>
      </c>
      <c r="S1043" t="e">
        <f t="shared" si="163"/>
        <v>#N/A</v>
      </c>
      <c r="T1043">
        <f t="shared" si="164"/>
        <v>1365000</v>
      </c>
      <c r="U1043">
        <f t="shared" si="165"/>
        <v>284</v>
      </c>
      <c r="V1043" t="e">
        <f t="shared" si="166"/>
        <v>#N/A</v>
      </c>
      <c r="W1043" t="e">
        <f t="shared" si="167"/>
        <v>#N/A</v>
      </c>
      <c r="X1043" t="e">
        <f t="shared" si="168"/>
        <v>#N/A</v>
      </c>
      <c r="Y1043" t="e">
        <f t="shared" si="169"/>
        <v>#N/A</v>
      </c>
    </row>
    <row r="1044" spans="1:25" x14ac:dyDescent="0.2">
      <c r="A1044">
        <v>2042</v>
      </c>
      <c r="B1044" t="s">
        <v>40</v>
      </c>
      <c r="C1044" t="s">
        <v>23</v>
      </c>
      <c r="D1044">
        <v>2022</v>
      </c>
      <c r="E1044" t="s">
        <v>24</v>
      </c>
      <c r="F1044">
        <v>288</v>
      </c>
      <c r="G1044">
        <v>5</v>
      </c>
      <c r="H1044">
        <v>5</v>
      </c>
      <c r="I1044">
        <v>1140000</v>
      </c>
      <c r="J1044">
        <v>3958.3</v>
      </c>
      <c r="K1044">
        <v>2</v>
      </c>
      <c r="L1044" t="s">
        <v>17</v>
      </c>
      <c r="M1044">
        <v>75</v>
      </c>
      <c r="N1044" t="s">
        <v>18</v>
      </c>
      <c r="P1044" t="e">
        <f t="shared" si="160"/>
        <v>#N/A</v>
      </c>
      <c r="Q1044" t="e">
        <f t="shared" si="161"/>
        <v>#N/A</v>
      </c>
      <c r="R1044" t="e">
        <f t="shared" si="162"/>
        <v>#N/A</v>
      </c>
      <c r="S1044" t="e">
        <f t="shared" si="163"/>
        <v>#N/A</v>
      </c>
      <c r="T1044">
        <f t="shared" si="164"/>
        <v>1140000</v>
      </c>
      <c r="U1044">
        <f t="shared" si="165"/>
        <v>288</v>
      </c>
      <c r="V1044" t="e">
        <f t="shared" si="166"/>
        <v>#N/A</v>
      </c>
      <c r="W1044" t="e">
        <f t="shared" si="167"/>
        <v>#N/A</v>
      </c>
      <c r="X1044" t="e">
        <f t="shared" si="168"/>
        <v>#N/A</v>
      </c>
      <c r="Y1044" t="e">
        <f t="shared" si="169"/>
        <v>#N/A</v>
      </c>
    </row>
    <row r="1045" spans="1:25" x14ac:dyDescent="0.2">
      <c r="A1045">
        <v>2043</v>
      </c>
      <c r="B1045" t="s">
        <v>40</v>
      </c>
      <c r="C1045" t="s">
        <v>15</v>
      </c>
      <c r="D1045">
        <v>2022</v>
      </c>
      <c r="E1045" t="s">
        <v>16</v>
      </c>
      <c r="F1045">
        <v>158</v>
      </c>
      <c r="G1045">
        <v>3</v>
      </c>
      <c r="H1045">
        <v>3</v>
      </c>
      <c r="I1045">
        <v>508000</v>
      </c>
      <c r="J1045">
        <v>3215.2</v>
      </c>
      <c r="K1045">
        <v>0</v>
      </c>
      <c r="L1045" t="s">
        <v>17</v>
      </c>
      <c r="M1045">
        <v>66</v>
      </c>
      <c r="N1045" t="s">
        <v>18</v>
      </c>
      <c r="P1045" t="e">
        <f t="shared" si="160"/>
        <v>#N/A</v>
      </c>
      <c r="Q1045" t="e">
        <f t="shared" si="161"/>
        <v>#N/A</v>
      </c>
      <c r="R1045">
        <f t="shared" si="162"/>
        <v>508000</v>
      </c>
      <c r="S1045">
        <f t="shared" si="163"/>
        <v>158</v>
      </c>
      <c r="T1045" t="e">
        <f t="shared" si="164"/>
        <v>#N/A</v>
      </c>
      <c r="U1045" t="e">
        <f t="shared" si="165"/>
        <v>#N/A</v>
      </c>
      <c r="V1045" t="e">
        <f t="shared" si="166"/>
        <v>#N/A</v>
      </c>
      <c r="W1045" t="e">
        <f t="shared" si="167"/>
        <v>#N/A</v>
      </c>
      <c r="X1045" t="e">
        <f t="shared" si="168"/>
        <v>#N/A</v>
      </c>
      <c r="Y1045" t="e">
        <f t="shared" si="169"/>
        <v>#N/A</v>
      </c>
    </row>
    <row r="1046" spans="1:25" x14ac:dyDescent="0.2">
      <c r="A1046">
        <v>2044</v>
      </c>
      <c r="B1046" t="s">
        <v>37</v>
      </c>
      <c r="C1046" t="s">
        <v>29</v>
      </c>
      <c r="D1046">
        <v>2022</v>
      </c>
      <c r="E1046" t="s">
        <v>30</v>
      </c>
      <c r="F1046">
        <v>412</v>
      </c>
      <c r="G1046">
        <v>5</v>
      </c>
      <c r="H1046">
        <v>5</v>
      </c>
      <c r="I1046">
        <v>2563000</v>
      </c>
      <c r="J1046">
        <v>6220.9</v>
      </c>
      <c r="K1046">
        <v>3</v>
      </c>
      <c r="L1046" t="s">
        <v>17</v>
      </c>
      <c r="M1046">
        <v>123</v>
      </c>
      <c r="N1046" t="s">
        <v>27</v>
      </c>
      <c r="P1046">
        <f t="shared" si="160"/>
        <v>2563000</v>
      </c>
      <c r="Q1046">
        <f t="shared" si="161"/>
        <v>412</v>
      </c>
      <c r="R1046" t="e">
        <f t="shared" si="162"/>
        <v>#N/A</v>
      </c>
      <c r="S1046" t="e">
        <f t="shared" si="163"/>
        <v>#N/A</v>
      </c>
      <c r="T1046" t="e">
        <f t="shared" si="164"/>
        <v>#N/A</v>
      </c>
      <c r="U1046" t="e">
        <f t="shared" si="165"/>
        <v>#N/A</v>
      </c>
      <c r="V1046" t="e">
        <f t="shared" si="166"/>
        <v>#N/A</v>
      </c>
      <c r="W1046" t="e">
        <f t="shared" si="167"/>
        <v>#N/A</v>
      </c>
      <c r="X1046" t="e">
        <f t="shared" si="168"/>
        <v>#N/A</v>
      </c>
      <c r="Y1046" t="e">
        <f t="shared" si="169"/>
        <v>#N/A</v>
      </c>
    </row>
    <row r="1047" spans="1:25" x14ac:dyDescent="0.2">
      <c r="A1047">
        <v>2045</v>
      </c>
      <c r="B1047" t="s">
        <v>44</v>
      </c>
      <c r="C1047" t="s">
        <v>15</v>
      </c>
      <c r="D1047">
        <v>2023</v>
      </c>
      <c r="E1047" t="s">
        <v>30</v>
      </c>
      <c r="F1047">
        <v>146</v>
      </c>
      <c r="G1047">
        <v>3</v>
      </c>
      <c r="H1047">
        <v>3</v>
      </c>
      <c r="I1047">
        <v>501000</v>
      </c>
      <c r="J1047">
        <v>3431.5</v>
      </c>
      <c r="K1047">
        <v>1</v>
      </c>
      <c r="L1047" t="s">
        <v>34</v>
      </c>
      <c r="M1047">
        <v>94</v>
      </c>
      <c r="N1047" t="s">
        <v>18</v>
      </c>
      <c r="P1047" t="e">
        <f t="shared" si="160"/>
        <v>#N/A</v>
      </c>
      <c r="Q1047" t="e">
        <f t="shared" si="161"/>
        <v>#N/A</v>
      </c>
      <c r="R1047">
        <f t="shared" si="162"/>
        <v>501000</v>
      </c>
      <c r="S1047">
        <f t="shared" si="163"/>
        <v>146</v>
      </c>
      <c r="T1047" t="e">
        <f t="shared" si="164"/>
        <v>#N/A</v>
      </c>
      <c r="U1047" t="e">
        <f t="shared" si="165"/>
        <v>#N/A</v>
      </c>
      <c r="V1047" t="e">
        <f t="shared" si="166"/>
        <v>#N/A</v>
      </c>
      <c r="W1047" t="e">
        <f t="shared" si="167"/>
        <v>#N/A</v>
      </c>
      <c r="X1047" t="e">
        <f t="shared" si="168"/>
        <v>#N/A</v>
      </c>
      <c r="Y1047" t="e">
        <f t="shared" si="169"/>
        <v>#N/A</v>
      </c>
    </row>
    <row r="1048" spans="1:25" x14ac:dyDescent="0.2">
      <c r="A1048">
        <v>2046</v>
      </c>
      <c r="B1048" t="s">
        <v>22</v>
      </c>
      <c r="C1048" t="s">
        <v>29</v>
      </c>
      <c r="D1048">
        <v>2024</v>
      </c>
      <c r="E1048" t="s">
        <v>24</v>
      </c>
      <c r="F1048">
        <v>496</v>
      </c>
      <c r="G1048">
        <v>4</v>
      </c>
      <c r="H1048">
        <v>4</v>
      </c>
      <c r="I1048">
        <v>3087000</v>
      </c>
      <c r="J1048">
        <v>6223.8</v>
      </c>
      <c r="K1048">
        <v>7</v>
      </c>
      <c r="L1048" t="s">
        <v>17</v>
      </c>
      <c r="M1048">
        <v>157</v>
      </c>
      <c r="N1048" t="s">
        <v>18</v>
      </c>
      <c r="P1048">
        <f t="shared" si="160"/>
        <v>3087000</v>
      </c>
      <c r="Q1048">
        <f t="shared" si="161"/>
        <v>496</v>
      </c>
      <c r="R1048" t="e">
        <f t="shared" si="162"/>
        <v>#N/A</v>
      </c>
      <c r="S1048" t="e">
        <f t="shared" si="163"/>
        <v>#N/A</v>
      </c>
      <c r="T1048" t="e">
        <f t="shared" si="164"/>
        <v>#N/A</v>
      </c>
      <c r="U1048" t="e">
        <f t="shared" si="165"/>
        <v>#N/A</v>
      </c>
      <c r="V1048" t="e">
        <f t="shared" si="166"/>
        <v>#N/A</v>
      </c>
      <c r="W1048" t="e">
        <f t="shared" si="167"/>
        <v>#N/A</v>
      </c>
      <c r="X1048" t="e">
        <f t="shared" si="168"/>
        <v>#N/A</v>
      </c>
      <c r="Y1048" t="e">
        <f t="shared" si="169"/>
        <v>#N/A</v>
      </c>
    </row>
    <row r="1049" spans="1:25" x14ac:dyDescent="0.2">
      <c r="A1049">
        <v>2047</v>
      </c>
      <c r="B1049" t="s">
        <v>41</v>
      </c>
      <c r="C1049" t="s">
        <v>15</v>
      </c>
      <c r="D1049">
        <v>2024</v>
      </c>
      <c r="E1049" t="s">
        <v>24</v>
      </c>
      <c r="F1049">
        <v>154</v>
      </c>
      <c r="G1049">
        <v>3</v>
      </c>
      <c r="H1049">
        <v>3</v>
      </c>
      <c r="I1049">
        <v>753000</v>
      </c>
      <c r="J1049">
        <v>4889.6000000000004</v>
      </c>
      <c r="K1049">
        <v>2</v>
      </c>
      <c r="L1049" t="s">
        <v>17</v>
      </c>
      <c r="M1049">
        <v>34</v>
      </c>
      <c r="N1049" t="s">
        <v>21</v>
      </c>
      <c r="P1049" t="e">
        <f t="shared" si="160"/>
        <v>#N/A</v>
      </c>
      <c r="Q1049" t="e">
        <f t="shared" si="161"/>
        <v>#N/A</v>
      </c>
      <c r="R1049">
        <f t="shared" si="162"/>
        <v>753000</v>
      </c>
      <c r="S1049">
        <f t="shared" si="163"/>
        <v>154</v>
      </c>
      <c r="T1049" t="e">
        <f t="shared" si="164"/>
        <v>#N/A</v>
      </c>
      <c r="U1049" t="e">
        <f t="shared" si="165"/>
        <v>#N/A</v>
      </c>
      <c r="V1049" t="e">
        <f t="shared" si="166"/>
        <v>#N/A</v>
      </c>
      <c r="W1049" t="e">
        <f t="shared" si="167"/>
        <v>#N/A</v>
      </c>
      <c r="X1049" t="e">
        <f t="shared" si="168"/>
        <v>#N/A</v>
      </c>
      <c r="Y1049" t="e">
        <f t="shared" si="169"/>
        <v>#N/A</v>
      </c>
    </row>
    <row r="1050" spans="1:25" x14ac:dyDescent="0.2">
      <c r="A1050">
        <v>2048</v>
      </c>
      <c r="B1050" t="s">
        <v>41</v>
      </c>
      <c r="C1050" t="s">
        <v>29</v>
      </c>
      <c r="D1050">
        <v>2024</v>
      </c>
      <c r="E1050" t="s">
        <v>26</v>
      </c>
      <c r="F1050">
        <v>329</v>
      </c>
      <c r="G1050">
        <v>5</v>
      </c>
      <c r="H1050">
        <v>5</v>
      </c>
      <c r="I1050">
        <v>2402000</v>
      </c>
      <c r="J1050">
        <v>7300.9</v>
      </c>
      <c r="K1050">
        <v>10</v>
      </c>
      <c r="L1050" t="s">
        <v>17</v>
      </c>
      <c r="M1050">
        <v>87</v>
      </c>
      <c r="N1050" t="s">
        <v>21</v>
      </c>
      <c r="P1050">
        <f t="shared" si="160"/>
        <v>2402000</v>
      </c>
      <c r="Q1050">
        <f t="shared" si="161"/>
        <v>329</v>
      </c>
      <c r="R1050" t="e">
        <f t="shared" si="162"/>
        <v>#N/A</v>
      </c>
      <c r="S1050" t="e">
        <f t="shared" si="163"/>
        <v>#N/A</v>
      </c>
      <c r="T1050" t="e">
        <f t="shared" si="164"/>
        <v>#N/A</v>
      </c>
      <c r="U1050" t="e">
        <f t="shared" si="165"/>
        <v>#N/A</v>
      </c>
      <c r="V1050" t="e">
        <f t="shared" si="166"/>
        <v>#N/A</v>
      </c>
      <c r="W1050" t="e">
        <f t="shared" si="167"/>
        <v>#N/A</v>
      </c>
      <c r="X1050" t="e">
        <f t="shared" si="168"/>
        <v>#N/A</v>
      </c>
      <c r="Y1050" t="e">
        <f t="shared" si="169"/>
        <v>#N/A</v>
      </c>
    </row>
    <row r="1051" spans="1:25" x14ac:dyDescent="0.2">
      <c r="A1051">
        <v>2049</v>
      </c>
      <c r="B1051" t="s">
        <v>47</v>
      </c>
      <c r="C1051" t="s">
        <v>15</v>
      </c>
      <c r="D1051">
        <v>2022</v>
      </c>
      <c r="E1051" t="s">
        <v>30</v>
      </c>
      <c r="F1051">
        <v>148</v>
      </c>
      <c r="G1051">
        <v>4</v>
      </c>
      <c r="H1051">
        <v>4</v>
      </c>
      <c r="I1051">
        <v>425000</v>
      </c>
      <c r="J1051">
        <v>2871.6</v>
      </c>
      <c r="K1051">
        <v>3</v>
      </c>
      <c r="L1051" t="s">
        <v>20</v>
      </c>
      <c r="M1051">
        <v>93</v>
      </c>
      <c r="N1051" t="s">
        <v>21</v>
      </c>
      <c r="P1051" t="e">
        <f t="shared" si="160"/>
        <v>#N/A</v>
      </c>
      <c r="Q1051" t="e">
        <f t="shared" si="161"/>
        <v>#N/A</v>
      </c>
      <c r="R1051">
        <f t="shared" si="162"/>
        <v>425000</v>
      </c>
      <c r="S1051">
        <f t="shared" si="163"/>
        <v>148</v>
      </c>
      <c r="T1051" t="e">
        <f t="shared" si="164"/>
        <v>#N/A</v>
      </c>
      <c r="U1051" t="e">
        <f t="shared" si="165"/>
        <v>#N/A</v>
      </c>
      <c r="V1051" t="e">
        <f t="shared" si="166"/>
        <v>#N/A</v>
      </c>
      <c r="W1051" t="e">
        <f t="shared" si="167"/>
        <v>#N/A</v>
      </c>
      <c r="X1051" t="e">
        <f t="shared" si="168"/>
        <v>#N/A</v>
      </c>
      <c r="Y1051" t="e">
        <f t="shared" si="169"/>
        <v>#N/A</v>
      </c>
    </row>
    <row r="1052" spans="1:25" x14ac:dyDescent="0.2">
      <c r="A1052">
        <v>2050</v>
      </c>
      <c r="B1052" t="s">
        <v>44</v>
      </c>
      <c r="C1052" t="s">
        <v>38</v>
      </c>
      <c r="D1052">
        <v>2022</v>
      </c>
      <c r="E1052" t="s">
        <v>16</v>
      </c>
      <c r="F1052">
        <v>54</v>
      </c>
      <c r="G1052">
        <v>0</v>
      </c>
      <c r="H1052">
        <v>1</v>
      </c>
      <c r="I1052">
        <v>214000</v>
      </c>
      <c r="J1052">
        <v>3963</v>
      </c>
      <c r="K1052">
        <v>2</v>
      </c>
      <c r="L1052" t="s">
        <v>34</v>
      </c>
      <c r="M1052">
        <v>145</v>
      </c>
      <c r="N1052" t="s">
        <v>18</v>
      </c>
      <c r="P1052" t="e">
        <f t="shared" si="160"/>
        <v>#N/A</v>
      </c>
      <c r="Q1052" t="e">
        <f t="shared" si="161"/>
        <v>#N/A</v>
      </c>
      <c r="R1052" t="e">
        <f t="shared" si="162"/>
        <v>#N/A</v>
      </c>
      <c r="S1052" t="e">
        <f t="shared" si="163"/>
        <v>#N/A</v>
      </c>
      <c r="T1052" t="e">
        <f t="shared" si="164"/>
        <v>#N/A</v>
      </c>
      <c r="U1052" t="e">
        <f t="shared" si="165"/>
        <v>#N/A</v>
      </c>
      <c r="V1052">
        <f t="shared" si="166"/>
        <v>214000</v>
      </c>
      <c r="W1052">
        <f t="shared" si="167"/>
        <v>54</v>
      </c>
      <c r="X1052" t="e">
        <f t="shared" si="168"/>
        <v>#N/A</v>
      </c>
      <c r="Y1052" t="e">
        <f t="shared" si="169"/>
        <v>#N/A</v>
      </c>
    </row>
    <row r="1053" spans="1:25" x14ac:dyDescent="0.2">
      <c r="A1053">
        <v>2051</v>
      </c>
      <c r="B1053" t="s">
        <v>48</v>
      </c>
      <c r="C1053" t="s">
        <v>15</v>
      </c>
      <c r="D1053">
        <v>2024</v>
      </c>
      <c r="E1053" t="s">
        <v>30</v>
      </c>
      <c r="F1053">
        <v>89</v>
      </c>
      <c r="G1053">
        <v>3</v>
      </c>
      <c r="H1053">
        <v>3</v>
      </c>
      <c r="I1053">
        <v>273000</v>
      </c>
      <c r="J1053">
        <v>3067.4</v>
      </c>
      <c r="K1053">
        <v>2</v>
      </c>
      <c r="L1053" t="s">
        <v>20</v>
      </c>
      <c r="M1053">
        <v>155</v>
      </c>
      <c r="N1053" t="s">
        <v>27</v>
      </c>
      <c r="P1053" t="e">
        <f t="shared" si="160"/>
        <v>#N/A</v>
      </c>
      <c r="Q1053" t="e">
        <f t="shared" si="161"/>
        <v>#N/A</v>
      </c>
      <c r="R1053">
        <f t="shared" si="162"/>
        <v>273000</v>
      </c>
      <c r="S1053">
        <f t="shared" si="163"/>
        <v>89</v>
      </c>
      <c r="T1053" t="e">
        <f t="shared" si="164"/>
        <v>#N/A</v>
      </c>
      <c r="U1053" t="e">
        <f t="shared" si="165"/>
        <v>#N/A</v>
      </c>
      <c r="V1053" t="e">
        <f t="shared" si="166"/>
        <v>#N/A</v>
      </c>
      <c r="W1053" t="e">
        <f t="shared" si="167"/>
        <v>#N/A</v>
      </c>
      <c r="X1053" t="e">
        <f t="shared" si="168"/>
        <v>#N/A</v>
      </c>
      <c r="Y1053" t="e">
        <f t="shared" si="169"/>
        <v>#N/A</v>
      </c>
    </row>
    <row r="1054" spans="1:25" x14ac:dyDescent="0.2">
      <c r="A1054">
        <v>2052</v>
      </c>
      <c r="B1054" t="s">
        <v>42</v>
      </c>
      <c r="C1054" t="s">
        <v>15</v>
      </c>
      <c r="D1054">
        <v>2022</v>
      </c>
      <c r="E1054" t="s">
        <v>16</v>
      </c>
      <c r="F1054">
        <v>150</v>
      </c>
      <c r="G1054">
        <v>3</v>
      </c>
      <c r="H1054">
        <v>3</v>
      </c>
      <c r="I1054">
        <v>631000</v>
      </c>
      <c r="J1054">
        <v>4206.7</v>
      </c>
      <c r="K1054">
        <v>2</v>
      </c>
      <c r="L1054" t="s">
        <v>17</v>
      </c>
      <c r="M1054">
        <v>124</v>
      </c>
      <c r="N1054" t="s">
        <v>21</v>
      </c>
      <c r="P1054" t="e">
        <f t="shared" si="160"/>
        <v>#N/A</v>
      </c>
      <c r="Q1054" t="e">
        <f t="shared" si="161"/>
        <v>#N/A</v>
      </c>
      <c r="R1054">
        <f t="shared" si="162"/>
        <v>631000</v>
      </c>
      <c r="S1054">
        <f t="shared" si="163"/>
        <v>150</v>
      </c>
      <c r="T1054" t="e">
        <f t="shared" si="164"/>
        <v>#N/A</v>
      </c>
      <c r="U1054" t="e">
        <f t="shared" si="165"/>
        <v>#N/A</v>
      </c>
      <c r="V1054" t="e">
        <f t="shared" si="166"/>
        <v>#N/A</v>
      </c>
      <c r="W1054" t="e">
        <f t="shared" si="167"/>
        <v>#N/A</v>
      </c>
      <c r="X1054" t="e">
        <f t="shared" si="168"/>
        <v>#N/A</v>
      </c>
      <c r="Y1054" t="e">
        <f t="shared" si="169"/>
        <v>#N/A</v>
      </c>
    </row>
    <row r="1055" spans="1:25" x14ac:dyDescent="0.2">
      <c r="A1055">
        <v>2053</v>
      </c>
      <c r="B1055" t="s">
        <v>40</v>
      </c>
      <c r="C1055" t="s">
        <v>38</v>
      </c>
      <c r="D1055">
        <v>2024</v>
      </c>
      <c r="E1055" t="s">
        <v>26</v>
      </c>
      <c r="F1055">
        <v>45</v>
      </c>
      <c r="G1055">
        <v>0</v>
      </c>
      <c r="H1055">
        <v>1</v>
      </c>
      <c r="I1055">
        <v>232000</v>
      </c>
      <c r="J1055">
        <v>5155.6000000000004</v>
      </c>
      <c r="K1055">
        <v>2</v>
      </c>
      <c r="L1055" t="s">
        <v>34</v>
      </c>
      <c r="M1055">
        <v>72</v>
      </c>
      <c r="N1055" t="s">
        <v>18</v>
      </c>
      <c r="P1055" t="e">
        <f t="shared" si="160"/>
        <v>#N/A</v>
      </c>
      <c r="Q1055" t="e">
        <f t="shared" si="161"/>
        <v>#N/A</v>
      </c>
      <c r="R1055" t="e">
        <f t="shared" si="162"/>
        <v>#N/A</v>
      </c>
      <c r="S1055" t="e">
        <f t="shared" si="163"/>
        <v>#N/A</v>
      </c>
      <c r="T1055" t="e">
        <f t="shared" si="164"/>
        <v>#N/A</v>
      </c>
      <c r="U1055" t="e">
        <f t="shared" si="165"/>
        <v>#N/A</v>
      </c>
      <c r="V1055">
        <f t="shared" si="166"/>
        <v>232000</v>
      </c>
      <c r="W1055">
        <f t="shared" si="167"/>
        <v>45</v>
      </c>
      <c r="X1055" t="e">
        <f t="shared" si="168"/>
        <v>#N/A</v>
      </c>
      <c r="Y1055" t="e">
        <f t="shared" si="169"/>
        <v>#N/A</v>
      </c>
    </row>
    <row r="1056" spans="1:25" x14ac:dyDescent="0.2">
      <c r="A1056">
        <v>2054</v>
      </c>
      <c r="B1056" t="s">
        <v>32</v>
      </c>
      <c r="C1056" t="s">
        <v>38</v>
      </c>
      <c r="D1056">
        <v>2024</v>
      </c>
      <c r="E1056" t="s">
        <v>26</v>
      </c>
      <c r="F1056">
        <v>65</v>
      </c>
      <c r="G1056">
        <v>0</v>
      </c>
      <c r="H1056">
        <v>1</v>
      </c>
      <c r="I1056">
        <v>276000</v>
      </c>
      <c r="J1056">
        <v>4246.2</v>
      </c>
      <c r="K1056">
        <v>10</v>
      </c>
      <c r="L1056" t="s">
        <v>17</v>
      </c>
      <c r="M1056">
        <v>40</v>
      </c>
      <c r="N1056" t="s">
        <v>18</v>
      </c>
      <c r="P1056" t="e">
        <f t="shared" si="160"/>
        <v>#N/A</v>
      </c>
      <c r="Q1056" t="e">
        <f t="shared" si="161"/>
        <v>#N/A</v>
      </c>
      <c r="R1056" t="e">
        <f t="shared" si="162"/>
        <v>#N/A</v>
      </c>
      <c r="S1056" t="e">
        <f t="shared" si="163"/>
        <v>#N/A</v>
      </c>
      <c r="T1056" t="e">
        <f t="shared" si="164"/>
        <v>#N/A</v>
      </c>
      <c r="U1056" t="e">
        <f t="shared" si="165"/>
        <v>#N/A</v>
      </c>
      <c r="V1056">
        <f t="shared" si="166"/>
        <v>276000</v>
      </c>
      <c r="W1056">
        <f t="shared" si="167"/>
        <v>65</v>
      </c>
      <c r="X1056" t="e">
        <f t="shared" si="168"/>
        <v>#N/A</v>
      </c>
      <c r="Y1056" t="e">
        <f t="shared" si="169"/>
        <v>#N/A</v>
      </c>
    </row>
    <row r="1057" spans="1:25" x14ac:dyDescent="0.2">
      <c r="A1057">
        <v>2055</v>
      </c>
      <c r="B1057" t="s">
        <v>25</v>
      </c>
      <c r="C1057" t="s">
        <v>15</v>
      </c>
      <c r="D1057">
        <v>2022</v>
      </c>
      <c r="E1057" t="s">
        <v>24</v>
      </c>
      <c r="F1057">
        <v>158</v>
      </c>
      <c r="G1057">
        <v>3</v>
      </c>
      <c r="H1057">
        <v>3</v>
      </c>
      <c r="I1057">
        <v>381000</v>
      </c>
      <c r="J1057">
        <v>2411.4</v>
      </c>
      <c r="K1057">
        <v>5</v>
      </c>
      <c r="L1057" t="s">
        <v>17</v>
      </c>
      <c r="M1057">
        <v>14</v>
      </c>
      <c r="N1057" t="s">
        <v>27</v>
      </c>
      <c r="P1057" t="e">
        <f t="shared" si="160"/>
        <v>#N/A</v>
      </c>
      <c r="Q1057" t="e">
        <f t="shared" si="161"/>
        <v>#N/A</v>
      </c>
      <c r="R1057">
        <f t="shared" si="162"/>
        <v>381000</v>
      </c>
      <c r="S1057">
        <f t="shared" si="163"/>
        <v>158</v>
      </c>
      <c r="T1057" t="e">
        <f t="shared" si="164"/>
        <v>#N/A</v>
      </c>
      <c r="U1057" t="e">
        <f t="shared" si="165"/>
        <v>#N/A</v>
      </c>
      <c r="V1057" t="e">
        <f t="shared" si="166"/>
        <v>#N/A</v>
      </c>
      <c r="W1057" t="e">
        <f t="shared" si="167"/>
        <v>#N/A</v>
      </c>
      <c r="X1057" t="e">
        <f t="shared" si="168"/>
        <v>#N/A</v>
      </c>
      <c r="Y1057" t="e">
        <f t="shared" si="169"/>
        <v>#N/A</v>
      </c>
    </row>
    <row r="1058" spans="1:25" x14ac:dyDescent="0.2">
      <c r="A1058">
        <v>2056</v>
      </c>
      <c r="B1058" t="s">
        <v>46</v>
      </c>
      <c r="C1058" t="s">
        <v>15</v>
      </c>
      <c r="D1058">
        <v>2022</v>
      </c>
      <c r="E1058" t="s">
        <v>30</v>
      </c>
      <c r="F1058">
        <v>109</v>
      </c>
      <c r="G1058">
        <v>3</v>
      </c>
      <c r="H1058">
        <v>3</v>
      </c>
      <c r="I1058">
        <v>337000</v>
      </c>
      <c r="J1058">
        <v>3091.7</v>
      </c>
      <c r="K1058">
        <v>2</v>
      </c>
      <c r="L1058" t="s">
        <v>17</v>
      </c>
      <c r="M1058">
        <v>77</v>
      </c>
      <c r="N1058" t="s">
        <v>18</v>
      </c>
      <c r="P1058" t="e">
        <f t="shared" si="160"/>
        <v>#N/A</v>
      </c>
      <c r="Q1058" t="e">
        <f t="shared" si="161"/>
        <v>#N/A</v>
      </c>
      <c r="R1058">
        <f t="shared" si="162"/>
        <v>337000</v>
      </c>
      <c r="S1058">
        <f t="shared" si="163"/>
        <v>109</v>
      </c>
      <c r="T1058" t="e">
        <f t="shared" si="164"/>
        <v>#N/A</v>
      </c>
      <c r="U1058" t="e">
        <f t="shared" si="165"/>
        <v>#N/A</v>
      </c>
      <c r="V1058" t="e">
        <f t="shared" si="166"/>
        <v>#N/A</v>
      </c>
      <c r="W1058" t="e">
        <f t="shared" si="167"/>
        <v>#N/A</v>
      </c>
      <c r="X1058" t="e">
        <f t="shared" si="168"/>
        <v>#N/A</v>
      </c>
      <c r="Y1058" t="e">
        <f t="shared" si="169"/>
        <v>#N/A</v>
      </c>
    </row>
    <row r="1059" spans="1:25" x14ac:dyDescent="0.2">
      <c r="A1059">
        <v>2057</v>
      </c>
      <c r="B1059" t="s">
        <v>44</v>
      </c>
      <c r="C1059" t="s">
        <v>15</v>
      </c>
      <c r="D1059">
        <v>2024</v>
      </c>
      <c r="E1059" t="s">
        <v>30</v>
      </c>
      <c r="F1059">
        <v>173</v>
      </c>
      <c r="G1059">
        <v>3</v>
      </c>
      <c r="H1059">
        <v>3</v>
      </c>
      <c r="I1059">
        <v>618000</v>
      </c>
      <c r="J1059">
        <v>3572.3</v>
      </c>
      <c r="K1059">
        <v>3</v>
      </c>
      <c r="L1059" t="s">
        <v>17</v>
      </c>
      <c r="M1059">
        <v>20</v>
      </c>
      <c r="N1059" t="s">
        <v>18</v>
      </c>
      <c r="P1059" t="e">
        <f t="shared" si="160"/>
        <v>#N/A</v>
      </c>
      <c r="Q1059" t="e">
        <f t="shared" si="161"/>
        <v>#N/A</v>
      </c>
      <c r="R1059">
        <f t="shared" si="162"/>
        <v>618000</v>
      </c>
      <c r="S1059">
        <f t="shared" si="163"/>
        <v>173</v>
      </c>
      <c r="T1059" t="e">
        <f t="shared" si="164"/>
        <v>#N/A</v>
      </c>
      <c r="U1059" t="e">
        <f t="shared" si="165"/>
        <v>#N/A</v>
      </c>
      <c r="V1059" t="e">
        <f t="shared" si="166"/>
        <v>#N/A</v>
      </c>
      <c r="W1059" t="e">
        <f t="shared" si="167"/>
        <v>#N/A</v>
      </c>
      <c r="X1059" t="e">
        <f t="shared" si="168"/>
        <v>#N/A</v>
      </c>
      <c r="Y1059" t="e">
        <f t="shared" si="169"/>
        <v>#N/A</v>
      </c>
    </row>
    <row r="1060" spans="1:25" x14ac:dyDescent="0.2">
      <c r="A1060">
        <v>2058</v>
      </c>
      <c r="B1060" t="s">
        <v>39</v>
      </c>
      <c r="C1060" t="s">
        <v>15</v>
      </c>
      <c r="D1060">
        <v>2021</v>
      </c>
      <c r="E1060" t="s">
        <v>26</v>
      </c>
      <c r="F1060">
        <v>187</v>
      </c>
      <c r="G1060">
        <v>2</v>
      </c>
      <c r="H1060">
        <v>2</v>
      </c>
      <c r="I1060">
        <v>672000</v>
      </c>
      <c r="J1060">
        <v>3593.6</v>
      </c>
      <c r="K1060">
        <v>5</v>
      </c>
      <c r="L1060" t="s">
        <v>17</v>
      </c>
      <c r="M1060">
        <v>82</v>
      </c>
      <c r="N1060" t="s">
        <v>21</v>
      </c>
      <c r="P1060" t="e">
        <f t="shared" si="160"/>
        <v>#N/A</v>
      </c>
      <c r="Q1060" t="e">
        <f t="shared" si="161"/>
        <v>#N/A</v>
      </c>
      <c r="R1060">
        <f t="shared" si="162"/>
        <v>672000</v>
      </c>
      <c r="S1060">
        <f t="shared" si="163"/>
        <v>187</v>
      </c>
      <c r="T1060" t="e">
        <f t="shared" si="164"/>
        <v>#N/A</v>
      </c>
      <c r="U1060" t="e">
        <f t="shared" si="165"/>
        <v>#N/A</v>
      </c>
      <c r="V1060" t="e">
        <f t="shared" si="166"/>
        <v>#N/A</v>
      </c>
      <c r="W1060" t="e">
        <f t="shared" si="167"/>
        <v>#N/A</v>
      </c>
      <c r="X1060" t="e">
        <f t="shared" si="168"/>
        <v>#N/A</v>
      </c>
      <c r="Y1060" t="e">
        <f t="shared" si="169"/>
        <v>#N/A</v>
      </c>
    </row>
    <row r="1061" spans="1:25" x14ac:dyDescent="0.2">
      <c r="A1061">
        <v>2059</v>
      </c>
      <c r="B1061" t="s">
        <v>43</v>
      </c>
      <c r="C1061" t="s">
        <v>23</v>
      </c>
      <c r="D1061">
        <v>2024</v>
      </c>
      <c r="E1061" t="s">
        <v>26</v>
      </c>
      <c r="F1061">
        <v>267</v>
      </c>
      <c r="G1061">
        <v>4</v>
      </c>
      <c r="H1061">
        <v>4</v>
      </c>
      <c r="I1061">
        <v>1544000</v>
      </c>
      <c r="J1061">
        <v>5782.8</v>
      </c>
      <c r="K1061">
        <v>10</v>
      </c>
      <c r="L1061" t="s">
        <v>20</v>
      </c>
      <c r="M1061">
        <v>146</v>
      </c>
      <c r="N1061" t="s">
        <v>27</v>
      </c>
      <c r="P1061" t="e">
        <f t="shared" si="160"/>
        <v>#N/A</v>
      </c>
      <c r="Q1061" t="e">
        <f t="shared" si="161"/>
        <v>#N/A</v>
      </c>
      <c r="R1061" t="e">
        <f t="shared" si="162"/>
        <v>#N/A</v>
      </c>
      <c r="S1061" t="e">
        <f t="shared" si="163"/>
        <v>#N/A</v>
      </c>
      <c r="T1061">
        <f t="shared" si="164"/>
        <v>1544000</v>
      </c>
      <c r="U1061">
        <f t="shared" si="165"/>
        <v>267</v>
      </c>
      <c r="V1061" t="e">
        <f t="shared" si="166"/>
        <v>#N/A</v>
      </c>
      <c r="W1061" t="e">
        <f t="shared" si="167"/>
        <v>#N/A</v>
      </c>
      <c r="X1061" t="e">
        <f t="shared" si="168"/>
        <v>#N/A</v>
      </c>
      <c r="Y1061" t="e">
        <f t="shared" si="169"/>
        <v>#N/A</v>
      </c>
    </row>
    <row r="1062" spans="1:25" x14ac:dyDescent="0.2">
      <c r="A1062">
        <v>2060</v>
      </c>
      <c r="B1062" t="s">
        <v>48</v>
      </c>
      <c r="C1062" t="s">
        <v>29</v>
      </c>
      <c r="D1062">
        <v>2024</v>
      </c>
      <c r="E1062" t="s">
        <v>24</v>
      </c>
      <c r="F1062">
        <v>409</v>
      </c>
      <c r="G1062">
        <v>5</v>
      </c>
      <c r="H1062">
        <v>5</v>
      </c>
      <c r="I1062">
        <v>1996000</v>
      </c>
      <c r="J1062">
        <v>4880.2</v>
      </c>
      <c r="K1062">
        <v>4</v>
      </c>
      <c r="L1062" t="s">
        <v>17</v>
      </c>
      <c r="M1062">
        <v>122</v>
      </c>
      <c r="N1062" t="s">
        <v>27</v>
      </c>
      <c r="P1062">
        <f t="shared" si="160"/>
        <v>1996000</v>
      </c>
      <c r="Q1062">
        <f t="shared" si="161"/>
        <v>409</v>
      </c>
      <c r="R1062" t="e">
        <f t="shared" si="162"/>
        <v>#N/A</v>
      </c>
      <c r="S1062" t="e">
        <f t="shared" si="163"/>
        <v>#N/A</v>
      </c>
      <c r="T1062" t="e">
        <f t="shared" si="164"/>
        <v>#N/A</v>
      </c>
      <c r="U1062" t="e">
        <f t="shared" si="165"/>
        <v>#N/A</v>
      </c>
      <c r="V1062" t="e">
        <f t="shared" si="166"/>
        <v>#N/A</v>
      </c>
      <c r="W1062" t="e">
        <f t="shared" si="167"/>
        <v>#N/A</v>
      </c>
      <c r="X1062" t="e">
        <f t="shared" si="168"/>
        <v>#N/A</v>
      </c>
      <c r="Y1062" t="e">
        <f t="shared" si="169"/>
        <v>#N/A</v>
      </c>
    </row>
    <row r="1063" spans="1:25" x14ac:dyDescent="0.2">
      <c r="A1063">
        <v>2061</v>
      </c>
      <c r="B1063" t="s">
        <v>45</v>
      </c>
      <c r="C1063" t="s">
        <v>15</v>
      </c>
      <c r="D1063">
        <v>2023</v>
      </c>
      <c r="E1063" t="s">
        <v>16</v>
      </c>
      <c r="F1063">
        <v>169</v>
      </c>
      <c r="G1063">
        <v>4</v>
      </c>
      <c r="H1063">
        <v>4</v>
      </c>
      <c r="I1063">
        <v>708000</v>
      </c>
      <c r="J1063">
        <v>4189.3</v>
      </c>
      <c r="K1063">
        <v>2</v>
      </c>
      <c r="L1063" t="s">
        <v>20</v>
      </c>
      <c r="M1063">
        <v>89</v>
      </c>
      <c r="N1063" t="s">
        <v>21</v>
      </c>
      <c r="P1063" t="e">
        <f t="shared" si="160"/>
        <v>#N/A</v>
      </c>
      <c r="Q1063" t="e">
        <f t="shared" si="161"/>
        <v>#N/A</v>
      </c>
      <c r="R1063">
        <f t="shared" si="162"/>
        <v>708000</v>
      </c>
      <c r="S1063">
        <f t="shared" si="163"/>
        <v>169</v>
      </c>
      <c r="T1063" t="e">
        <f t="shared" si="164"/>
        <v>#N/A</v>
      </c>
      <c r="U1063" t="e">
        <f t="shared" si="165"/>
        <v>#N/A</v>
      </c>
      <c r="V1063" t="e">
        <f t="shared" si="166"/>
        <v>#N/A</v>
      </c>
      <c r="W1063" t="e">
        <f t="shared" si="167"/>
        <v>#N/A</v>
      </c>
      <c r="X1063" t="e">
        <f t="shared" si="168"/>
        <v>#N/A</v>
      </c>
      <c r="Y1063" t="e">
        <f t="shared" si="169"/>
        <v>#N/A</v>
      </c>
    </row>
    <row r="1064" spans="1:25" x14ac:dyDescent="0.2">
      <c r="A1064">
        <v>2062</v>
      </c>
      <c r="B1064" t="s">
        <v>28</v>
      </c>
      <c r="C1064" t="s">
        <v>15</v>
      </c>
      <c r="D1064">
        <v>2023</v>
      </c>
      <c r="E1064" t="s">
        <v>24</v>
      </c>
      <c r="F1064">
        <v>184</v>
      </c>
      <c r="G1064">
        <v>4</v>
      </c>
      <c r="H1064">
        <v>4</v>
      </c>
      <c r="I1064">
        <v>580000</v>
      </c>
      <c r="J1064">
        <v>3152.2</v>
      </c>
      <c r="K1064">
        <v>5</v>
      </c>
      <c r="L1064" t="s">
        <v>20</v>
      </c>
      <c r="M1064">
        <v>65</v>
      </c>
      <c r="N1064" t="s">
        <v>27</v>
      </c>
      <c r="P1064" t="e">
        <f t="shared" si="160"/>
        <v>#N/A</v>
      </c>
      <c r="Q1064" t="e">
        <f t="shared" si="161"/>
        <v>#N/A</v>
      </c>
      <c r="R1064">
        <f t="shared" si="162"/>
        <v>580000</v>
      </c>
      <c r="S1064">
        <f t="shared" si="163"/>
        <v>184</v>
      </c>
      <c r="T1064" t="e">
        <f t="shared" si="164"/>
        <v>#N/A</v>
      </c>
      <c r="U1064" t="e">
        <f t="shared" si="165"/>
        <v>#N/A</v>
      </c>
      <c r="V1064" t="e">
        <f t="shared" si="166"/>
        <v>#N/A</v>
      </c>
      <c r="W1064" t="e">
        <f t="shared" si="167"/>
        <v>#N/A</v>
      </c>
      <c r="X1064" t="e">
        <f t="shared" si="168"/>
        <v>#N/A</v>
      </c>
      <c r="Y1064" t="e">
        <f t="shared" si="169"/>
        <v>#N/A</v>
      </c>
    </row>
    <row r="1065" spans="1:25" x14ac:dyDescent="0.2">
      <c r="A1065">
        <v>2063</v>
      </c>
      <c r="B1065" t="s">
        <v>41</v>
      </c>
      <c r="C1065" t="s">
        <v>29</v>
      </c>
      <c r="D1065">
        <v>2023</v>
      </c>
      <c r="E1065" t="s">
        <v>30</v>
      </c>
      <c r="F1065">
        <v>287</v>
      </c>
      <c r="G1065">
        <v>4</v>
      </c>
      <c r="H1065">
        <v>4</v>
      </c>
      <c r="I1065">
        <v>2209000</v>
      </c>
      <c r="J1065">
        <v>7696.9</v>
      </c>
      <c r="K1065">
        <v>10</v>
      </c>
      <c r="L1065" t="s">
        <v>20</v>
      </c>
      <c r="M1065">
        <v>16</v>
      </c>
      <c r="N1065" t="s">
        <v>21</v>
      </c>
      <c r="P1065">
        <f t="shared" si="160"/>
        <v>2209000</v>
      </c>
      <c r="Q1065">
        <f t="shared" si="161"/>
        <v>287</v>
      </c>
      <c r="R1065" t="e">
        <f t="shared" si="162"/>
        <v>#N/A</v>
      </c>
      <c r="S1065" t="e">
        <f t="shared" si="163"/>
        <v>#N/A</v>
      </c>
      <c r="T1065" t="e">
        <f t="shared" si="164"/>
        <v>#N/A</v>
      </c>
      <c r="U1065" t="e">
        <f t="shared" si="165"/>
        <v>#N/A</v>
      </c>
      <c r="V1065" t="e">
        <f t="shared" si="166"/>
        <v>#N/A</v>
      </c>
      <c r="W1065" t="e">
        <f t="shared" si="167"/>
        <v>#N/A</v>
      </c>
      <c r="X1065" t="e">
        <f t="shared" si="168"/>
        <v>#N/A</v>
      </c>
      <c r="Y1065" t="e">
        <f t="shared" si="169"/>
        <v>#N/A</v>
      </c>
    </row>
    <row r="1066" spans="1:25" x14ac:dyDescent="0.2">
      <c r="A1066">
        <v>2064</v>
      </c>
      <c r="B1066" t="s">
        <v>14</v>
      </c>
      <c r="C1066" t="s">
        <v>15</v>
      </c>
      <c r="D1066">
        <v>2022</v>
      </c>
      <c r="E1066" t="s">
        <v>26</v>
      </c>
      <c r="F1066">
        <v>112</v>
      </c>
      <c r="G1066">
        <v>4</v>
      </c>
      <c r="H1066">
        <v>4</v>
      </c>
      <c r="I1066">
        <v>398000</v>
      </c>
      <c r="J1066">
        <v>3553.6</v>
      </c>
      <c r="K1066">
        <v>7</v>
      </c>
      <c r="L1066" t="s">
        <v>20</v>
      </c>
      <c r="M1066">
        <v>149</v>
      </c>
      <c r="N1066" t="s">
        <v>18</v>
      </c>
      <c r="P1066" t="e">
        <f t="shared" si="160"/>
        <v>#N/A</v>
      </c>
      <c r="Q1066" t="e">
        <f t="shared" si="161"/>
        <v>#N/A</v>
      </c>
      <c r="R1066">
        <f t="shared" si="162"/>
        <v>398000</v>
      </c>
      <c r="S1066">
        <f t="shared" si="163"/>
        <v>112</v>
      </c>
      <c r="T1066" t="e">
        <f t="shared" si="164"/>
        <v>#N/A</v>
      </c>
      <c r="U1066" t="e">
        <f t="shared" si="165"/>
        <v>#N/A</v>
      </c>
      <c r="V1066" t="e">
        <f t="shared" si="166"/>
        <v>#N/A</v>
      </c>
      <c r="W1066" t="e">
        <f t="shared" si="167"/>
        <v>#N/A</v>
      </c>
      <c r="X1066" t="e">
        <f t="shared" si="168"/>
        <v>#N/A</v>
      </c>
      <c r="Y1066" t="e">
        <f t="shared" si="169"/>
        <v>#N/A</v>
      </c>
    </row>
    <row r="1067" spans="1:25" x14ac:dyDescent="0.2">
      <c r="A1067">
        <v>2065</v>
      </c>
      <c r="B1067" t="s">
        <v>37</v>
      </c>
      <c r="C1067" t="s">
        <v>29</v>
      </c>
      <c r="D1067">
        <v>2021</v>
      </c>
      <c r="E1067" t="s">
        <v>30</v>
      </c>
      <c r="F1067">
        <v>387</v>
      </c>
      <c r="G1067">
        <v>4</v>
      </c>
      <c r="H1067">
        <v>4</v>
      </c>
      <c r="I1067">
        <v>2057000</v>
      </c>
      <c r="J1067">
        <v>5315.2</v>
      </c>
      <c r="K1067">
        <v>5</v>
      </c>
      <c r="L1067" t="s">
        <v>17</v>
      </c>
      <c r="M1067">
        <v>147</v>
      </c>
      <c r="N1067" t="s">
        <v>27</v>
      </c>
      <c r="P1067">
        <f t="shared" si="160"/>
        <v>2057000</v>
      </c>
      <c r="Q1067">
        <f t="shared" si="161"/>
        <v>387</v>
      </c>
      <c r="R1067" t="e">
        <f t="shared" si="162"/>
        <v>#N/A</v>
      </c>
      <c r="S1067" t="e">
        <f t="shared" si="163"/>
        <v>#N/A</v>
      </c>
      <c r="T1067" t="e">
        <f t="shared" si="164"/>
        <v>#N/A</v>
      </c>
      <c r="U1067" t="e">
        <f t="shared" si="165"/>
        <v>#N/A</v>
      </c>
      <c r="V1067" t="e">
        <f t="shared" si="166"/>
        <v>#N/A</v>
      </c>
      <c r="W1067" t="e">
        <f t="shared" si="167"/>
        <v>#N/A</v>
      </c>
      <c r="X1067" t="e">
        <f t="shared" si="168"/>
        <v>#N/A</v>
      </c>
      <c r="Y1067" t="e">
        <f t="shared" si="169"/>
        <v>#N/A</v>
      </c>
    </row>
    <row r="1068" spans="1:25" x14ac:dyDescent="0.2">
      <c r="A1068">
        <v>2066</v>
      </c>
      <c r="B1068" t="s">
        <v>14</v>
      </c>
      <c r="C1068" t="s">
        <v>15</v>
      </c>
      <c r="D1068">
        <v>2021</v>
      </c>
      <c r="E1068" t="s">
        <v>24</v>
      </c>
      <c r="F1068">
        <v>136</v>
      </c>
      <c r="G1068">
        <v>3</v>
      </c>
      <c r="H1068">
        <v>3</v>
      </c>
      <c r="I1068">
        <v>428000</v>
      </c>
      <c r="J1068">
        <v>3147.1</v>
      </c>
      <c r="K1068">
        <v>1</v>
      </c>
      <c r="L1068" t="s">
        <v>17</v>
      </c>
      <c r="M1068">
        <v>130</v>
      </c>
      <c r="N1068" t="s">
        <v>18</v>
      </c>
      <c r="P1068" t="e">
        <f t="shared" si="160"/>
        <v>#N/A</v>
      </c>
      <c r="Q1068" t="e">
        <f t="shared" si="161"/>
        <v>#N/A</v>
      </c>
      <c r="R1068">
        <f t="shared" si="162"/>
        <v>428000</v>
      </c>
      <c r="S1068">
        <f t="shared" si="163"/>
        <v>136</v>
      </c>
      <c r="T1068" t="e">
        <f t="shared" si="164"/>
        <v>#N/A</v>
      </c>
      <c r="U1068" t="e">
        <f t="shared" si="165"/>
        <v>#N/A</v>
      </c>
      <c r="V1068" t="e">
        <f t="shared" si="166"/>
        <v>#N/A</v>
      </c>
      <c r="W1068" t="e">
        <f t="shared" si="167"/>
        <v>#N/A</v>
      </c>
      <c r="X1068" t="e">
        <f t="shared" si="168"/>
        <v>#N/A</v>
      </c>
      <c r="Y1068" t="e">
        <f t="shared" si="169"/>
        <v>#N/A</v>
      </c>
    </row>
    <row r="1069" spans="1:25" x14ac:dyDescent="0.2">
      <c r="A1069">
        <v>2067</v>
      </c>
      <c r="B1069" t="s">
        <v>39</v>
      </c>
      <c r="C1069" t="s">
        <v>38</v>
      </c>
      <c r="D1069">
        <v>2024</v>
      </c>
      <c r="E1069" t="s">
        <v>30</v>
      </c>
      <c r="F1069">
        <v>63</v>
      </c>
      <c r="G1069">
        <v>0</v>
      </c>
      <c r="H1069">
        <v>1</v>
      </c>
      <c r="I1069">
        <v>325000</v>
      </c>
      <c r="J1069">
        <v>5158.7</v>
      </c>
      <c r="K1069">
        <v>4</v>
      </c>
      <c r="L1069" t="s">
        <v>34</v>
      </c>
      <c r="M1069">
        <v>44</v>
      </c>
      <c r="N1069" t="s">
        <v>21</v>
      </c>
      <c r="P1069" t="e">
        <f t="shared" si="160"/>
        <v>#N/A</v>
      </c>
      <c r="Q1069" t="e">
        <f t="shared" si="161"/>
        <v>#N/A</v>
      </c>
      <c r="R1069" t="e">
        <f t="shared" si="162"/>
        <v>#N/A</v>
      </c>
      <c r="S1069" t="e">
        <f t="shared" si="163"/>
        <v>#N/A</v>
      </c>
      <c r="T1069" t="e">
        <f t="shared" si="164"/>
        <v>#N/A</v>
      </c>
      <c r="U1069" t="e">
        <f t="shared" si="165"/>
        <v>#N/A</v>
      </c>
      <c r="V1069">
        <f t="shared" si="166"/>
        <v>325000</v>
      </c>
      <c r="W1069">
        <f t="shared" si="167"/>
        <v>63</v>
      </c>
      <c r="X1069" t="e">
        <f t="shared" si="168"/>
        <v>#N/A</v>
      </c>
      <c r="Y1069" t="e">
        <f t="shared" si="169"/>
        <v>#N/A</v>
      </c>
    </row>
    <row r="1070" spans="1:25" x14ac:dyDescent="0.2">
      <c r="A1070">
        <v>2068</v>
      </c>
      <c r="B1070" t="s">
        <v>19</v>
      </c>
      <c r="C1070" t="s">
        <v>15</v>
      </c>
      <c r="D1070">
        <v>2024</v>
      </c>
      <c r="E1070" t="s">
        <v>16</v>
      </c>
      <c r="F1070">
        <v>184</v>
      </c>
      <c r="G1070">
        <v>4</v>
      </c>
      <c r="H1070">
        <v>4</v>
      </c>
      <c r="I1070">
        <v>631000</v>
      </c>
      <c r="J1070">
        <v>3429.3</v>
      </c>
      <c r="K1070">
        <v>4</v>
      </c>
      <c r="L1070" t="s">
        <v>20</v>
      </c>
      <c r="M1070">
        <v>72</v>
      </c>
      <c r="N1070" t="s">
        <v>21</v>
      </c>
      <c r="P1070" t="e">
        <f t="shared" si="160"/>
        <v>#N/A</v>
      </c>
      <c r="Q1070" t="e">
        <f t="shared" si="161"/>
        <v>#N/A</v>
      </c>
      <c r="R1070">
        <f t="shared" si="162"/>
        <v>631000</v>
      </c>
      <c r="S1070">
        <f t="shared" si="163"/>
        <v>184</v>
      </c>
      <c r="T1070" t="e">
        <f t="shared" si="164"/>
        <v>#N/A</v>
      </c>
      <c r="U1070" t="e">
        <f t="shared" si="165"/>
        <v>#N/A</v>
      </c>
      <c r="V1070" t="e">
        <f t="shared" si="166"/>
        <v>#N/A</v>
      </c>
      <c r="W1070" t="e">
        <f t="shared" si="167"/>
        <v>#N/A</v>
      </c>
      <c r="X1070" t="e">
        <f t="shared" si="168"/>
        <v>#N/A</v>
      </c>
      <c r="Y1070" t="e">
        <f t="shared" si="169"/>
        <v>#N/A</v>
      </c>
    </row>
    <row r="1071" spans="1:25" x14ac:dyDescent="0.2">
      <c r="A1071">
        <v>2069</v>
      </c>
      <c r="B1071" t="s">
        <v>22</v>
      </c>
      <c r="C1071" t="s">
        <v>23</v>
      </c>
      <c r="D1071">
        <v>2023</v>
      </c>
      <c r="E1071" t="s">
        <v>30</v>
      </c>
      <c r="F1071">
        <v>350</v>
      </c>
      <c r="G1071">
        <v>4</v>
      </c>
      <c r="H1071">
        <v>4</v>
      </c>
      <c r="I1071">
        <v>1424000</v>
      </c>
      <c r="J1071">
        <v>4068.6</v>
      </c>
      <c r="K1071">
        <v>7</v>
      </c>
      <c r="L1071" t="s">
        <v>20</v>
      </c>
      <c r="M1071">
        <v>84</v>
      </c>
      <c r="N1071" t="s">
        <v>18</v>
      </c>
      <c r="P1071" t="e">
        <f t="shared" si="160"/>
        <v>#N/A</v>
      </c>
      <c r="Q1071" t="e">
        <f t="shared" si="161"/>
        <v>#N/A</v>
      </c>
      <c r="R1071" t="e">
        <f t="shared" si="162"/>
        <v>#N/A</v>
      </c>
      <c r="S1071" t="e">
        <f t="shared" si="163"/>
        <v>#N/A</v>
      </c>
      <c r="T1071">
        <f t="shared" si="164"/>
        <v>1424000</v>
      </c>
      <c r="U1071">
        <f t="shared" si="165"/>
        <v>350</v>
      </c>
      <c r="V1071" t="e">
        <f t="shared" si="166"/>
        <v>#N/A</v>
      </c>
      <c r="W1071" t="e">
        <f t="shared" si="167"/>
        <v>#N/A</v>
      </c>
      <c r="X1071" t="e">
        <f t="shared" si="168"/>
        <v>#N/A</v>
      </c>
      <c r="Y1071" t="e">
        <f t="shared" si="169"/>
        <v>#N/A</v>
      </c>
    </row>
    <row r="1072" spans="1:25" x14ac:dyDescent="0.2">
      <c r="A1072">
        <v>2070</v>
      </c>
      <c r="B1072" t="s">
        <v>32</v>
      </c>
      <c r="C1072" t="s">
        <v>15</v>
      </c>
      <c r="D1072">
        <v>2022</v>
      </c>
      <c r="E1072" t="s">
        <v>30</v>
      </c>
      <c r="F1072">
        <v>94</v>
      </c>
      <c r="G1072">
        <v>3</v>
      </c>
      <c r="H1072">
        <v>3</v>
      </c>
      <c r="I1072">
        <v>263000</v>
      </c>
      <c r="J1072">
        <v>2797.9</v>
      </c>
      <c r="K1072">
        <v>2</v>
      </c>
      <c r="L1072" t="s">
        <v>17</v>
      </c>
      <c r="M1072">
        <v>149</v>
      </c>
      <c r="N1072" t="s">
        <v>18</v>
      </c>
      <c r="P1072" t="e">
        <f t="shared" si="160"/>
        <v>#N/A</v>
      </c>
      <c r="Q1072" t="e">
        <f t="shared" si="161"/>
        <v>#N/A</v>
      </c>
      <c r="R1072">
        <f t="shared" si="162"/>
        <v>263000</v>
      </c>
      <c r="S1072">
        <f t="shared" si="163"/>
        <v>94</v>
      </c>
      <c r="T1072" t="e">
        <f t="shared" si="164"/>
        <v>#N/A</v>
      </c>
      <c r="U1072" t="e">
        <f t="shared" si="165"/>
        <v>#N/A</v>
      </c>
      <c r="V1072" t="e">
        <f t="shared" si="166"/>
        <v>#N/A</v>
      </c>
      <c r="W1072" t="e">
        <f t="shared" si="167"/>
        <v>#N/A</v>
      </c>
      <c r="X1072" t="e">
        <f t="shared" si="168"/>
        <v>#N/A</v>
      </c>
      <c r="Y1072" t="e">
        <f t="shared" si="169"/>
        <v>#N/A</v>
      </c>
    </row>
    <row r="1073" spans="1:25" x14ac:dyDescent="0.2">
      <c r="A1073">
        <v>2071</v>
      </c>
      <c r="B1073" t="s">
        <v>33</v>
      </c>
      <c r="C1073" t="s">
        <v>29</v>
      </c>
      <c r="D1073">
        <v>2023</v>
      </c>
      <c r="E1073" t="s">
        <v>26</v>
      </c>
      <c r="F1073">
        <v>356</v>
      </c>
      <c r="G1073">
        <v>5</v>
      </c>
      <c r="H1073">
        <v>5</v>
      </c>
      <c r="I1073">
        <v>1493000</v>
      </c>
      <c r="J1073">
        <v>4193.8</v>
      </c>
      <c r="K1073">
        <v>2</v>
      </c>
      <c r="L1073" t="s">
        <v>34</v>
      </c>
      <c r="M1073">
        <v>28</v>
      </c>
      <c r="N1073" t="s">
        <v>27</v>
      </c>
      <c r="P1073">
        <f t="shared" si="160"/>
        <v>1493000</v>
      </c>
      <c r="Q1073">
        <f t="shared" si="161"/>
        <v>356</v>
      </c>
      <c r="R1073" t="e">
        <f t="shared" si="162"/>
        <v>#N/A</v>
      </c>
      <c r="S1073" t="e">
        <f t="shared" si="163"/>
        <v>#N/A</v>
      </c>
      <c r="T1073" t="e">
        <f t="shared" si="164"/>
        <v>#N/A</v>
      </c>
      <c r="U1073" t="e">
        <f t="shared" si="165"/>
        <v>#N/A</v>
      </c>
      <c r="V1073" t="e">
        <f t="shared" si="166"/>
        <v>#N/A</v>
      </c>
      <c r="W1073" t="e">
        <f t="shared" si="167"/>
        <v>#N/A</v>
      </c>
      <c r="X1073" t="e">
        <f t="shared" si="168"/>
        <v>#N/A</v>
      </c>
      <c r="Y1073" t="e">
        <f t="shared" si="169"/>
        <v>#N/A</v>
      </c>
    </row>
    <row r="1074" spans="1:25" x14ac:dyDescent="0.2">
      <c r="A1074">
        <v>2072</v>
      </c>
      <c r="B1074" t="s">
        <v>43</v>
      </c>
      <c r="C1074" t="s">
        <v>15</v>
      </c>
      <c r="D1074">
        <v>2022</v>
      </c>
      <c r="E1074" t="s">
        <v>26</v>
      </c>
      <c r="F1074">
        <v>108</v>
      </c>
      <c r="G1074">
        <v>3</v>
      </c>
      <c r="H1074">
        <v>3</v>
      </c>
      <c r="I1074">
        <v>474000</v>
      </c>
      <c r="J1074">
        <v>4388.8999999999996</v>
      </c>
      <c r="K1074">
        <v>15</v>
      </c>
      <c r="L1074" t="s">
        <v>34</v>
      </c>
      <c r="M1074">
        <v>114</v>
      </c>
      <c r="N1074" t="s">
        <v>27</v>
      </c>
      <c r="P1074" t="e">
        <f t="shared" si="160"/>
        <v>#N/A</v>
      </c>
      <c r="Q1074" t="e">
        <f t="shared" si="161"/>
        <v>#N/A</v>
      </c>
      <c r="R1074">
        <f t="shared" si="162"/>
        <v>474000</v>
      </c>
      <c r="S1074">
        <f t="shared" si="163"/>
        <v>108</v>
      </c>
      <c r="T1074" t="e">
        <f t="shared" si="164"/>
        <v>#N/A</v>
      </c>
      <c r="U1074" t="e">
        <f t="shared" si="165"/>
        <v>#N/A</v>
      </c>
      <c r="V1074" t="e">
        <f t="shared" si="166"/>
        <v>#N/A</v>
      </c>
      <c r="W1074" t="e">
        <f t="shared" si="167"/>
        <v>#N/A</v>
      </c>
      <c r="X1074" t="e">
        <f t="shared" si="168"/>
        <v>#N/A</v>
      </c>
      <c r="Y1074" t="e">
        <f t="shared" si="169"/>
        <v>#N/A</v>
      </c>
    </row>
    <row r="1075" spans="1:25" x14ac:dyDescent="0.2">
      <c r="A1075">
        <v>2073</v>
      </c>
      <c r="B1075" t="s">
        <v>31</v>
      </c>
      <c r="C1075" t="s">
        <v>36</v>
      </c>
      <c r="D1075">
        <v>2021</v>
      </c>
      <c r="E1075" t="s">
        <v>16</v>
      </c>
      <c r="F1075">
        <v>314</v>
      </c>
      <c r="G1075">
        <v>4</v>
      </c>
      <c r="H1075">
        <v>4</v>
      </c>
      <c r="I1075">
        <v>590000</v>
      </c>
      <c r="J1075">
        <v>1879</v>
      </c>
      <c r="K1075">
        <v>3</v>
      </c>
      <c r="L1075" t="s">
        <v>17</v>
      </c>
      <c r="M1075">
        <v>29</v>
      </c>
      <c r="N1075" t="s">
        <v>21</v>
      </c>
      <c r="P1075" t="e">
        <f t="shared" si="160"/>
        <v>#N/A</v>
      </c>
      <c r="Q1075" t="e">
        <f t="shared" si="161"/>
        <v>#N/A</v>
      </c>
      <c r="R1075" t="e">
        <f t="shared" si="162"/>
        <v>#N/A</v>
      </c>
      <c r="S1075" t="e">
        <f t="shared" si="163"/>
        <v>#N/A</v>
      </c>
      <c r="T1075" t="e">
        <f t="shared" si="164"/>
        <v>#N/A</v>
      </c>
      <c r="U1075" t="e">
        <f t="shared" si="165"/>
        <v>#N/A</v>
      </c>
      <c r="V1075" t="e">
        <f t="shared" si="166"/>
        <v>#N/A</v>
      </c>
      <c r="W1075" t="e">
        <f t="shared" si="167"/>
        <v>#N/A</v>
      </c>
      <c r="X1075">
        <f t="shared" si="168"/>
        <v>590000</v>
      </c>
      <c r="Y1075">
        <f t="shared" si="169"/>
        <v>314</v>
      </c>
    </row>
    <row r="1076" spans="1:25" x14ac:dyDescent="0.2">
      <c r="A1076">
        <v>2074</v>
      </c>
      <c r="B1076" t="s">
        <v>33</v>
      </c>
      <c r="C1076" t="s">
        <v>15</v>
      </c>
      <c r="D1076">
        <v>2023</v>
      </c>
      <c r="E1076" t="s">
        <v>26</v>
      </c>
      <c r="F1076">
        <v>121</v>
      </c>
      <c r="G1076">
        <v>4</v>
      </c>
      <c r="H1076">
        <v>4</v>
      </c>
      <c r="I1076">
        <v>327000</v>
      </c>
      <c r="J1076">
        <v>2702.5</v>
      </c>
      <c r="K1076">
        <v>10</v>
      </c>
      <c r="L1076" t="s">
        <v>34</v>
      </c>
      <c r="M1076">
        <v>68</v>
      </c>
      <c r="N1076" t="s">
        <v>27</v>
      </c>
      <c r="P1076" t="e">
        <f t="shared" si="160"/>
        <v>#N/A</v>
      </c>
      <c r="Q1076" t="e">
        <f t="shared" si="161"/>
        <v>#N/A</v>
      </c>
      <c r="R1076">
        <f t="shared" si="162"/>
        <v>327000</v>
      </c>
      <c r="S1076">
        <f t="shared" si="163"/>
        <v>121</v>
      </c>
      <c r="T1076" t="e">
        <f t="shared" si="164"/>
        <v>#N/A</v>
      </c>
      <c r="U1076" t="e">
        <f t="shared" si="165"/>
        <v>#N/A</v>
      </c>
      <c r="V1076" t="e">
        <f t="shared" si="166"/>
        <v>#N/A</v>
      </c>
      <c r="W1076" t="e">
        <f t="shared" si="167"/>
        <v>#N/A</v>
      </c>
      <c r="X1076" t="e">
        <f t="shared" si="168"/>
        <v>#N/A</v>
      </c>
      <c r="Y1076" t="e">
        <f t="shared" si="169"/>
        <v>#N/A</v>
      </c>
    </row>
    <row r="1077" spans="1:25" x14ac:dyDescent="0.2">
      <c r="A1077">
        <v>2075</v>
      </c>
      <c r="B1077" t="s">
        <v>31</v>
      </c>
      <c r="C1077" t="s">
        <v>15</v>
      </c>
      <c r="D1077">
        <v>2021</v>
      </c>
      <c r="E1077" t="s">
        <v>30</v>
      </c>
      <c r="F1077">
        <v>158</v>
      </c>
      <c r="G1077">
        <v>4</v>
      </c>
      <c r="H1077">
        <v>4</v>
      </c>
      <c r="I1077">
        <v>360000</v>
      </c>
      <c r="J1077">
        <v>2278.5</v>
      </c>
      <c r="K1077">
        <v>5</v>
      </c>
      <c r="L1077" t="s">
        <v>20</v>
      </c>
      <c r="M1077">
        <v>29</v>
      </c>
      <c r="N1077" t="s">
        <v>21</v>
      </c>
      <c r="P1077" t="e">
        <f t="shared" si="160"/>
        <v>#N/A</v>
      </c>
      <c r="Q1077" t="e">
        <f t="shared" si="161"/>
        <v>#N/A</v>
      </c>
      <c r="R1077">
        <f t="shared" si="162"/>
        <v>360000</v>
      </c>
      <c r="S1077">
        <f t="shared" si="163"/>
        <v>158</v>
      </c>
      <c r="T1077" t="e">
        <f t="shared" si="164"/>
        <v>#N/A</v>
      </c>
      <c r="U1077" t="e">
        <f t="shared" si="165"/>
        <v>#N/A</v>
      </c>
      <c r="V1077" t="e">
        <f t="shared" si="166"/>
        <v>#N/A</v>
      </c>
      <c r="W1077" t="e">
        <f t="shared" si="167"/>
        <v>#N/A</v>
      </c>
      <c r="X1077" t="e">
        <f t="shared" si="168"/>
        <v>#N/A</v>
      </c>
      <c r="Y1077" t="e">
        <f t="shared" si="169"/>
        <v>#N/A</v>
      </c>
    </row>
    <row r="1078" spans="1:25" x14ac:dyDescent="0.2">
      <c r="A1078">
        <v>2076</v>
      </c>
      <c r="B1078" t="s">
        <v>47</v>
      </c>
      <c r="C1078" t="s">
        <v>29</v>
      </c>
      <c r="D1078">
        <v>2023</v>
      </c>
      <c r="E1078" t="s">
        <v>16</v>
      </c>
      <c r="F1078">
        <v>464</v>
      </c>
      <c r="G1078">
        <v>5</v>
      </c>
      <c r="H1078">
        <v>5</v>
      </c>
      <c r="I1078">
        <v>2183000</v>
      </c>
      <c r="J1078">
        <v>4704.7</v>
      </c>
      <c r="K1078">
        <v>7</v>
      </c>
      <c r="L1078" t="s">
        <v>17</v>
      </c>
      <c r="M1078">
        <v>124</v>
      </c>
      <c r="N1078" t="s">
        <v>21</v>
      </c>
      <c r="P1078">
        <f t="shared" si="160"/>
        <v>2183000</v>
      </c>
      <c r="Q1078">
        <f t="shared" si="161"/>
        <v>464</v>
      </c>
      <c r="R1078" t="e">
        <f t="shared" si="162"/>
        <v>#N/A</v>
      </c>
      <c r="S1078" t="e">
        <f t="shared" si="163"/>
        <v>#N/A</v>
      </c>
      <c r="T1078" t="e">
        <f t="shared" si="164"/>
        <v>#N/A</v>
      </c>
      <c r="U1078" t="e">
        <f t="shared" si="165"/>
        <v>#N/A</v>
      </c>
      <c r="V1078" t="e">
        <f t="shared" si="166"/>
        <v>#N/A</v>
      </c>
      <c r="W1078" t="e">
        <f t="shared" si="167"/>
        <v>#N/A</v>
      </c>
      <c r="X1078" t="e">
        <f t="shared" si="168"/>
        <v>#N/A</v>
      </c>
      <c r="Y1078" t="e">
        <f t="shared" si="169"/>
        <v>#N/A</v>
      </c>
    </row>
    <row r="1079" spans="1:25" x14ac:dyDescent="0.2">
      <c r="A1079">
        <v>2077</v>
      </c>
      <c r="B1079" t="s">
        <v>32</v>
      </c>
      <c r="C1079" t="s">
        <v>29</v>
      </c>
      <c r="D1079">
        <v>2024</v>
      </c>
      <c r="E1079" t="s">
        <v>16</v>
      </c>
      <c r="F1079">
        <v>421</v>
      </c>
      <c r="G1079">
        <v>6</v>
      </c>
      <c r="H1079">
        <v>6</v>
      </c>
      <c r="I1079">
        <v>1853000</v>
      </c>
      <c r="J1079">
        <v>4401.3999999999996</v>
      </c>
      <c r="K1079">
        <v>15</v>
      </c>
      <c r="L1079" t="s">
        <v>17</v>
      </c>
      <c r="M1079">
        <v>167</v>
      </c>
      <c r="N1079" t="s">
        <v>18</v>
      </c>
      <c r="P1079">
        <f t="shared" si="160"/>
        <v>1853000</v>
      </c>
      <c r="Q1079">
        <f t="shared" si="161"/>
        <v>421</v>
      </c>
      <c r="R1079" t="e">
        <f t="shared" si="162"/>
        <v>#N/A</v>
      </c>
      <c r="S1079" t="e">
        <f t="shared" si="163"/>
        <v>#N/A</v>
      </c>
      <c r="T1079" t="e">
        <f t="shared" si="164"/>
        <v>#N/A</v>
      </c>
      <c r="U1079" t="e">
        <f t="shared" si="165"/>
        <v>#N/A</v>
      </c>
      <c r="V1079" t="e">
        <f t="shared" si="166"/>
        <v>#N/A</v>
      </c>
      <c r="W1079" t="e">
        <f t="shared" si="167"/>
        <v>#N/A</v>
      </c>
      <c r="X1079" t="e">
        <f t="shared" si="168"/>
        <v>#N/A</v>
      </c>
      <c r="Y1079" t="e">
        <f t="shared" si="169"/>
        <v>#N/A</v>
      </c>
    </row>
    <row r="1080" spans="1:25" x14ac:dyDescent="0.2">
      <c r="A1080">
        <v>2078</v>
      </c>
      <c r="B1080" t="s">
        <v>22</v>
      </c>
      <c r="C1080" t="s">
        <v>29</v>
      </c>
      <c r="D1080">
        <v>2021</v>
      </c>
      <c r="E1080" t="s">
        <v>24</v>
      </c>
      <c r="F1080">
        <v>413</v>
      </c>
      <c r="G1080">
        <v>4</v>
      </c>
      <c r="H1080">
        <v>4</v>
      </c>
      <c r="I1080">
        <v>1892000</v>
      </c>
      <c r="J1080">
        <v>4581.1000000000004</v>
      </c>
      <c r="K1080">
        <v>5</v>
      </c>
      <c r="L1080" t="s">
        <v>17</v>
      </c>
      <c r="M1080">
        <v>76</v>
      </c>
      <c r="N1080" t="s">
        <v>18</v>
      </c>
      <c r="P1080">
        <f t="shared" si="160"/>
        <v>1892000</v>
      </c>
      <c r="Q1080">
        <f t="shared" si="161"/>
        <v>413</v>
      </c>
      <c r="R1080" t="e">
        <f t="shared" si="162"/>
        <v>#N/A</v>
      </c>
      <c r="S1080" t="e">
        <f t="shared" si="163"/>
        <v>#N/A</v>
      </c>
      <c r="T1080" t="e">
        <f t="shared" si="164"/>
        <v>#N/A</v>
      </c>
      <c r="U1080" t="e">
        <f t="shared" si="165"/>
        <v>#N/A</v>
      </c>
      <c r="V1080" t="e">
        <f t="shared" si="166"/>
        <v>#N/A</v>
      </c>
      <c r="W1080" t="e">
        <f t="shared" si="167"/>
        <v>#N/A</v>
      </c>
      <c r="X1080" t="e">
        <f t="shared" si="168"/>
        <v>#N/A</v>
      </c>
      <c r="Y1080" t="e">
        <f t="shared" si="169"/>
        <v>#N/A</v>
      </c>
    </row>
    <row r="1081" spans="1:25" x14ac:dyDescent="0.2">
      <c r="A1081">
        <v>2079</v>
      </c>
      <c r="B1081" t="s">
        <v>40</v>
      </c>
      <c r="C1081" t="s">
        <v>29</v>
      </c>
      <c r="D1081">
        <v>2022</v>
      </c>
      <c r="E1081" t="s">
        <v>16</v>
      </c>
      <c r="F1081">
        <v>390</v>
      </c>
      <c r="G1081">
        <v>4</v>
      </c>
      <c r="H1081">
        <v>4</v>
      </c>
      <c r="I1081">
        <v>1799000</v>
      </c>
      <c r="J1081">
        <v>4612.8</v>
      </c>
      <c r="K1081">
        <v>5</v>
      </c>
      <c r="L1081" t="s">
        <v>20</v>
      </c>
      <c r="M1081">
        <v>113</v>
      </c>
      <c r="N1081" t="s">
        <v>18</v>
      </c>
      <c r="P1081">
        <f t="shared" si="160"/>
        <v>1799000</v>
      </c>
      <c r="Q1081">
        <f t="shared" si="161"/>
        <v>390</v>
      </c>
      <c r="R1081" t="e">
        <f t="shared" si="162"/>
        <v>#N/A</v>
      </c>
      <c r="S1081" t="e">
        <f t="shared" si="163"/>
        <v>#N/A</v>
      </c>
      <c r="T1081" t="e">
        <f t="shared" si="164"/>
        <v>#N/A</v>
      </c>
      <c r="U1081" t="e">
        <f t="shared" si="165"/>
        <v>#N/A</v>
      </c>
      <c r="V1081" t="e">
        <f t="shared" si="166"/>
        <v>#N/A</v>
      </c>
      <c r="W1081" t="e">
        <f t="shared" si="167"/>
        <v>#N/A</v>
      </c>
      <c r="X1081" t="e">
        <f t="shared" si="168"/>
        <v>#N/A</v>
      </c>
      <c r="Y1081" t="e">
        <f t="shared" si="169"/>
        <v>#N/A</v>
      </c>
    </row>
    <row r="1082" spans="1:25" x14ac:dyDescent="0.2">
      <c r="A1082">
        <v>2080</v>
      </c>
      <c r="B1082" t="s">
        <v>39</v>
      </c>
      <c r="C1082" t="s">
        <v>36</v>
      </c>
      <c r="D1082">
        <v>2021</v>
      </c>
      <c r="E1082" t="s">
        <v>26</v>
      </c>
      <c r="F1082">
        <v>334</v>
      </c>
      <c r="G1082">
        <v>4</v>
      </c>
      <c r="H1082">
        <v>4</v>
      </c>
      <c r="I1082">
        <v>849000</v>
      </c>
      <c r="J1082">
        <v>2541.9</v>
      </c>
      <c r="K1082">
        <v>10</v>
      </c>
      <c r="L1082" t="s">
        <v>20</v>
      </c>
      <c r="M1082">
        <v>85</v>
      </c>
      <c r="N1082" t="s">
        <v>21</v>
      </c>
      <c r="P1082" t="e">
        <f t="shared" si="160"/>
        <v>#N/A</v>
      </c>
      <c r="Q1082" t="e">
        <f t="shared" si="161"/>
        <v>#N/A</v>
      </c>
      <c r="R1082" t="e">
        <f t="shared" si="162"/>
        <v>#N/A</v>
      </c>
      <c r="S1082" t="e">
        <f t="shared" si="163"/>
        <v>#N/A</v>
      </c>
      <c r="T1082" t="e">
        <f t="shared" si="164"/>
        <v>#N/A</v>
      </c>
      <c r="U1082" t="e">
        <f t="shared" si="165"/>
        <v>#N/A</v>
      </c>
      <c r="V1082" t="e">
        <f t="shared" si="166"/>
        <v>#N/A</v>
      </c>
      <c r="W1082" t="e">
        <f t="shared" si="167"/>
        <v>#N/A</v>
      </c>
      <c r="X1082">
        <f t="shared" si="168"/>
        <v>849000</v>
      </c>
      <c r="Y1082">
        <f t="shared" si="169"/>
        <v>334</v>
      </c>
    </row>
    <row r="1083" spans="1:25" x14ac:dyDescent="0.2">
      <c r="A1083">
        <v>2081</v>
      </c>
      <c r="B1083" t="s">
        <v>40</v>
      </c>
      <c r="C1083" t="s">
        <v>15</v>
      </c>
      <c r="D1083">
        <v>2023</v>
      </c>
      <c r="E1083" t="s">
        <v>30</v>
      </c>
      <c r="F1083">
        <v>193</v>
      </c>
      <c r="G1083">
        <v>2</v>
      </c>
      <c r="H1083">
        <v>2</v>
      </c>
      <c r="I1083">
        <v>731000</v>
      </c>
      <c r="J1083">
        <v>3787.6</v>
      </c>
      <c r="K1083">
        <v>1</v>
      </c>
      <c r="L1083" t="s">
        <v>17</v>
      </c>
      <c r="M1083">
        <v>179</v>
      </c>
      <c r="N1083" t="s">
        <v>18</v>
      </c>
      <c r="P1083" t="e">
        <f t="shared" si="160"/>
        <v>#N/A</v>
      </c>
      <c r="Q1083" t="e">
        <f t="shared" si="161"/>
        <v>#N/A</v>
      </c>
      <c r="R1083">
        <f t="shared" si="162"/>
        <v>731000</v>
      </c>
      <c r="S1083">
        <f t="shared" si="163"/>
        <v>193</v>
      </c>
      <c r="T1083" t="e">
        <f t="shared" si="164"/>
        <v>#N/A</v>
      </c>
      <c r="U1083" t="e">
        <f t="shared" si="165"/>
        <v>#N/A</v>
      </c>
      <c r="V1083" t="e">
        <f t="shared" si="166"/>
        <v>#N/A</v>
      </c>
      <c r="W1083" t="e">
        <f t="shared" si="167"/>
        <v>#N/A</v>
      </c>
      <c r="X1083" t="e">
        <f t="shared" si="168"/>
        <v>#N/A</v>
      </c>
      <c r="Y1083" t="e">
        <f t="shared" si="169"/>
        <v>#N/A</v>
      </c>
    </row>
    <row r="1084" spans="1:25" x14ac:dyDescent="0.2">
      <c r="A1084">
        <v>2082</v>
      </c>
      <c r="B1084" t="s">
        <v>22</v>
      </c>
      <c r="C1084" t="s">
        <v>36</v>
      </c>
      <c r="D1084">
        <v>2021</v>
      </c>
      <c r="E1084" t="s">
        <v>24</v>
      </c>
      <c r="F1084">
        <v>392</v>
      </c>
      <c r="G1084">
        <v>5</v>
      </c>
      <c r="H1084">
        <v>5</v>
      </c>
      <c r="I1084">
        <v>977000</v>
      </c>
      <c r="J1084">
        <v>2492.3000000000002</v>
      </c>
      <c r="K1084">
        <v>20</v>
      </c>
      <c r="L1084" t="s">
        <v>20</v>
      </c>
      <c r="M1084">
        <v>6</v>
      </c>
      <c r="N1084" t="s">
        <v>18</v>
      </c>
      <c r="P1084" t="e">
        <f t="shared" si="160"/>
        <v>#N/A</v>
      </c>
      <c r="Q1084" t="e">
        <f t="shared" si="161"/>
        <v>#N/A</v>
      </c>
      <c r="R1084" t="e">
        <f t="shared" si="162"/>
        <v>#N/A</v>
      </c>
      <c r="S1084" t="e">
        <f t="shared" si="163"/>
        <v>#N/A</v>
      </c>
      <c r="T1084" t="e">
        <f t="shared" si="164"/>
        <v>#N/A</v>
      </c>
      <c r="U1084" t="e">
        <f t="shared" si="165"/>
        <v>#N/A</v>
      </c>
      <c r="V1084" t="e">
        <f t="shared" si="166"/>
        <v>#N/A</v>
      </c>
      <c r="W1084" t="e">
        <f t="shared" si="167"/>
        <v>#N/A</v>
      </c>
      <c r="X1084">
        <f t="shared" si="168"/>
        <v>977000</v>
      </c>
      <c r="Y1084">
        <f t="shared" si="169"/>
        <v>392</v>
      </c>
    </row>
    <row r="1085" spans="1:25" x14ac:dyDescent="0.2">
      <c r="A1085">
        <v>2083</v>
      </c>
      <c r="B1085" t="s">
        <v>42</v>
      </c>
      <c r="C1085" t="s">
        <v>38</v>
      </c>
      <c r="D1085">
        <v>2024</v>
      </c>
      <c r="E1085" t="s">
        <v>26</v>
      </c>
      <c r="F1085">
        <v>52</v>
      </c>
      <c r="G1085">
        <v>0</v>
      </c>
      <c r="H1085">
        <v>1</v>
      </c>
      <c r="I1085">
        <v>358000</v>
      </c>
      <c r="J1085">
        <v>6884.6</v>
      </c>
      <c r="K1085">
        <v>4</v>
      </c>
      <c r="L1085" t="s">
        <v>17</v>
      </c>
      <c r="M1085">
        <v>110</v>
      </c>
      <c r="N1085" t="s">
        <v>21</v>
      </c>
      <c r="P1085" t="e">
        <f t="shared" si="160"/>
        <v>#N/A</v>
      </c>
      <c r="Q1085" t="e">
        <f t="shared" si="161"/>
        <v>#N/A</v>
      </c>
      <c r="R1085" t="e">
        <f t="shared" si="162"/>
        <v>#N/A</v>
      </c>
      <c r="S1085" t="e">
        <f t="shared" si="163"/>
        <v>#N/A</v>
      </c>
      <c r="T1085" t="e">
        <f t="shared" si="164"/>
        <v>#N/A</v>
      </c>
      <c r="U1085" t="e">
        <f t="shared" si="165"/>
        <v>#N/A</v>
      </c>
      <c r="V1085">
        <f t="shared" si="166"/>
        <v>358000</v>
      </c>
      <c r="W1085">
        <f t="shared" si="167"/>
        <v>52</v>
      </c>
      <c r="X1085" t="e">
        <f t="shared" si="168"/>
        <v>#N/A</v>
      </c>
      <c r="Y1085" t="e">
        <f t="shared" si="169"/>
        <v>#N/A</v>
      </c>
    </row>
    <row r="1086" spans="1:25" x14ac:dyDescent="0.2">
      <c r="A1086">
        <v>2084</v>
      </c>
      <c r="B1086" t="s">
        <v>31</v>
      </c>
      <c r="C1086" t="s">
        <v>23</v>
      </c>
      <c r="D1086">
        <v>2024</v>
      </c>
      <c r="E1086" t="s">
        <v>26</v>
      </c>
      <c r="F1086">
        <v>275</v>
      </c>
      <c r="G1086">
        <v>4</v>
      </c>
      <c r="H1086">
        <v>4</v>
      </c>
      <c r="I1086">
        <v>965000</v>
      </c>
      <c r="J1086">
        <v>3509.1</v>
      </c>
      <c r="K1086">
        <v>10</v>
      </c>
      <c r="L1086" t="s">
        <v>17</v>
      </c>
      <c r="M1086">
        <v>129</v>
      </c>
      <c r="N1086" t="s">
        <v>21</v>
      </c>
      <c r="P1086" t="e">
        <f t="shared" si="160"/>
        <v>#N/A</v>
      </c>
      <c r="Q1086" t="e">
        <f t="shared" si="161"/>
        <v>#N/A</v>
      </c>
      <c r="R1086" t="e">
        <f t="shared" si="162"/>
        <v>#N/A</v>
      </c>
      <c r="S1086" t="e">
        <f t="shared" si="163"/>
        <v>#N/A</v>
      </c>
      <c r="T1086">
        <f t="shared" si="164"/>
        <v>965000</v>
      </c>
      <c r="U1086">
        <f t="shared" si="165"/>
        <v>275</v>
      </c>
      <c r="V1086" t="e">
        <f t="shared" si="166"/>
        <v>#N/A</v>
      </c>
      <c r="W1086" t="e">
        <f t="shared" si="167"/>
        <v>#N/A</v>
      </c>
      <c r="X1086" t="e">
        <f t="shared" si="168"/>
        <v>#N/A</v>
      </c>
      <c r="Y1086" t="e">
        <f t="shared" si="169"/>
        <v>#N/A</v>
      </c>
    </row>
    <row r="1087" spans="1:25" x14ac:dyDescent="0.2">
      <c r="A1087">
        <v>2085</v>
      </c>
      <c r="B1087" t="s">
        <v>37</v>
      </c>
      <c r="C1087" t="s">
        <v>29</v>
      </c>
      <c r="D1087">
        <v>2024</v>
      </c>
      <c r="E1087" t="s">
        <v>26</v>
      </c>
      <c r="F1087">
        <v>456</v>
      </c>
      <c r="G1087">
        <v>5</v>
      </c>
      <c r="H1087">
        <v>5</v>
      </c>
      <c r="I1087">
        <v>3107000</v>
      </c>
      <c r="J1087">
        <v>6813.6</v>
      </c>
      <c r="K1087">
        <v>10</v>
      </c>
      <c r="L1087" t="s">
        <v>17</v>
      </c>
      <c r="M1087">
        <v>143</v>
      </c>
      <c r="N1087" t="s">
        <v>27</v>
      </c>
      <c r="P1087">
        <f t="shared" si="160"/>
        <v>3107000</v>
      </c>
      <c r="Q1087">
        <f t="shared" si="161"/>
        <v>456</v>
      </c>
      <c r="R1087" t="e">
        <f t="shared" si="162"/>
        <v>#N/A</v>
      </c>
      <c r="S1087" t="e">
        <f t="shared" si="163"/>
        <v>#N/A</v>
      </c>
      <c r="T1087" t="e">
        <f t="shared" si="164"/>
        <v>#N/A</v>
      </c>
      <c r="U1087" t="e">
        <f t="shared" si="165"/>
        <v>#N/A</v>
      </c>
      <c r="V1087" t="e">
        <f t="shared" si="166"/>
        <v>#N/A</v>
      </c>
      <c r="W1087" t="e">
        <f t="shared" si="167"/>
        <v>#N/A</v>
      </c>
      <c r="X1087" t="e">
        <f t="shared" si="168"/>
        <v>#N/A</v>
      </c>
      <c r="Y1087" t="e">
        <f t="shared" si="169"/>
        <v>#N/A</v>
      </c>
    </row>
    <row r="1088" spans="1:25" x14ac:dyDescent="0.2">
      <c r="A1088">
        <v>2086</v>
      </c>
      <c r="B1088" t="s">
        <v>22</v>
      </c>
      <c r="C1088" t="s">
        <v>15</v>
      </c>
      <c r="D1088">
        <v>2023</v>
      </c>
      <c r="E1088" t="s">
        <v>16</v>
      </c>
      <c r="F1088">
        <v>109</v>
      </c>
      <c r="G1088">
        <v>3</v>
      </c>
      <c r="H1088">
        <v>3</v>
      </c>
      <c r="I1088">
        <v>410000</v>
      </c>
      <c r="J1088">
        <v>3761.5</v>
      </c>
      <c r="K1088">
        <v>0</v>
      </c>
      <c r="L1088" t="s">
        <v>17</v>
      </c>
      <c r="M1088">
        <v>14</v>
      </c>
      <c r="N1088" t="s">
        <v>18</v>
      </c>
      <c r="P1088" t="e">
        <f t="shared" si="160"/>
        <v>#N/A</v>
      </c>
      <c r="Q1088" t="e">
        <f t="shared" si="161"/>
        <v>#N/A</v>
      </c>
      <c r="R1088">
        <f t="shared" si="162"/>
        <v>410000</v>
      </c>
      <c r="S1088">
        <f t="shared" si="163"/>
        <v>109</v>
      </c>
      <c r="T1088" t="e">
        <f t="shared" si="164"/>
        <v>#N/A</v>
      </c>
      <c r="U1088" t="e">
        <f t="shared" si="165"/>
        <v>#N/A</v>
      </c>
      <c r="V1088" t="e">
        <f t="shared" si="166"/>
        <v>#N/A</v>
      </c>
      <c r="W1088" t="e">
        <f t="shared" si="167"/>
        <v>#N/A</v>
      </c>
      <c r="X1088" t="e">
        <f t="shared" si="168"/>
        <v>#N/A</v>
      </c>
      <c r="Y1088" t="e">
        <f t="shared" si="169"/>
        <v>#N/A</v>
      </c>
    </row>
    <row r="1089" spans="1:25" x14ac:dyDescent="0.2">
      <c r="A1089">
        <v>2087</v>
      </c>
      <c r="B1089" t="s">
        <v>43</v>
      </c>
      <c r="C1089" t="s">
        <v>23</v>
      </c>
      <c r="D1089">
        <v>2023</v>
      </c>
      <c r="E1089" t="s">
        <v>24</v>
      </c>
      <c r="F1089">
        <v>287</v>
      </c>
      <c r="G1089">
        <v>5</v>
      </c>
      <c r="H1089">
        <v>5</v>
      </c>
      <c r="I1089">
        <v>1491000</v>
      </c>
      <c r="J1089">
        <v>5195.1000000000004</v>
      </c>
      <c r="K1089">
        <v>7</v>
      </c>
      <c r="L1089" t="s">
        <v>17</v>
      </c>
      <c r="M1089">
        <v>107</v>
      </c>
      <c r="N1089" t="s">
        <v>27</v>
      </c>
      <c r="P1089" t="e">
        <f t="shared" si="160"/>
        <v>#N/A</v>
      </c>
      <c r="Q1089" t="e">
        <f t="shared" si="161"/>
        <v>#N/A</v>
      </c>
      <c r="R1089" t="e">
        <f t="shared" si="162"/>
        <v>#N/A</v>
      </c>
      <c r="S1089" t="e">
        <f t="shared" si="163"/>
        <v>#N/A</v>
      </c>
      <c r="T1089">
        <f t="shared" si="164"/>
        <v>1491000</v>
      </c>
      <c r="U1089">
        <f t="shared" si="165"/>
        <v>287</v>
      </c>
      <c r="V1089" t="e">
        <f t="shared" si="166"/>
        <v>#N/A</v>
      </c>
      <c r="W1089" t="e">
        <f t="shared" si="167"/>
        <v>#N/A</v>
      </c>
      <c r="X1089" t="e">
        <f t="shared" si="168"/>
        <v>#N/A</v>
      </c>
      <c r="Y1089" t="e">
        <f t="shared" si="169"/>
        <v>#N/A</v>
      </c>
    </row>
    <row r="1090" spans="1:25" x14ac:dyDescent="0.2">
      <c r="A1090">
        <v>2088</v>
      </c>
      <c r="B1090" t="s">
        <v>45</v>
      </c>
      <c r="C1090" t="s">
        <v>15</v>
      </c>
      <c r="D1090">
        <v>2023</v>
      </c>
      <c r="E1090" t="s">
        <v>30</v>
      </c>
      <c r="F1090">
        <v>164</v>
      </c>
      <c r="G1090">
        <v>3</v>
      </c>
      <c r="H1090">
        <v>3</v>
      </c>
      <c r="I1090">
        <v>672000</v>
      </c>
      <c r="J1090">
        <v>4097.6000000000004</v>
      </c>
      <c r="K1090">
        <v>2</v>
      </c>
      <c r="L1090" t="s">
        <v>34</v>
      </c>
      <c r="M1090">
        <v>29</v>
      </c>
      <c r="N1090" t="s">
        <v>21</v>
      </c>
      <c r="P1090" t="e">
        <f t="shared" si="160"/>
        <v>#N/A</v>
      </c>
      <c r="Q1090" t="e">
        <f t="shared" si="161"/>
        <v>#N/A</v>
      </c>
      <c r="R1090">
        <f t="shared" si="162"/>
        <v>672000</v>
      </c>
      <c r="S1090">
        <f t="shared" si="163"/>
        <v>164</v>
      </c>
      <c r="T1090" t="e">
        <f t="shared" si="164"/>
        <v>#N/A</v>
      </c>
      <c r="U1090" t="e">
        <f t="shared" si="165"/>
        <v>#N/A</v>
      </c>
      <c r="V1090" t="e">
        <f t="shared" si="166"/>
        <v>#N/A</v>
      </c>
      <c r="W1090" t="e">
        <f t="shared" si="167"/>
        <v>#N/A</v>
      </c>
      <c r="X1090" t="e">
        <f t="shared" si="168"/>
        <v>#N/A</v>
      </c>
      <c r="Y1090" t="e">
        <f t="shared" si="169"/>
        <v>#N/A</v>
      </c>
    </row>
    <row r="1091" spans="1:25" x14ac:dyDescent="0.2">
      <c r="A1091">
        <v>2089</v>
      </c>
      <c r="B1091" t="s">
        <v>44</v>
      </c>
      <c r="C1091" t="s">
        <v>29</v>
      </c>
      <c r="D1091">
        <v>2024</v>
      </c>
      <c r="E1091" t="s">
        <v>24</v>
      </c>
      <c r="F1091">
        <v>460</v>
      </c>
      <c r="G1091">
        <v>5</v>
      </c>
      <c r="H1091">
        <v>5</v>
      </c>
      <c r="I1091">
        <v>2311000</v>
      </c>
      <c r="J1091">
        <v>5023.8999999999996</v>
      </c>
      <c r="K1091">
        <v>2</v>
      </c>
      <c r="L1091" t="s">
        <v>17</v>
      </c>
      <c r="M1091">
        <v>115</v>
      </c>
      <c r="N1091" t="s">
        <v>18</v>
      </c>
      <c r="P1091">
        <f t="shared" ref="P1091:P1154" si="170">IF(C1091="Villa", I1091, NA())</f>
        <v>2311000</v>
      </c>
      <c r="Q1091">
        <f t="shared" ref="Q1091:Q1154" si="171">IF(C1091="Villa", F1091, NA())</f>
        <v>460</v>
      </c>
      <c r="R1091" t="e">
        <f t="shared" ref="R1091:R1154" si="172">IF(C1091="Apartment",I1091,NA())</f>
        <v>#N/A</v>
      </c>
      <c r="S1091" t="e">
        <f t="shared" ref="S1091:S1154" si="173">IF(C1091="Apartment",F1091,NA())</f>
        <v>#N/A</v>
      </c>
      <c r="T1091" t="e">
        <f t="shared" ref="T1091:T1154" si="174">IF(C1091="Duplex",I1091,NA())</f>
        <v>#N/A</v>
      </c>
      <c r="U1091" t="e">
        <f t="shared" ref="U1091:U1154" si="175">IF(C1091="Duplex",F1091,NA())</f>
        <v>#N/A</v>
      </c>
      <c r="V1091" t="e">
        <f t="shared" ref="V1091:V1154" si="176">IF(C1091="Studio",I1091,NA())</f>
        <v>#N/A</v>
      </c>
      <c r="W1091" t="e">
        <f t="shared" ref="W1091:W1154" si="177">IF(C1091="Studio",F1091,NA())</f>
        <v>#N/A</v>
      </c>
      <c r="X1091" t="e">
        <f t="shared" ref="X1091:X1154" si="178">IF(C1091="Floor",I1091,NA())</f>
        <v>#N/A</v>
      </c>
      <c r="Y1091" t="e">
        <f t="shared" ref="Y1091:Y1154" si="179">IF(C1091="Floor",F1091,NA())</f>
        <v>#N/A</v>
      </c>
    </row>
    <row r="1092" spans="1:25" x14ac:dyDescent="0.2">
      <c r="A1092">
        <v>2090</v>
      </c>
      <c r="B1092" t="s">
        <v>41</v>
      </c>
      <c r="C1092" t="s">
        <v>38</v>
      </c>
      <c r="D1092">
        <v>2023</v>
      </c>
      <c r="E1092" t="s">
        <v>16</v>
      </c>
      <c r="F1092">
        <v>47</v>
      </c>
      <c r="G1092">
        <v>0</v>
      </c>
      <c r="H1092">
        <v>1</v>
      </c>
      <c r="I1092">
        <v>283000</v>
      </c>
      <c r="J1092">
        <v>6021.3</v>
      </c>
      <c r="K1092">
        <v>4</v>
      </c>
      <c r="L1092" t="s">
        <v>34</v>
      </c>
      <c r="M1092">
        <v>94</v>
      </c>
      <c r="N1092" t="s">
        <v>21</v>
      </c>
      <c r="P1092" t="e">
        <f t="shared" si="170"/>
        <v>#N/A</v>
      </c>
      <c r="Q1092" t="e">
        <f t="shared" si="171"/>
        <v>#N/A</v>
      </c>
      <c r="R1092" t="e">
        <f t="shared" si="172"/>
        <v>#N/A</v>
      </c>
      <c r="S1092" t="e">
        <f t="shared" si="173"/>
        <v>#N/A</v>
      </c>
      <c r="T1092" t="e">
        <f t="shared" si="174"/>
        <v>#N/A</v>
      </c>
      <c r="U1092" t="e">
        <f t="shared" si="175"/>
        <v>#N/A</v>
      </c>
      <c r="V1092">
        <f t="shared" si="176"/>
        <v>283000</v>
      </c>
      <c r="W1092">
        <f t="shared" si="177"/>
        <v>47</v>
      </c>
      <c r="X1092" t="e">
        <f t="shared" si="178"/>
        <v>#N/A</v>
      </c>
      <c r="Y1092" t="e">
        <f t="shared" si="179"/>
        <v>#N/A</v>
      </c>
    </row>
    <row r="1093" spans="1:25" x14ac:dyDescent="0.2">
      <c r="A1093">
        <v>2091</v>
      </c>
      <c r="B1093" t="s">
        <v>43</v>
      </c>
      <c r="C1093" t="s">
        <v>29</v>
      </c>
      <c r="D1093">
        <v>2022</v>
      </c>
      <c r="E1093" t="s">
        <v>24</v>
      </c>
      <c r="F1093">
        <v>370</v>
      </c>
      <c r="G1093">
        <v>5</v>
      </c>
      <c r="H1093">
        <v>5</v>
      </c>
      <c r="I1093">
        <v>2231000</v>
      </c>
      <c r="J1093">
        <v>6029.7</v>
      </c>
      <c r="K1093">
        <v>15</v>
      </c>
      <c r="L1093" t="s">
        <v>17</v>
      </c>
      <c r="M1093">
        <v>31</v>
      </c>
      <c r="N1093" t="s">
        <v>27</v>
      </c>
      <c r="P1093">
        <f t="shared" si="170"/>
        <v>2231000</v>
      </c>
      <c r="Q1093">
        <f t="shared" si="171"/>
        <v>370</v>
      </c>
      <c r="R1093" t="e">
        <f t="shared" si="172"/>
        <v>#N/A</v>
      </c>
      <c r="S1093" t="e">
        <f t="shared" si="173"/>
        <v>#N/A</v>
      </c>
      <c r="T1093" t="e">
        <f t="shared" si="174"/>
        <v>#N/A</v>
      </c>
      <c r="U1093" t="e">
        <f t="shared" si="175"/>
        <v>#N/A</v>
      </c>
      <c r="V1093" t="e">
        <f t="shared" si="176"/>
        <v>#N/A</v>
      </c>
      <c r="W1093" t="e">
        <f t="shared" si="177"/>
        <v>#N/A</v>
      </c>
      <c r="X1093" t="e">
        <f t="shared" si="178"/>
        <v>#N/A</v>
      </c>
      <c r="Y1093" t="e">
        <f t="shared" si="179"/>
        <v>#N/A</v>
      </c>
    </row>
    <row r="1094" spans="1:25" x14ac:dyDescent="0.2">
      <c r="A1094">
        <v>2092</v>
      </c>
      <c r="B1094" t="s">
        <v>37</v>
      </c>
      <c r="C1094" t="s">
        <v>29</v>
      </c>
      <c r="D1094">
        <v>2024</v>
      </c>
      <c r="E1094" t="s">
        <v>26</v>
      </c>
      <c r="F1094">
        <v>262</v>
      </c>
      <c r="G1094">
        <v>5</v>
      </c>
      <c r="H1094">
        <v>5</v>
      </c>
      <c r="I1094">
        <v>1855000</v>
      </c>
      <c r="J1094">
        <v>7080.2</v>
      </c>
      <c r="K1094">
        <v>2</v>
      </c>
      <c r="L1094" t="s">
        <v>20</v>
      </c>
      <c r="M1094">
        <v>51</v>
      </c>
      <c r="N1094" t="s">
        <v>27</v>
      </c>
      <c r="P1094">
        <f t="shared" si="170"/>
        <v>1855000</v>
      </c>
      <c r="Q1094">
        <f t="shared" si="171"/>
        <v>262</v>
      </c>
      <c r="R1094" t="e">
        <f t="shared" si="172"/>
        <v>#N/A</v>
      </c>
      <c r="S1094" t="e">
        <f t="shared" si="173"/>
        <v>#N/A</v>
      </c>
      <c r="T1094" t="e">
        <f t="shared" si="174"/>
        <v>#N/A</v>
      </c>
      <c r="U1094" t="e">
        <f t="shared" si="175"/>
        <v>#N/A</v>
      </c>
      <c r="V1094" t="e">
        <f t="shared" si="176"/>
        <v>#N/A</v>
      </c>
      <c r="W1094" t="e">
        <f t="shared" si="177"/>
        <v>#N/A</v>
      </c>
      <c r="X1094" t="e">
        <f t="shared" si="178"/>
        <v>#N/A</v>
      </c>
      <c r="Y1094" t="e">
        <f t="shared" si="179"/>
        <v>#N/A</v>
      </c>
    </row>
    <row r="1095" spans="1:25" x14ac:dyDescent="0.2">
      <c r="A1095">
        <v>2093</v>
      </c>
      <c r="B1095" t="s">
        <v>14</v>
      </c>
      <c r="C1095" t="s">
        <v>29</v>
      </c>
      <c r="D1095">
        <v>2023</v>
      </c>
      <c r="E1095" t="s">
        <v>26</v>
      </c>
      <c r="F1095">
        <v>480</v>
      </c>
      <c r="G1095">
        <v>5</v>
      </c>
      <c r="H1095">
        <v>5</v>
      </c>
      <c r="I1095">
        <v>2681000</v>
      </c>
      <c r="J1095">
        <v>5585.4</v>
      </c>
      <c r="K1095">
        <v>1</v>
      </c>
      <c r="L1095" t="s">
        <v>17</v>
      </c>
      <c r="M1095">
        <v>72</v>
      </c>
      <c r="N1095" t="s">
        <v>18</v>
      </c>
      <c r="P1095">
        <f t="shared" si="170"/>
        <v>2681000</v>
      </c>
      <c r="Q1095">
        <f t="shared" si="171"/>
        <v>480</v>
      </c>
      <c r="R1095" t="e">
        <f t="shared" si="172"/>
        <v>#N/A</v>
      </c>
      <c r="S1095" t="e">
        <f t="shared" si="173"/>
        <v>#N/A</v>
      </c>
      <c r="T1095" t="e">
        <f t="shared" si="174"/>
        <v>#N/A</v>
      </c>
      <c r="U1095" t="e">
        <f t="shared" si="175"/>
        <v>#N/A</v>
      </c>
      <c r="V1095" t="e">
        <f t="shared" si="176"/>
        <v>#N/A</v>
      </c>
      <c r="W1095" t="e">
        <f t="shared" si="177"/>
        <v>#N/A</v>
      </c>
      <c r="X1095" t="e">
        <f t="shared" si="178"/>
        <v>#N/A</v>
      </c>
      <c r="Y1095" t="e">
        <f t="shared" si="179"/>
        <v>#N/A</v>
      </c>
    </row>
    <row r="1096" spans="1:25" x14ac:dyDescent="0.2">
      <c r="A1096">
        <v>2094</v>
      </c>
      <c r="B1096" t="s">
        <v>14</v>
      </c>
      <c r="C1096" t="s">
        <v>36</v>
      </c>
      <c r="D1096">
        <v>2021</v>
      </c>
      <c r="E1096" t="s">
        <v>24</v>
      </c>
      <c r="F1096">
        <v>474</v>
      </c>
      <c r="G1096">
        <v>5</v>
      </c>
      <c r="H1096">
        <v>5</v>
      </c>
      <c r="I1096">
        <v>1213000</v>
      </c>
      <c r="J1096">
        <v>2559.1</v>
      </c>
      <c r="K1096">
        <v>4</v>
      </c>
      <c r="L1096" t="s">
        <v>20</v>
      </c>
      <c r="M1096">
        <v>144</v>
      </c>
      <c r="N1096" t="s">
        <v>18</v>
      </c>
      <c r="P1096" t="e">
        <f t="shared" si="170"/>
        <v>#N/A</v>
      </c>
      <c r="Q1096" t="e">
        <f t="shared" si="171"/>
        <v>#N/A</v>
      </c>
      <c r="R1096" t="e">
        <f t="shared" si="172"/>
        <v>#N/A</v>
      </c>
      <c r="S1096" t="e">
        <f t="shared" si="173"/>
        <v>#N/A</v>
      </c>
      <c r="T1096" t="e">
        <f t="shared" si="174"/>
        <v>#N/A</v>
      </c>
      <c r="U1096" t="e">
        <f t="shared" si="175"/>
        <v>#N/A</v>
      </c>
      <c r="V1096" t="e">
        <f t="shared" si="176"/>
        <v>#N/A</v>
      </c>
      <c r="W1096" t="e">
        <f t="shared" si="177"/>
        <v>#N/A</v>
      </c>
      <c r="X1096">
        <f t="shared" si="178"/>
        <v>1213000</v>
      </c>
      <c r="Y1096">
        <f t="shared" si="179"/>
        <v>474</v>
      </c>
    </row>
    <row r="1097" spans="1:25" x14ac:dyDescent="0.2">
      <c r="A1097">
        <v>2095</v>
      </c>
      <c r="B1097" t="s">
        <v>22</v>
      </c>
      <c r="C1097" t="s">
        <v>23</v>
      </c>
      <c r="D1097">
        <v>2022</v>
      </c>
      <c r="E1097" t="s">
        <v>16</v>
      </c>
      <c r="F1097">
        <v>234</v>
      </c>
      <c r="G1097">
        <v>4</v>
      </c>
      <c r="H1097">
        <v>4</v>
      </c>
      <c r="I1097">
        <v>928000</v>
      </c>
      <c r="J1097">
        <v>3965.8</v>
      </c>
      <c r="K1097">
        <v>1</v>
      </c>
      <c r="L1097" t="s">
        <v>20</v>
      </c>
      <c r="M1097">
        <v>134</v>
      </c>
      <c r="N1097" t="s">
        <v>18</v>
      </c>
      <c r="P1097" t="e">
        <f t="shared" si="170"/>
        <v>#N/A</v>
      </c>
      <c r="Q1097" t="e">
        <f t="shared" si="171"/>
        <v>#N/A</v>
      </c>
      <c r="R1097" t="e">
        <f t="shared" si="172"/>
        <v>#N/A</v>
      </c>
      <c r="S1097" t="e">
        <f t="shared" si="173"/>
        <v>#N/A</v>
      </c>
      <c r="T1097">
        <f t="shared" si="174"/>
        <v>928000</v>
      </c>
      <c r="U1097">
        <f t="shared" si="175"/>
        <v>234</v>
      </c>
      <c r="V1097" t="e">
        <f t="shared" si="176"/>
        <v>#N/A</v>
      </c>
      <c r="W1097" t="e">
        <f t="shared" si="177"/>
        <v>#N/A</v>
      </c>
      <c r="X1097" t="e">
        <f t="shared" si="178"/>
        <v>#N/A</v>
      </c>
      <c r="Y1097" t="e">
        <f t="shared" si="179"/>
        <v>#N/A</v>
      </c>
    </row>
    <row r="1098" spans="1:25" x14ac:dyDescent="0.2">
      <c r="A1098">
        <v>2096</v>
      </c>
      <c r="B1098" t="s">
        <v>39</v>
      </c>
      <c r="C1098" t="s">
        <v>38</v>
      </c>
      <c r="D1098">
        <v>2022</v>
      </c>
      <c r="E1098" t="s">
        <v>24</v>
      </c>
      <c r="F1098">
        <v>66</v>
      </c>
      <c r="G1098">
        <v>0</v>
      </c>
      <c r="H1098">
        <v>1</v>
      </c>
      <c r="I1098">
        <v>327000</v>
      </c>
      <c r="J1098">
        <v>4954.5</v>
      </c>
      <c r="K1098">
        <v>5</v>
      </c>
      <c r="L1098" t="s">
        <v>17</v>
      </c>
      <c r="M1098">
        <v>84</v>
      </c>
      <c r="N1098" t="s">
        <v>21</v>
      </c>
      <c r="P1098" t="e">
        <f t="shared" si="170"/>
        <v>#N/A</v>
      </c>
      <c r="Q1098" t="e">
        <f t="shared" si="171"/>
        <v>#N/A</v>
      </c>
      <c r="R1098" t="e">
        <f t="shared" si="172"/>
        <v>#N/A</v>
      </c>
      <c r="S1098" t="e">
        <f t="shared" si="173"/>
        <v>#N/A</v>
      </c>
      <c r="T1098" t="e">
        <f t="shared" si="174"/>
        <v>#N/A</v>
      </c>
      <c r="U1098" t="e">
        <f t="shared" si="175"/>
        <v>#N/A</v>
      </c>
      <c r="V1098">
        <f t="shared" si="176"/>
        <v>327000</v>
      </c>
      <c r="W1098">
        <f t="shared" si="177"/>
        <v>66</v>
      </c>
      <c r="X1098" t="e">
        <f t="shared" si="178"/>
        <v>#N/A</v>
      </c>
      <c r="Y1098" t="e">
        <f t="shared" si="179"/>
        <v>#N/A</v>
      </c>
    </row>
    <row r="1099" spans="1:25" x14ac:dyDescent="0.2">
      <c r="A1099">
        <v>2097</v>
      </c>
      <c r="B1099" t="s">
        <v>31</v>
      </c>
      <c r="C1099" t="s">
        <v>38</v>
      </c>
      <c r="D1099">
        <v>2021</v>
      </c>
      <c r="E1099" t="s">
        <v>24</v>
      </c>
      <c r="F1099">
        <v>75</v>
      </c>
      <c r="G1099">
        <v>0</v>
      </c>
      <c r="H1099">
        <v>1</v>
      </c>
      <c r="I1099">
        <v>232000</v>
      </c>
      <c r="J1099">
        <v>3093.3</v>
      </c>
      <c r="K1099">
        <v>3</v>
      </c>
      <c r="L1099" t="s">
        <v>17</v>
      </c>
      <c r="M1099">
        <v>18</v>
      </c>
      <c r="N1099" t="s">
        <v>21</v>
      </c>
      <c r="P1099" t="e">
        <f t="shared" si="170"/>
        <v>#N/A</v>
      </c>
      <c r="Q1099" t="e">
        <f t="shared" si="171"/>
        <v>#N/A</v>
      </c>
      <c r="R1099" t="e">
        <f t="shared" si="172"/>
        <v>#N/A</v>
      </c>
      <c r="S1099" t="e">
        <f t="shared" si="173"/>
        <v>#N/A</v>
      </c>
      <c r="T1099" t="e">
        <f t="shared" si="174"/>
        <v>#N/A</v>
      </c>
      <c r="U1099" t="e">
        <f t="shared" si="175"/>
        <v>#N/A</v>
      </c>
      <c r="V1099">
        <f t="shared" si="176"/>
        <v>232000</v>
      </c>
      <c r="W1099">
        <f t="shared" si="177"/>
        <v>75</v>
      </c>
      <c r="X1099" t="e">
        <f t="shared" si="178"/>
        <v>#N/A</v>
      </c>
      <c r="Y1099" t="e">
        <f t="shared" si="179"/>
        <v>#N/A</v>
      </c>
    </row>
    <row r="1100" spans="1:25" x14ac:dyDescent="0.2">
      <c r="A1100">
        <v>2098</v>
      </c>
      <c r="B1100" t="s">
        <v>33</v>
      </c>
      <c r="C1100" t="s">
        <v>15</v>
      </c>
      <c r="D1100">
        <v>2024</v>
      </c>
      <c r="E1100" t="s">
        <v>24</v>
      </c>
      <c r="F1100">
        <v>131</v>
      </c>
      <c r="G1100">
        <v>2</v>
      </c>
      <c r="H1100">
        <v>2</v>
      </c>
      <c r="I1100">
        <v>375000</v>
      </c>
      <c r="J1100">
        <v>2862.6</v>
      </c>
      <c r="K1100">
        <v>15</v>
      </c>
      <c r="L1100" t="s">
        <v>34</v>
      </c>
      <c r="M1100">
        <v>36</v>
      </c>
      <c r="N1100" t="s">
        <v>27</v>
      </c>
      <c r="P1100" t="e">
        <f t="shared" si="170"/>
        <v>#N/A</v>
      </c>
      <c r="Q1100" t="e">
        <f t="shared" si="171"/>
        <v>#N/A</v>
      </c>
      <c r="R1100">
        <f t="shared" si="172"/>
        <v>375000</v>
      </c>
      <c r="S1100">
        <f t="shared" si="173"/>
        <v>131</v>
      </c>
      <c r="T1100" t="e">
        <f t="shared" si="174"/>
        <v>#N/A</v>
      </c>
      <c r="U1100" t="e">
        <f t="shared" si="175"/>
        <v>#N/A</v>
      </c>
      <c r="V1100" t="e">
        <f t="shared" si="176"/>
        <v>#N/A</v>
      </c>
      <c r="W1100" t="e">
        <f t="shared" si="177"/>
        <v>#N/A</v>
      </c>
      <c r="X1100" t="e">
        <f t="shared" si="178"/>
        <v>#N/A</v>
      </c>
      <c r="Y1100" t="e">
        <f t="shared" si="179"/>
        <v>#N/A</v>
      </c>
    </row>
    <row r="1101" spans="1:25" x14ac:dyDescent="0.2">
      <c r="A1101">
        <v>2099</v>
      </c>
      <c r="B1101" t="s">
        <v>25</v>
      </c>
      <c r="C1101" t="s">
        <v>23</v>
      </c>
      <c r="D1101">
        <v>2021</v>
      </c>
      <c r="E1101" t="s">
        <v>24</v>
      </c>
      <c r="F1101">
        <v>275</v>
      </c>
      <c r="G1101">
        <v>4</v>
      </c>
      <c r="H1101">
        <v>4</v>
      </c>
      <c r="I1101">
        <v>733000</v>
      </c>
      <c r="J1101">
        <v>2665.5</v>
      </c>
      <c r="K1101">
        <v>1</v>
      </c>
      <c r="L1101" t="s">
        <v>17</v>
      </c>
      <c r="M1101">
        <v>93</v>
      </c>
      <c r="N1101" t="s">
        <v>27</v>
      </c>
      <c r="P1101" t="e">
        <f t="shared" si="170"/>
        <v>#N/A</v>
      </c>
      <c r="Q1101" t="e">
        <f t="shared" si="171"/>
        <v>#N/A</v>
      </c>
      <c r="R1101" t="e">
        <f t="shared" si="172"/>
        <v>#N/A</v>
      </c>
      <c r="S1101" t="e">
        <f t="shared" si="173"/>
        <v>#N/A</v>
      </c>
      <c r="T1101">
        <f t="shared" si="174"/>
        <v>733000</v>
      </c>
      <c r="U1101">
        <f t="shared" si="175"/>
        <v>275</v>
      </c>
      <c r="V1101" t="e">
        <f t="shared" si="176"/>
        <v>#N/A</v>
      </c>
      <c r="W1101" t="e">
        <f t="shared" si="177"/>
        <v>#N/A</v>
      </c>
      <c r="X1101" t="e">
        <f t="shared" si="178"/>
        <v>#N/A</v>
      </c>
      <c r="Y1101" t="e">
        <f t="shared" si="179"/>
        <v>#N/A</v>
      </c>
    </row>
    <row r="1102" spans="1:25" x14ac:dyDescent="0.2">
      <c r="A1102">
        <v>2100</v>
      </c>
      <c r="B1102" t="s">
        <v>44</v>
      </c>
      <c r="C1102" t="s">
        <v>15</v>
      </c>
      <c r="D1102">
        <v>2022</v>
      </c>
      <c r="E1102" t="s">
        <v>24</v>
      </c>
      <c r="F1102">
        <v>153</v>
      </c>
      <c r="G1102">
        <v>3</v>
      </c>
      <c r="H1102">
        <v>3</v>
      </c>
      <c r="I1102">
        <v>457000</v>
      </c>
      <c r="J1102">
        <v>2986.9</v>
      </c>
      <c r="K1102">
        <v>20</v>
      </c>
      <c r="L1102" t="s">
        <v>34</v>
      </c>
      <c r="M1102">
        <v>88</v>
      </c>
      <c r="N1102" t="s">
        <v>18</v>
      </c>
      <c r="P1102" t="e">
        <f t="shared" si="170"/>
        <v>#N/A</v>
      </c>
      <c r="Q1102" t="e">
        <f t="shared" si="171"/>
        <v>#N/A</v>
      </c>
      <c r="R1102">
        <f t="shared" si="172"/>
        <v>457000</v>
      </c>
      <c r="S1102">
        <f t="shared" si="173"/>
        <v>153</v>
      </c>
      <c r="T1102" t="e">
        <f t="shared" si="174"/>
        <v>#N/A</v>
      </c>
      <c r="U1102" t="e">
        <f t="shared" si="175"/>
        <v>#N/A</v>
      </c>
      <c r="V1102" t="e">
        <f t="shared" si="176"/>
        <v>#N/A</v>
      </c>
      <c r="W1102" t="e">
        <f t="shared" si="177"/>
        <v>#N/A</v>
      </c>
      <c r="X1102" t="e">
        <f t="shared" si="178"/>
        <v>#N/A</v>
      </c>
      <c r="Y1102" t="e">
        <f t="shared" si="179"/>
        <v>#N/A</v>
      </c>
    </row>
    <row r="1103" spans="1:25" x14ac:dyDescent="0.2">
      <c r="A1103">
        <v>2101</v>
      </c>
      <c r="B1103" t="s">
        <v>32</v>
      </c>
      <c r="C1103" t="s">
        <v>38</v>
      </c>
      <c r="D1103">
        <v>2024</v>
      </c>
      <c r="E1103" t="s">
        <v>26</v>
      </c>
      <c r="F1103">
        <v>60</v>
      </c>
      <c r="G1103">
        <v>0</v>
      </c>
      <c r="H1103">
        <v>1</v>
      </c>
      <c r="I1103">
        <v>262000</v>
      </c>
      <c r="J1103">
        <v>4366.7</v>
      </c>
      <c r="K1103">
        <v>7</v>
      </c>
      <c r="L1103" t="s">
        <v>20</v>
      </c>
      <c r="M1103">
        <v>156</v>
      </c>
      <c r="N1103" t="s">
        <v>18</v>
      </c>
      <c r="P1103" t="e">
        <f t="shared" si="170"/>
        <v>#N/A</v>
      </c>
      <c r="Q1103" t="e">
        <f t="shared" si="171"/>
        <v>#N/A</v>
      </c>
      <c r="R1103" t="e">
        <f t="shared" si="172"/>
        <v>#N/A</v>
      </c>
      <c r="S1103" t="e">
        <f t="shared" si="173"/>
        <v>#N/A</v>
      </c>
      <c r="T1103" t="e">
        <f t="shared" si="174"/>
        <v>#N/A</v>
      </c>
      <c r="U1103" t="e">
        <f t="shared" si="175"/>
        <v>#N/A</v>
      </c>
      <c r="V1103">
        <f t="shared" si="176"/>
        <v>262000</v>
      </c>
      <c r="W1103">
        <f t="shared" si="177"/>
        <v>60</v>
      </c>
      <c r="X1103" t="e">
        <f t="shared" si="178"/>
        <v>#N/A</v>
      </c>
      <c r="Y1103" t="e">
        <f t="shared" si="179"/>
        <v>#N/A</v>
      </c>
    </row>
    <row r="1104" spans="1:25" x14ac:dyDescent="0.2">
      <c r="A1104">
        <v>2102</v>
      </c>
      <c r="B1104" t="s">
        <v>32</v>
      </c>
      <c r="C1104" t="s">
        <v>29</v>
      </c>
      <c r="D1104">
        <v>2022</v>
      </c>
      <c r="E1104" t="s">
        <v>16</v>
      </c>
      <c r="F1104">
        <v>445</v>
      </c>
      <c r="G1104">
        <v>5</v>
      </c>
      <c r="H1104">
        <v>5</v>
      </c>
      <c r="I1104">
        <v>1731000</v>
      </c>
      <c r="J1104">
        <v>3889.9</v>
      </c>
      <c r="K1104">
        <v>4</v>
      </c>
      <c r="L1104" t="s">
        <v>17</v>
      </c>
      <c r="M1104">
        <v>96</v>
      </c>
      <c r="N1104" t="s">
        <v>18</v>
      </c>
      <c r="P1104">
        <f t="shared" si="170"/>
        <v>1731000</v>
      </c>
      <c r="Q1104">
        <f t="shared" si="171"/>
        <v>445</v>
      </c>
      <c r="R1104" t="e">
        <f t="shared" si="172"/>
        <v>#N/A</v>
      </c>
      <c r="S1104" t="e">
        <f t="shared" si="173"/>
        <v>#N/A</v>
      </c>
      <c r="T1104" t="e">
        <f t="shared" si="174"/>
        <v>#N/A</v>
      </c>
      <c r="U1104" t="e">
        <f t="shared" si="175"/>
        <v>#N/A</v>
      </c>
      <c r="V1104" t="e">
        <f t="shared" si="176"/>
        <v>#N/A</v>
      </c>
      <c r="W1104" t="e">
        <f t="shared" si="177"/>
        <v>#N/A</v>
      </c>
      <c r="X1104" t="e">
        <f t="shared" si="178"/>
        <v>#N/A</v>
      </c>
      <c r="Y1104" t="e">
        <f t="shared" si="179"/>
        <v>#N/A</v>
      </c>
    </row>
    <row r="1105" spans="1:25" x14ac:dyDescent="0.2">
      <c r="A1105">
        <v>2103</v>
      </c>
      <c r="B1105" t="s">
        <v>14</v>
      </c>
      <c r="C1105" t="s">
        <v>23</v>
      </c>
      <c r="D1105">
        <v>2022</v>
      </c>
      <c r="E1105" t="s">
        <v>16</v>
      </c>
      <c r="F1105">
        <v>260</v>
      </c>
      <c r="G1105">
        <v>4</v>
      </c>
      <c r="H1105">
        <v>4</v>
      </c>
      <c r="I1105">
        <v>1147000</v>
      </c>
      <c r="J1105">
        <v>4411.5</v>
      </c>
      <c r="K1105">
        <v>10</v>
      </c>
      <c r="L1105" t="s">
        <v>34</v>
      </c>
      <c r="M1105">
        <v>110</v>
      </c>
      <c r="N1105" t="s">
        <v>18</v>
      </c>
      <c r="P1105" t="e">
        <f t="shared" si="170"/>
        <v>#N/A</v>
      </c>
      <c r="Q1105" t="e">
        <f t="shared" si="171"/>
        <v>#N/A</v>
      </c>
      <c r="R1105" t="e">
        <f t="shared" si="172"/>
        <v>#N/A</v>
      </c>
      <c r="S1105" t="e">
        <f t="shared" si="173"/>
        <v>#N/A</v>
      </c>
      <c r="T1105">
        <f t="shared" si="174"/>
        <v>1147000</v>
      </c>
      <c r="U1105">
        <f t="shared" si="175"/>
        <v>260</v>
      </c>
      <c r="V1105" t="e">
        <f t="shared" si="176"/>
        <v>#N/A</v>
      </c>
      <c r="W1105" t="e">
        <f t="shared" si="177"/>
        <v>#N/A</v>
      </c>
      <c r="X1105" t="e">
        <f t="shared" si="178"/>
        <v>#N/A</v>
      </c>
      <c r="Y1105" t="e">
        <f t="shared" si="179"/>
        <v>#N/A</v>
      </c>
    </row>
    <row r="1106" spans="1:25" x14ac:dyDescent="0.2">
      <c r="A1106">
        <v>2104</v>
      </c>
      <c r="B1106" t="s">
        <v>22</v>
      </c>
      <c r="C1106" t="s">
        <v>15</v>
      </c>
      <c r="D1106">
        <v>2024</v>
      </c>
      <c r="E1106" t="s">
        <v>26</v>
      </c>
      <c r="F1106">
        <v>164</v>
      </c>
      <c r="G1106">
        <v>3</v>
      </c>
      <c r="H1106">
        <v>3</v>
      </c>
      <c r="I1106">
        <v>694000</v>
      </c>
      <c r="J1106">
        <v>4231.7</v>
      </c>
      <c r="K1106">
        <v>20</v>
      </c>
      <c r="L1106" t="s">
        <v>34</v>
      </c>
      <c r="M1106">
        <v>67</v>
      </c>
      <c r="N1106" t="s">
        <v>18</v>
      </c>
      <c r="P1106" t="e">
        <f t="shared" si="170"/>
        <v>#N/A</v>
      </c>
      <c r="Q1106" t="e">
        <f t="shared" si="171"/>
        <v>#N/A</v>
      </c>
      <c r="R1106">
        <f t="shared" si="172"/>
        <v>694000</v>
      </c>
      <c r="S1106">
        <f t="shared" si="173"/>
        <v>164</v>
      </c>
      <c r="T1106" t="e">
        <f t="shared" si="174"/>
        <v>#N/A</v>
      </c>
      <c r="U1106" t="e">
        <f t="shared" si="175"/>
        <v>#N/A</v>
      </c>
      <c r="V1106" t="e">
        <f t="shared" si="176"/>
        <v>#N/A</v>
      </c>
      <c r="W1106" t="e">
        <f t="shared" si="177"/>
        <v>#N/A</v>
      </c>
      <c r="X1106" t="e">
        <f t="shared" si="178"/>
        <v>#N/A</v>
      </c>
      <c r="Y1106" t="e">
        <f t="shared" si="179"/>
        <v>#N/A</v>
      </c>
    </row>
    <row r="1107" spans="1:25" x14ac:dyDescent="0.2">
      <c r="A1107">
        <v>2105</v>
      </c>
      <c r="B1107" t="s">
        <v>44</v>
      </c>
      <c r="C1107" t="s">
        <v>15</v>
      </c>
      <c r="D1107">
        <v>2023</v>
      </c>
      <c r="E1107" t="s">
        <v>24</v>
      </c>
      <c r="F1107">
        <v>134</v>
      </c>
      <c r="G1107">
        <v>4</v>
      </c>
      <c r="H1107">
        <v>4</v>
      </c>
      <c r="I1107">
        <v>407000</v>
      </c>
      <c r="J1107">
        <v>3037.3</v>
      </c>
      <c r="K1107">
        <v>3</v>
      </c>
      <c r="L1107" t="s">
        <v>17</v>
      </c>
      <c r="M1107">
        <v>138</v>
      </c>
      <c r="N1107" t="s">
        <v>18</v>
      </c>
      <c r="P1107" t="e">
        <f t="shared" si="170"/>
        <v>#N/A</v>
      </c>
      <c r="Q1107" t="e">
        <f t="shared" si="171"/>
        <v>#N/A</v>
      </c>
      <c r="R1107">
        <f t="shared" si="172"/>
        <v>407000</v>
      </c>
      <c r="S1107">
        <f t="shared" si="173"/>
        <v>134</v>
      </c>
      <c r="T1107" t="e">
        <f t="shared" si="174"/>
        <v>#N/A</v>
      </c>
      <c r="U1107" t="e">
        <f t="shared" si="175"/>
        <v>#N/A</v>
      </c>
      <c r="V1107" t="e">
        <f t="shared" si="176"/>
        <v>#N/A</v>
      </c>
      <c r="W1107" t="e">
        <f t="shared" si="177"/>
        <v>#N/A</v>
      </c>
      <c r="X1107" t="e">
        <f t="shared" si="178"/>
        <v>#N/A</v>
      </c>
      <c r="Y1107" t="e">
        <f t="shared" si="179"/>
        <v>#N/A</v>
      </c>
    </row>
    <row r="1108" spans="1:25" x14ac:dyDescent="0.2">
      <c r="A1108">
        <v>2106</v>
      </c>
      <c r="B1108" t="s">
        <v>47</v>
      </c>
      <c r="C1108" t="s">
        <v>15</v>
      </c>
      <c r="D1108">
        <v>2024</v>
      </c>
      <c r="E1108" t="s">
        <v>24</v>
      </c>
      <c r="F1108">
        <v>156</v>
      </c>
      <c r="G1108">
        <v>3</v>
      </c>
      <c r="H1108">
        <v>3</v>
      </c>
      <c r="I1108">
        <v>520000</v>
      </c>
      <c r="J1108">
        <v>3333.3</v>
      </c>
      <c r="K1108">
        <v>10</v>
      </c>
      <c r="L1108" t="s">
        <v>20</v>
      </c>
      <c r="M1108">
        <v>120</v>
      </c>
      <c r="N1108" t="s">
        <v>21</v>
      </c>
      <c r="P1108" t="e">
        <f t="shared" si="170"/>
        <v>#N/A</v>
      </c>
      <c r="Q1108" t="e">
        <f t="shared" si="171"/>
        <v>#N/A</v>
      </c>
      <c r="R1108">
        <f t="shared" si="172"/>
        <v>520000</v>
      </c>
      <c r="S1108">
        <f t="shared" si="173"/>
        <v>156</v>
      </c>
      <c r="T1108" t="e">
        <f t="shared" si="174"/>
        <v>#N/A</v>
      </c>
      <c r="U1108" t="e">
        <f t="shared" si="175"/>
        <v>#N/A</v>
      </c>
      <c r="V1108" t="e">
        <f t="shared" si="176"/>
        <v>#N/A</v>
      </c>
      <c r="W1108" t="e">
        <f t="shared" si="177"/>
        <v>#N/A</v>
      </c>
      <c r="X1108" t="e">
        <f t="shared" si="178"/>
        <v>#N/A</v>
      </c>
      <c r="Y1108" t="e">
        <f t="shared" si="179"/>
        <v>#N/A</v>
      </c>
    </row>
    <row r="1109" spans="1:25" x14ac:dyDescent="0.2">
      <c r="A1109">
        <v>2107</v>
      </c>
      <c r="B1109" t="s">
        <v>35</v>
      </c>
      <c r="C1109" t="s">
        <v>15</v>
      </c>
      <c r="D1109">
        <v>2023</v>
      </c>
      <c r="E1109" t="s">
        <v>30</v>
      </c>
      <c r="F1109">
        <v>144</v>
      </c>
      <c r="G1109">
        <v>3</v>
      </c>
      <c r="H1109">
        <v>3</v>
      </c>
      <c r="I1109">
        <v>558000</v>
      </c>
      <c r="J1109">
        <v>3875</v>
      </c>
      <c r="K1109">
        <v>5</v>
      </c>
      <c r="L1109" t="s">
        <v>17</v>
      </c>
      <c r="M1109">
        <v>144</v>
      </c>
      <c r="N1109" t="s">
        <v>18</v>
      </c>
      <c r="P1109" t="e">
        <f t="shared" si="170"/>
        <v>#N/A</v>
      </c>
      <c r="Q1109" t="e">
        <f t="shared" si="171"/>
        <v>#N/A</v>
      </c>
      <c r="R1109">
        <f t="shared" si="172"/>
        <v>558000</v>
      </c>
      <c r="S1109">
        <f t="shared" si="173"/>
        <v>144</v>
      </c>
      <c r="T1109" t="e">
        <f t="shared" si="174"/>
        <v>#N/A</v>
      </c>
      <c r="U1109" t="e">
        <f t="shared" si="175"/>
        <v>#N/A</v>
      </c>
      <c r="V1109" t="e">
        <f t="shared" si="176"/>
        <v>#N/A</v>
      </c>
      <c r="W1109" t="e">
        <f t="shared" si="177"/>
        <v>#N/A</v>
      </c>
      <c r="X1109" t="e">
        <f t="shared" si="178"/>
        <v>#N/A</v>
      </c>
      <c r="Y1109" t="e">
        <f t="shared" si="179"/>
        <v>#N/A</v>
      </c>
    </row>
    <row r="1110" spans="1:25" x14ac:dyDescent="0.2">
      <c r="A1110">
        <v>2108</v>
      </c>
      <c r="B1110" t="s">
        <v>25</v>
      </c>
      <c r="C1110" t="s">
        <v>29</v>
      </c>
      <c r="D1110">
        <v>2023</v>
      </c>
      <c r="E1110" t="s">
        <v>30</v>
      </c>
      <c r="F1110">
        <v>278</v>
      </c>
      <c r="G1110">
        <v>5</v>
      </c>
      <c r="H1110">
        <v>5</v>
      </c>
      <c r="I1110">
        <v>1079000</v>
      </c>
      <c r="J1110">
        <v>3881.3</v>
      </c>
      <c r="K1110">
        <v>10</v>
      </c>
      <c r="L1110" t="s">
        <v>34</v>
      </c>
      <c r="M1110">
        <v>107</v>
      </c>
      <c r="N1110" t="s">
        <v>27</v>
      </c>
      <c r="P1110">
        <f t="shared" si="170"/>
        <v>1079000</v>
      </c>
      <c r="Q1110">
        <f t="shared" si="171"/>
        <v>278</v>
      </c>
      <c r="R1110" t="e">
        <f t="shared" si="172"/>
        <v>#N/A</v>
      </c>
      <c r="S1110" t="e">
        <f t="shared" si="173"/>
        <v>#N/A</v>
      </c>
      <c r="T1110" t="e">
        <f t="shared" si="174"/>
        <v>#N/A</v>
      </c>
      <c r="U1110" t="e">
        <f t="shared" si="175"/>
        <v>#N/A</v>
      </c>
      <c r="V1110" t="e">
        <f t="shared" si="176"/>
        <v>#N/A</v>
      </c>
      <c r="W1110" t="e">
        <f t="shared" si="177"/>
        <v>#N/A</v>
      </c>
      <c r="X1110" t="e">
        <f t="shared" si="178"/>
        <v>#N/A</v>
      </c>
      <c r="Y1110" t="e">
        <f t="shared" si="179"/>
        <v>#N/A</v>
      </c>
    </row>
    <row r="1111" spans="1:25" x14ac:dyDescent="0.2">
      <c r="A1111">
        <v>2109</v>
      </c>
      <c r="B1111" t="s">
        <v>19</v>
      </c>
      <c r="C1111" t="s">
        <v>23</v>
      </c>
      <c r="D1111">
        <v>2024</v>
      </c>
      <c r="E1111" t="s">
        <v>26</v>
      </c>
      <c r="F1111">
        <v>343</v>
      </c>
      <c r="G1111">
        <v>4</v>
      </c>
      <c r="H1111">
        <v>4</v>
      </c>
      <c r="I1111">
        <v>1347000</v>
      </c>
      <c r="J1111">
        <v>3927.1</v>
      </c>
      <c r="K1111">
        <v>0</v>
      </c>
      <c r="L1111" t="s">
        <v>17</v>
      </c>
      <c r="M1111">
        <v>50</v>
      </c>
      <c r="N1111" t="s">
        <v>21</v>
      </c>
      <c r="P1111" t="e">
        <f t="shared" si="170"/>
        <v>#N/A</v>
      </c>
      <c r="Q1111" t="e">
        <f t="shared" si="171"/>
        <v>#N/A</v>
      </c>
      <c r="R1111" t="e">
        <f t="shared" si="172"/>
        <v>#N/A</v>
      </c>
      <c r="S1111" t="e">
        <f t="shared" si="173"/>
        <v>#N/A</v>
      </c>
      <c r="T1111">
        <f t="shared" si="174"/>
        <v>1347000</v>
      </c>
      <c r="U1111">
        <f t="shared" si="175"/>
        <v>343</v>
      </c>
      <c r="V1111" t="e">
        <f t="shared" si="176"/>
        <v>#N/A</v>
      </c>
      <c r="W1111" t="e">
        <f t="shared" si="177"/>
        <v>#N/A</v>
      </c>
      <c r="X1111" t="e">
        <f t="shared" si="178"/>
        <v>#N/A</v>
      </c>
      <c r="Y1111" t="e">
        <f t="shared" si="179"/>
        <v>#N/A</v>
      </c>
    </row>
    <row r="1112" spans="1:25" x14ac:dyDescent="0.2">
      <c r="A1112">
        <v>2110</v>
      </c>
      <c r="B1112" t="s">
        <v>28</v>
      </c>
      <c r="C1112" t="s">
        <v>29</v>
      </c>
      <c r="D1112">
        <v>2023</v>
      </c>
      <c r="E1112" t="s">
        <v>30</v>
      </c>
      <c r="F1112">
        <v>372</v>
      </c>
      <c r="G1112">
        <v>4</v>
      </c>
      <c r="H1112">
        <v>4</v>
      </c>
      <c r="I1112">
        <v>1729000</v>
      </c>
      <c r="J1112">
        <v>4647.8</v>
      </c>
      <c r="K1112">
        <v>20</v>
      </c>
      <c r="L1112" t="s">
        <v>17</v>
      </c>
      <c r="M1112">
        <v>149</v>
      </c>
      <c r="N1112" t="s">
        <v>27</v>
      </c>
      <c r="P1112">
        <f t="shared" si="170"/>
        <v>1729000</v>
      </c>
      <c r="Q1112">
        <f t="shared" si="171"/>
        <v>372</v>
      </c>
      <c r="R1112" t="e">
        <f t="shared" si="172"/>
        <v>#N/A</v>
      </c>
      <c r="S1112" t="e">
        <f t="shared" si="173"/>
        <v>#N/A</v>
      </c>
      <c r="T1112" t="e">
        <f t="shared" si="174"/>
        <v>#N/A</v>
      </c>
      <c r="U1112" t="e">
        <f t="shared" si="175"/>
        <v>#N/A</v>
      </c>
      <c r="V1112" t="e">
        <f t="shared" si="176"/>
        <v>#N/A</v>
      </c>
      <c r="W1112" t="e">
        <f t="shared" si="177"/>
        <v>#N/A</v>
      </c>
      <c r="X1112" t="e">
        <f t="shared" si="178"/>
        <v>#N/A</v>
      </c>
      <c r="Y1112" t="e">
        <f t="shared" si="179"/>
        <v>#N/A</v>
      </c>
    </row>
    <row r="1113" spans="1:25" x14ac:dyDescent="0.2">
      <c r="A1113">
        <v>2111</v>
      </c>
      <c r="B1113" t="s">
        <v>45</v>
      </c>
      <c r="C1113" t="s">
        <v>29</v>
      </c>
      <c r="D1113">
        <v>2022</v>
      </c>
      <c r="E1113" t="s">
        <v>30</v>
      </c>
      <c r="F1113">
        <v>530</v>
      </c>
      <c r="G1113">
        <v>5</v>
      </c>
      <c r="H1113">
        <v>5</v>
      </c>
      <c r="I1113">
        <v>3072000</v>
      </c>
      <c r="J1113">
        <v>5796.2</v>
      </c>
      <c r="K1113">
        <v>5</v>
      </c>
      <c r="L1113" t="s">
        <v>17</v>
      </c>
      <c r="M1113">
        <v>101</v>
      </c>
      <c r="N1113" t="s">
        <v>21</v>
      </c>
      <c r="P1113">
        <f t="shared" si="170"/>
        <v>3072000</v>
      </c>
      <c r="Q1113">
        <f t="shared" si="171"/>
        <v>530</v>
      </c>
      <c r="R1113" t="e">
        <f t="shared" si="172"/>
        <v>#N/A</v>
      </c>
      <c r="S1113" t="e">
        <f t="shared" si="173"/>
        <v>#N/A</v>
      </c>
      <c r="T1113" t="e">
        <f t="shared" si="174"/>
        <v>#N/A</v>
      </c>
      <c r="U1113" t="e">
        <f t="shared" si="175"/>
        <v>#N/A</v>
      </c>
      <c r="V1113" t="e">
        <f t="shared" si="176"/>
        <v>#N/A</v>
      </c>
      <c r="W1113" t="e">
        <f t="shared" si="177"/>
        <v>#N/A</v>
      </c>
      <c r="X1113" t="e">
        <f t="shared" si="178"/>
        <v>#N/A</v>
      </c>
      <c r="Y1113" t="e">
        <f t="shared" si="179"/>
        <v>#N/A</v>
      </c>
    </row>
    <row r="1114" spans="1:25" x14ac:dyDescent="0.2">
      <c r="A1114">
        <v>2112</v>
      </c>
      <c r="B1114" t="s">
        <v>44</v>
      </c>
      <c r="C1114" t="s">
        <v>23</v>
      </c>
      <c r="D1114">
        <v>2022</v>
      </c>
      <c r="E1114" t="s">
        <v>30</v>
      </c>
      <c r="F1114">
        <v>333</v>
      </c>
      <c r="G1114">
        <v>4</v>
      </c>
      <c r="H1114">
        <v>4</v>
      </c>
      <c r="I1114">
        <v>1248000</v>
      </c>
      <c r="J1114">
        <v>3747.7</v>
      </c>
      <c r="K1114">
        <v>15</v>
      </c>
      <c r="L1114" t="s">
        <v>20</v>
      </c>
      <c r="M1114">
        <v>85</v>
      </c>
      <c r="N1114" t="s">
        <v>18</v>
      </c>
      <c r="P1114" t="e">
        <f t="shared" si="170"/>
        <v>#N/A</v>
      </c>
      <c r="Q1114" t="e">
        <f t="shared" si="171"/>
        <v>#N/A</v>
      </c>
      <c r="R1114" t="e">
        <f t="shared" si="172"/>
        <v>#N/A</v>
      </c>
      <c r="S1114" t="e">
        <f t="shared" si="173"/>
        <v>#N/A</v>
      </c>
      <c r="T1114">
        <f t="shared" si="174"/>
        <v>1248000</v>
      </c>
      <c r="U1114">
        <f t="shared" si="175"/>
        <v>333</v>
      </c>
      <c r="V1114" t="e">
        <f t="shared" si="176"/>
        <v>#N/A</v>
      </c>
      <c r="W1114" t="e">
        <f t="shared" si="177"/>
        <v>#N/A</v>
      </c>
      <c r="X1114" t="e">
        <f t="shared" si="178"/>
        <v>#N/A</v>
      </c>
      <c r="Y1114" t="e">
        <f t="shared" si="179"/>
        <v>#N/A</v>
      </c>
    </row>
    <row r="1115" spans="1:25" x14ac:dyDescent="0.2">
      <c r="A1115">
        <v>2113</v>
      </c>
      <c r="B1115" t="s">
        <v>48</v>
      </c>
      <c r="C1115" t="s">
        <v>15</v>
      </c>
      <c r="D1115">
        <v>2022</v>
      </c>
      <c r="E1115" t="s">
        <v>24</v>
      </c>
      <c r="F1115">
        <v>152</v>
      </c>
      <c r="G1115">
        <v>3</v>
      </c>
      <c r="H1115">
        <v>3</v>
      </c>
      <c r="I1115">
        <v>431000</v>
      </c>
      <c r="J1115">
        <v>2835.5</v>
      </c>
      <c r="K1115">
        <v>7</v>
      </c>
      <c r="L1115" t="s">
        <v>17</v>
      </c>
      <c r="M1115">
        <v>146</v>
      </c>
      <c r="N1115" t="s">
        <v>27</v>
      </c>
      <c r="P1115" t="e">
        <f t="shared" si="170"/>
        <v>#N/A</v>
      </c>
      <c r="Q1115" t="e">
        <f t="shared" si="171"/>
        <v>#N/A</v>
      </c>
      <c r="R1115">
        <f t="shared" si="172"/>
        <v>431000</v>
      </c>
      <c r="S1115">
        <f t="shared" si="173"/>
        <v>152</v>
      </c>
      <c r="T1115" t="e">
        <f t="shared" si="174"/>
        <v>#N/A</v>
      </c>
      <c r="U1115" t="e">
        <f t="shared" si="175"/>
        <v>#N/A</v>
      </c>
      <c r="V1115" t="e">
        <f t="shared" si="176"/>
        <v>#N/A</v>
      </c>
      <c r="W1115" t="e">
        <f t="shared" si="177"/>
        <v>#N/A</v>
      </c>
      <c r="X1115" t="e">
        <f t="shared" si="178"/>
        <v>#N/A</v>
      </c>
      <c r="Y1115" t="e">
        <f t="shared" si="179"/>
        <v>#N/A</v>
      </c>
    </row>
    <row r="1116" spans="1:25" x14ac:dyDescent="0.2">
      <c r="A1116">
        <v>2114</v>
      </c>
      <c r="B1116" t="s">
        <v>19</v>
      </c>
      <c r="C1116" t="s">
        <v>38</v>
      </c>
      <c r="D1116">
        <v>2021</v>
      </c>
      <c r="E1116" t="s">
        <v>24</v>
      </c>
      <c r="F1116">
        <v>60</v>
      </c>
      <c r="G1116">
        <v>0</v>
      </c>
      <c r="H1116">
        <v>1</v>
      </c>
      <c r="I1116">
        <v>227000</v>
      </c>
      <c r="J1116">
        <v>3783.3</v>
      </c>
      <c r="K1116">
        <v>15</v>
      </c>
      <c r="L1116" t="s">
        <v>17</v>
      </c>
      <c r="M1116">
        <v>97</v>
      </c>
      <c r="N1116" t="s">
        <v>21</v>
      </c>
      <c r="P1116" t="e">
        <f t="shared" si="170"/>
        <v>#N/A</v>
      </c>
      <c r="Q1116" t="e">
        <f t="shared" si="171"/>
        <v>#N/A</v>
      </c>
      <c r="R1116" t="e">
        <f t="shared" si="172"/>
        <v>#N/A</v>
      </c>
      <c r="S1116" t="e">
        <f t="shared" si="173"/>
        <v>#N/A</v>
      </c>
      <c r="T1116" t="e">
        <f t="shared" si="174"/>
        <v>#N/A</v>
      </c>
      <c r="U1116" t="e">
        <f t="shared" si="175"/>
        <v>#N/A</v>
      </c>
      <c r="V1116">
        <f t="shared" si="176"/>
        <v>227000</v>
      </c>
      <c r="W1116">
        <f t="shared" si="177"/>
        <v>60</v>
      </c>
      <c r="X1116" t="e">
        <f t="shared" si="178"/>
        <v>#N/A</v>
      </c>
      <c r="Y1116" t="e">
        <f t="shared" si="179"/>
        <v>#N/A</v>
      </c>
    </row>
    <row r="1117" spans="1:25" x14ac:dyDescent="0.2">
      <c r="A1117">
        <v>2115</v>
      </c>
      <c r="B1117" t="s">
        <v>44</v>
      </c>
      <c r="C1117" t="s">
        <v>29</v>
      </c>
      <c r="D1117">
        <v>2021</v>
      </c>
      <c r="E1117" t="s">
        <v>30</v>
      </c>
      <c r="F1117">
        <v>472</v>
      </c>
      <c r="G1117">
        <v>5</v>
      </c>
      <c r="H1117">
        <v>5</v>
      </c>
      <c r="I1117">
        <v>2119000</v>
      </c>
      <c r="J1117">
        <v>4489.3999999999996</v>
      </c>
      <c r="K1117">
        <v>15</v>
      </c>
      <c r="L1117" t="s">
        <v>20</v>
      </c>
      <c r="M1117">
        <v>167</v>
      </c>
      <c r="N1117" t="s">
        <v>18</v>
      </c>
      <c r="P1117">
        <f t="shared" si="170"/>
        <v>2119000</v>
      </c>
      <c r="Q1117">
        <f t="shared" si="171"/>
        <v>472</v>
      </c>
      <c r="R1117" t="e">
        <f t="shared" si="172"/>
        <v>#N/A</v>
      </c>
      <c r="S1117" t="e">
        <f t="shared" si="173"/>
        <v>#N/A</v>
      </c>
      <c r="T1117" t="e">
        <f t="shared" si="174"/>
        <v>#N/A</v>
      </c>
      <c r="U1117" t="e">
        <f t="shared" si="175"/>
        <v>#N/A</v>
      </c>
      <c r="V1117" t="e">
        <f t="shared" si="176"/>
        <v>#N/A</v>
      </c>
      <c r="W1117" t="e">
        <f t="shared" si="177"/>
        <v>#N/A</v>
      </c>
      <c r="X1117" t="e">
        <f t="shared" si="178"/>
        <v>#N/A</v>
      </c>
      <c r="Y1117" t="e">
        <f t="shared" si="179"/>
        <v>#N/A</v>
      </c>
    </row>
    <row r="1118" spans="1:25" x14ac:dyDescent="0.2">
      <c r="A1118">
        <v>2116</v>
      </c>
      <c r="B1118" t="s">
        <v>25</v>
      </c>
      <c r="C1118" t="s">
        <v>23</v>
      </c>
      <c r="D1118">
        <v>2022</v>
      </c>
      <c r="E1118" t="s">
        <v>30</v>
      </c>
      <c r="F1118">
        <v>270</v>
      </c>
      <c r="G1118">
        <v>4</v>
      </c>
      <c r="H1118">
        <v>4</v>
      </c>
      <c r="I1118">
        <v>815000</v>
      </c>
      <c r="J1118">
        <v>3018.5</v>
      </c>
      <c r="K1118">
        <v>15</v>
      </c>
      <c r="L1118" t="s">
        <v>34</v>
      </c>
      <c r="M1118">
        <v>28</v>
      </c>
      <c r="N1118" t="s">
        <v>27</v>
      </c>
      <c r="P1118" t="e">
        <f t="shared" si="170"/>
        <v>#N/A</v>
      </c>
      <c r="Q1118" t="e">
        <f t="shared" si="171"/>
        <v>#N/A</v>
      </c>
      <c r="R1118" t="e">
        <f t="shared" si="172"/>
        <v>#N/A</v>
      </c>
      <c r="S1118" t="e">
        <f t="shared" si="173"/>
        <v>#N/A</v>
      </c>
      <c r="T1118">
        <f t="shared" si="174"/>
        <v>815000</v>
      </c>
      <c r="U1118">
        <f t="shared" si="175"/>
        <v>270</v>
      </c>
      <c r="V1118" t="e">
        <f t="shared" si="176"/>
        <v>#N/A</v>
      </c>
      <c r="W1118" t="e">
        <f t="shared" si="177"/>
        <v>#N/A</v>
      </c>
      <c r="X1118" t="e">
        <f t="shared" si="178"/>
        <v>#N/A</v>
      </c>
      <c r="Y1118" t="e">
        <f t="shared" si="179"/>
        <v>#N/A</v>
      </c>
    </row>
    <row r="1119" spans="1:25" x14ac:dyDescent="0.2">
      <c r="A1119">
        <v>2117</v>
      </c>
      <c r="B1119" t="s">
        <v>32</v>
      </c>
      <c r="C1119" t="s">
        <v>15</v>
      </c>
      <c r="D1119">
        <v>2023</v>
      </c>
      <c r="E1119" t="s">
        <v>26</v>
      </c>
      <c r="F1119">
        <v>140</v>
      </c>
      <c r="G1119">
        <v>4</v>
      </c>
      <c r="H1119">
        <v>4</v>
      </c>
      <c r="I1119">
        <v>409000</v>
      </c>
      <c r="J1119">
        <v>2921.4</v>
      </c>
      <c r="K1119">
        <v>2</v>
      </c>
      <c r="L1119" t="s">
        <v>17</v>
      </c>
      <c r="M1119">
        <v>71</v>
      </c>
      <c r="N1119" t="s">
        <v>18</v>
      </c>
      <c r="P1119" t="e">
        <f t="shared" si="170"/>
        <v>#N/A</v>
      </c>
      <c r="Q1119" t="e">
        <f t="shared" si="171"/>
        <v>#N/A</v>
      </c>
      <c r="R1119">
        <f t="shared" si="172"/>
        <v>409000</v>
      </c>
      <c r="S1119">
        <f t="shared" si="173"/>
        <v>140</v>
      </c>
      <c r="T1119" t="e">
        <f t="shared" si="174"/>
        <v>#N/A</v>
      </c>
      <c r="U1119" t="e">
        <f t="shared" si="175"/>
        <v>#N/A</v>
      </c>
      <c r="V1119" t="e">
        <f t="shared" si="176"/>
        <v>#N/A</v>
      </c>
      <c r="W1119" t="e">
        <f t="shared" si="177"/>
        <v>#N/A</v>
      </c>
      <c r="X1119" t="e">
        <f t="shared" si="178"/>
        <v>#N/A</v>
      </c>
      <c r="Y1119" t="e">
        <f t="shared" si="179"/>
        <v>#N/A</v>
      </c>
    </row>
    <row r="1120" spans="1:25" x14ac:dyDescent="0.2">
      <c r="A1120">
        <v>2118</v>
      </c>
      <c r="B1120" t="s">
        <v>41</v>
      </c>
      <c r="C1120" t="s">
        <v>15</v>
      </c>
      <c r="D1120">
        <v>2024</v>
      </c>
      <c r="E1120" t="s">
        <v>16</v>
      </c>
      <c r="F1120">
        <v>163</v>
      </c>
      <c r="G1120">
        <v>3</v>
      </c>
      <c r="H1120">
        <v>3</v>
      </c>
      <c r="I1120">
        <v>866000</v>
      </c>
      <c r="J1120">
        <v>5312.9</v>
      </c>
      <c r="K1120">
        <v>3</v>
      </c>
      <c r="L1120" t="s">
        <v>17</v>
      </c>
      <c r="M1120">
        <v>139</v>
      </c>
      <c r="N1120" t="s">
        <v>21</v>
      </c>
      <c r="P1120" t="e">
        <f t="shared" si="170"/>
        <v>#N/A</v>
      </c>
      <c r="Q1120" t="e">
        <f t="shared" si="171"/>
        <v>#N/A</v>
      </c>
      <c r="R1120">
        <f t="shared" si="172"/>
        <v>866000</v>
      </c>
      <c r="S1120">
        <f t="shared" si="173"/>
        <v>163</v>
      </c>
      <c r="T1120" t="e">
        <f t="shared" si="174"/>
        <v>#N/A</v>
      </c>
      <c r="U1120" t="e">
        <f t="shared" si="175"/>
        <v>#N/A</v>
      </c>
      <c r="V1120" t="e">
        <f t="shared" si="176"/>
        <v>#N/A</v>
      </c>
      <c r="W1120" t="e">
        <f t="shared" si="177"/>
        <v>#N/A</v>
      </c>
      <c r="X1120" t="e">
        <f t="shared" si="178"/>
        <v>#N/A</v>
      </c>
      <c r="Y1120" t="e">
        <f t="shared" si="179"/>
        <v>#N/A</v>
      </c>
    </row>
    <row r="1121" spans="1:25" x14ac:dyDescent="0.2">
      <c r="A1121">
        <v>2119</v>
      </c>
      <c r="B1121" t="s">
        <v>33</v>
      </c>
      <c r="C1121" t="s">
        <v>36</v>
      </c>
      <c r="D1121">
        <v>2022</v>
      </c>
      <c r="E1121" t="s">
        <v>16</v>
      </c>
      <c r="F1121">
        <v>174</v>
      </c>
      <c r="G1121">
        <v>3</v>
      </c>
      <c r="H1121">
        <v>3</v>
      </c>
      <c r="I1121">
        <v>358000</v>
      </c>
      <c r="J1121">
        <v>2057.5</v>
      </c>
      <c r="K1121">
        <v>0</v>
      </c>
      <c r="L1121" t="s">
        <v>17</v>
      </c>
      <c r="M1121">
        <v>171</v>
      </c>
      <c r="N1121" t="s">
        <v>27</v>
      </c>
      <c r="P1121" t="e">
        <f t="shared" si="170"/>
        <v>#N/A</v>
      </c>
      <c r="Q1121" t="e">
        <f t="shared" si="171"/>
        <v>#N/A</v>
      </c>
      <c r="R1121" t="e">
        <f t="shared" si="172"/>
        <v>#N/A</v>
      </c>
      <c r="S1121" t="e">
        <f t="shared" si="173"/>
        <v>#N/A</v>
      </c>
      <c r="T1121" t="e">
        <f t="shared" si="174"/>
        <v>#N/A</v>
      </c>
      <c r="U1121" t="e">
        <f t="shared" si="175"/>
        <v>#N/A</v>
      </c>
      <c r="V1121" t="e">
        <f t="shared" si="176"/>
        <v>#N/A</v>
      </c>
      <c r="W1121" t="e">
        <f t="shared" si="177"/>
        <v>#N/A</v>
      </c>
      <c r="X1121">
        <f t="shared" si="178"/>
        <v>358000</v>
      </c>
      <c r="Y1121">
        <f t="shared" si="179"/>
        <v>174</v>
      </c>
    </row>
    <row r="1122" spans="1:25" x14ac:dyDescent="0.2">
      <c r="A1122">
        <v>2120</v>
      </c>
      <c r="B1122" t="s">
        <v>19</v>
      </c>
      <c r="C1122" t="s">
        <v>23</v>
      </c>
      <c r="D1122">
        <v>2023</v>
      </c>
      <c r="E1122" t="s">
        <v>30</v>
      </c>
      <c r="F1122">
        <v>279</v>
      </c>
      <c r="G1122">
        <v>4</v>
      </c>
      <c r="H1122">
        <v>4</v>
      </c>
      <c r="I1122">
        <v>1118000</v>
      </c>
      <c r="J1122">
        <v>4007.2</v>
      </c>
      <c r="K1122">
        <v>1</v>
      </c>
      <c r="L1122" t="s">
        <v>17</v>
      </c>
      <c r="M1122">
        <v>77</v>
      </c>
      <c r="N1122" t="s">
        <v>21</v>
      </c>
      <c r="P1122" t="e">
        <f t="shared" si="170"/>
        <v>#N/A</v>
      </c>
      <c r="Q1122" t="e">
        <f t="shared" si="171"/>
        <v>#N/A</v>
      </c>
      <c r="R1122" t="e">
        <f t="shared" si="172"/>
        <v>#N/A</v>
      </c>
      <c r="S1122" t="e">
        <f t="shared" si="173"/>
        <v>#N/A</v>
      </c>
      <c r="T1122">
        <f t="shared" si="174"/>
        <v>1118000</v>
      </c>
      <c r="U1122">
        <f t="shared" si="175"/>
        <v>279</v>
      </c>
      <c r="V1122" t="e">
        <f t="shared" si="176"/>
        <v>#N/A</v>
      </c>
      <c r="W1122" t="e">
        <f t="shared" si="177"/>
        <v>#N/A</v>
      </c>
      <c r="X1122" t="e">
        <f t="shared" si="178"/>
        <v>#N/A</v>
      </c>
      <c r="Y1122" t="e">
        <f t="shared" si="179"/>
        <v>#N/A</v>
      </c>
    </row>
    <row r="1123" spans="1:25" x14ac:dyDescent="0.2">
      <c r="A1123">
        <v>2121</v>
      </c>
      <c r="B1123" t="s">
        <v>35</v>
      </c>
      <c r="C1123" t="s">
        <v>15</v>
      </c>
      <c r="D1123">
        <v>2022</v>
      </c>
      <c r="E1123" t="s">
        <v>24</v>
      </c>
      <c r="F1123">
        <v>133</v>
      </c>
      <c r="G1123">
        <v>2</v>
      </c>
      <c r="H1123">
        <v>2</v>
      </c>
      <c r="I1123">
        <v>465000</v>
      </c>
      <c r="J1123">
        <v>3496.2</v>
      </c>
      <c r="K1123">
        <v>15</v>
      </c>
      <c r="L1123" t="s">
        <v>17</v>
      </c>
      <c r="M1123">
        <v>80</v>
      </c>
      <c r="N1123" t="s">
        <v>18</v>
      </c>
      <c r="P1123" t="e">
        <f t="shared" si="170"/>
        <v>#N/A</v>
      </c>
      <c r="Q1123" t="e">
        <f t="shared" si="171"/>
        <v>#N/A</v>
      </c>
      <c r="R1123">
        <f t="shared" si="172"/>
        <v>465000</v>
      </c>
      <c r="S1123">
        <f t="shared" si="173"/>
        <v>133</v>
      </c>
      <c r="T1123" t="e">
        <f t="shared" si="174"/>
        <v>#N/A</v>
      </c>
      <c r="U1123" t="e">
        <f t="shared" si="175"/>
        <v>#N/A</v>
      </c>
      <c r="V1123" t="e">
        <f t="shared" si="176"/>
        <v>#N/A</v>
      </c>
      <c r="W1123" t="e">
        <f t="shared" si="177"/>
        <v>#N/A</v>
      </c>
      <c r="X1123" t="e">
        <f t="shared" si="178"/>
        <v>#N/A</v>
      </c>
      <c r="Y1123" t="e">
        <f t="shared" si="179"/>
        <v>#N/A</v>
      </c>
    </row>
    <row r="1124" spans="1:25" x14ac:dyDescent="0.2">
      <c r="A1124">
        <v>2122</v>
      </c>
      <c r="B1124" t="s">
        <v>40</v>
      </c>
      <c r="C1124" t="s">
        <v>15</v>
      </c>
      <c r="D1124">
        <v>2024</v>
      </c>
      <c r="E1124" t="s">
        <v>26</v>
      </c>
      <c r="F1124">
        <v>122</v>
      </c>
      <c r="G1124">
        <v>4</v>
      </c>
      <c r="H1124">
        <v>4</v>
      </c>
      <c r="I1124">
        <v>445000</v>
      </c>
      <c r="J1124">
        <v>3647.5</v>
      </c>
      <c r="K1124">
        <v>5</v>
      </c>
      <c r="L1124" t="s">
        <v>20</v>
      </c>
      <c r="M1124">
        <v>175</v>
      </c>
      <c r="N1124" t="s">
        <v>18</v>
      </c>
      <c r="P1124" t="e">
        <f t="shared" si="170"/>
        <v>#N/A</v>
      </c>
      <c r="Q1124" t="e">
        <f t="shared" si="171"/>
        <v>#N/A</v>
      </c>
      <c r="R1124">
        <f t="shared" si="172"/>
        <v>445000</v>
      </c>
      <c r="S1124">
        <f t="shared" si="173"/>
        <v>122</v>
      </c>
      <c r="T1124" t="e">
        <f t="shared" si="174"/>
        <v>#N/A</v>
      </c>
      <c r="U1124" t="e">
        <f t="shared" si="175"/>
        <v>#N/A</v>
      </c>
      <c r="V1124" t="e">
        <f t="shared" si="176"/>
        <v>#N/A</v>
      </c>
      <c r="W1124" t="e">
        <f t="shared" si="177"/>
        <v>#N/A</v>
      </c>
      <c r="X1124" t="e">
        <f t="shared" si="178"/>
        <v>#N/A</v>
      </c>
      <c r="Y1124" t="e">
        <f t="shared" si="179"/>
        <v>#N/A</v>
      </c>
    </row>
    <row r="1125" spans="1:25" x14ac:dyDescent="0.2">
      <c r="A1125">
        <v>2123</v>
      </c>
      <c r="B1125" t="s">
        <v>37</v>
      </c>
      <c r="C1125" t="s">
        <v>38</v>
      </c>
      <c r="D1125">
        <v>2021</v>
      </c>
      <c r="E1125" t="s">
        <v>16</v>
      </c>
      <c r="F1125">
        <v>59</v>
      </c>
      <c r="G1125">
        <v>0</v>
      </c>
      <c r="H1125">
        <v>1</v>
      </c>
      <c r="I1125">
        <v>282000</v>
      </c>
      <c r="J1125">
        <v>4779.7</v>
      </c>
      <c r="K1125">
        <v>5</v>
      </c>
      <c r="L1125" t="s">
        <v>17</v>
      </c>
      <c r="M1125">
        <v>58</v>
      </c>
      <c r="N1125" t="s">
        <v>27</v>
      </c>
      <c r="P1125" t="e">
        <f t="shared" si="170"/>
        <v>#N/A</v>
      </c>
      <c r="Q1125" t="e">
        <f t="shared" si="171"/>
        <v>#N/A</v>
      </c>
      <c r="R1125" t="e">
        <f t="shared" si="172"/>
        <v>#N/A</v>
      </c>
      <c r="S1125" t="e">
        <f t="shared" si="173"/>
        <v>#N/A</v>
      </c>
      <c r="T1125" t="e">
        <f t="shared" si="174"/>
        <v>#N/A</v>
      </c>
      <c r="U1125" t="e">
        <f t="shared" si="175"/>
        <v>#N/A</v>
      </c>
      <c r="V1125">
        <f t="shared" si="176"/>
        <v>282000</v>
      </c>
      <c r="W1125">
        <f t="shared" si="177"/>
        <v>59</v>
      </c>
      <c r="X1125" t="e">
        <f t="shared" si="178"/>
        <v>#N/A</v>
      </c>
      <c r="Y1125" t="e">
        <f t="shared" si="179"/>
        <v>#N/A</v>
      </c>
    </row>
    <row r="1126" spans="1:25" x14ac:dyDescent="0.2">
      <c r="A1126">
        <v>2124</v>
      </c>
      <c r="B1126" t="s">
        <v>40</v>
      </c>
      <c r="C1126" t="s">
        <v>15</v>
      </c>
      <c r="D1126">
        <v>2021</v>
      </c>
      <c r="E1126" t="s">
        <v>24</v>
      </c>
      <c r="F1126">
        <v>126</v>
      </c>
      <c r="G1126">
        <v>4</v>
      </c>
      <c r="H1126">
        <v>4</v>
      </c>
      <c r="I1126">
        <v>365000</v>
      </c>
      <c r="J1126">
        <v>2896.8</v>
      </c>
      <c r="K1126">
        <v>0</v>
      </c>
      <c r="L1126" t="s">
        <v>17</v>
      </c>
      <c r="M1126">
        <v>76</v>
      </c>
      <c r="N1126" t="s">
        <v>18</v>
      </c>
      <c r="P1126" t="e">
        <f t="shared" si="170"/>
        <v>#N/A</v>
      </c>
      <c r="Q1126" t="e">
        <f t="shared" si="171"/>
        <v>#N/A</v>
      </c>
      <c r="R1126">
        <f t="shared" si="172"/>
        <v>365000</v>
      </c>
      <c r="S1126">
        <f t="shared" si="173"/>
        <v>126</v>
      </c>
      <c r="T1126" t="e">
        <f t="shared" si="174"/>
        <v>#N/A</v>
      </c>
      <c r="U1126" t="e">
        <f t="shared" si="175"/>
        <v>#N/A</v>
      </c>
      <c r="V1126" t="e">
        <f t="shared" si="176"/>
        <v>#N/A</v>
      </c>
      <c r="W1126" t="e">
        <f t="shared" si="177"/>
        <v>#N/A</v>
      </c>
      <c r="X1126" t="e">
        <f t="shared" si="178"/>
        <v>#N/A</v>
      </c>
      <c r="Y1126" t="e">
        <f t="shared" si="179"/>
        <v>#N/A</v>
      </c>
    </row>
    <row r="1127" spans="1:25" x14ac:dyDescent="0.2">
      <c r="A1127">
        <v>2125</v>
      </c>
      <c r="B1127" t="s">
        <v>14</v>
      </c>
      <c r="C1127" t="s">
        <v>15</v>
      </c>
      <c r="D1127">
        <v>2023</v>
      </c>
      <c r="E1127" t="s">
        <v>30</v>
      </c>
      <c r="F1127">
        <v>171</v>
      </c>
      <c r="G1127">
        <v>4</v>
      </c>
      <c r="H1127">
        <v>4</v>
      </c>
      <c r="I1127">
        <v>715000</v>
      </c>
      <c r="J1127">
        <v>4181.3</v>
      </c>
      <c r="K1127">
        <v>0</v>
      </c>
      <c r="L1127" t="s">
        <v>17</v>
      </c>
      <c r="M1127">
        <v>71</v>
      </c>
      <c r="N1127" t="s">
        <v>18</v>
      </c>
      <c r="P1127" t="e">
        <f t="shared" si="170"/>
        <v>#N/A</v>
      </c>
      <c r="Q1127" t="e">
        <f t="shared" si="171"/>
        <v>#N/A</v>
      </c>
      <c r="R1127">
        <f t="shared" si="172"/>
        <v>715000</v>
      </c>
      <c r="S1127">
        <f t="shared" si="173"/>
        <v>171</v>
      </c>
      <c r="T1127" t="e">
        <f t="shared" si="174"/>
        <v>#N/A</v>
      </c>
      <c r="U1127" t="e">
        <f t="shared" si="175"/>
        <v>#N/A</v>
      </c>
      <c r="V1127" t="e">
        <f t="shared" si="176"/>
        <v>#N/A</v>
      </c>
      <c r="W1127" t="e">
        <f t="shared" si="177"/>
        <v>#N/A</v>
      </c>
      <c r="X1127" t="e">
        <f t="shared" si="178"/>
        <v>#N/A</v>
      </c>
      <c r="Y1127" t="e">
        <f t="shared" si="179"/>
        <v>#N/A</v>
      </c>
    </row>
    <row r="1128" spans="1:25" x14ac:dyDescent="0.2">
      <c r="A1128">
        <v>2126</v>
      </c>
      <c r="B1128" t="s">
        <v>43</v>
      </c>
      <c r="C1128" t="s">
        <v>15</v>
      </c>
      <c r="D1128">
        <v>2023</v>
      </c>
      <c r="E1128" t="s">
        <v>24</v>
      </c>
      <c r="F1128">
        <v>174</v>
      </c>
      <c r="G1128">
        <v>2</v>
      </c>
      <c r="H1128">
        <v>2</v>
      </c>
      <c r="I1128">
        <v>741000</v>
      </c>
      <c r="J1128">
        <v>4258.6000000000004</v>
      </c>
      <c r="K1128">
        <v>5</v>
      </c>
      <c r="L1128" t="s">
        <v>20</v>
      </c>
      <c r="M1128">
        <v>29</v>
      </c>
      <c r="N1128" t="s">
        <v>27</v>
      </c>
      <c r="P1128" t="e">
        <f t="shared" si="170"/>
        <v>#N/A</v>
      </c>
      <c r="Q1128" t="e">
        <f t="shared" si="171"/>
        <v>#N/A</v>
      </c>
      <c r="R1128">
        <f t="shared" si="172"/>
        <v>741000</v>
      </c>
      <c r="S1128">
        <f t="shared" si="173"/>
        <v>174</v>
      </c>
      <c r="T1128" t="e">
        <f t="shared" si="174"/>
        <v>#N/A</v>
      </c>
      <c r="U1128" t="e">
        <f t="shared" si="175"/>
        <v>#N/A</v>
      </c>
      <c r="V1128" t="e">
        <f t="shared" si="176"/>
        <v>#N/A</v>
      </c>
      <c r="W1128" t="e">
        <f t="shared" si="177"/>
        <v>#N/A</v>
      </c>
      <c r="X1128" t="e">
        <f t="shared" si="178"/>
        <v>#N/A</v>
      </c>
      <c r="Y1128" t="e">
        <f t="shared" si="179"/>
        <v>#N/A</v>
      </c>
    </row>
    <row r="1129" spans="1:25" x14ac:dyDescent="0.2">
      <c r="A1129">
        <v>2127</v>
      </c>
      <c r="B1129" t="s">
        <v>43</v>
      </c>
      <c r="C1129" t="s">
        <v>23</v>
      </c>
      <c r="D1129">
        <v>2021</v>
      </c>
      <c r="E1129" t="s">
        <v>16</v>
      </c>
      <c r="F1129">
        <v>306</v>
      </c>
      <c r="G1129">
        <v>4</v>
      </c>
      <c r="H1129">
        <v>4</v>
      </c>
      <c r="I1129">
        <v>1245000</v>
      </c>
      <c r="J1129">
        <v>4068.6</v>
      </c>
      <c r="K1129">
        <v>3</v>
      </c>
      <c r="L1129" t="s">
        <v>20</v>
      </c>
      <c r="M1129">
        <v>94</v>
      </c>
      <c r="N1129" t="s">
        <v>27</v>
      </c>
      <c r="P1129" t="e">
        <f t="shared" si="170"/>
        <v>#N/A</v>
      </c>
      <c r="Q1129" t="e">
        <f t="shared" si="171"/>
        <v>#N/A</v>
      </c>
      <c r="R1129" t="e">
        <f t="shared" si="172"/>
        <v>#N/A</v>
      </c>
      <c r="S1129" t="e">
        <f t="shared" si="173"/>
        <v>#N/A</v>
      </c>
      <c r="T1129">
        <f t="shared" si="174"/>
        <v>1245000</v>
      </c>
      <c r="U1129">
        <f t="shared" si="175"/>
        <v>306</v>
      </c>
      <c r="V1129" t="e">
        <f t="shared" si="176"/>
        <v>#N/A</v>
      </c>
      <c r="W1129" t="e">
        <f t="shared" si="177"/>
        <v>#N/A</v>
      </c>
      <c r="X1129" t="e">
        <f t="shared" si="178"/>
        <v>#N/A</v>
      </c>
      <c r="Y1129" t="e">
        <f t="shared" si="179"/>
        <v>#N/A</v>
      </c>
    </row>
    <row r="1130" spans="1:25" x14ac:dyDescent="0.2">
      <c r="A1130">
        <v>2128</v>
      </c>
      <c r="B1130" t="s">
        <v>45</v>
      </c>
      <c r="C1130" t="s">
        <v>23</v>
      </c>
      <c r="D1130">
        <v>2022</v>
      </c>
      <c r="E1130" t="s">
        <v>24</v>
      </c>
      <c r="F1130">
        <v>316</v>
      </c>
      <c r="G1130">
        <v>4</v>
      </c>
      <c r="H1130">
        <v>4</v>
      </c>
      <c r="I1130">
        <v>1467000</v>
      </c>
      <c r="J1130">
        <v>4642.3999999999996</v>
      </c>
      <c r="K1130">
        <v>1</v>
      </c>
      <c r="L1130" t="s">
        <v>17</v>
      </c>
      <c r="M1130">
        <v>68</v>
      </c>
      <c r="N1130" t="s">
        <v>21</v>
      </c>
      <c r="P1130" t="e">
        <f t="shared" si="170"/>
        <v>#N/A</v>
      </c>
      <c r="Q1130" t="e">
        <f t="shared" si="171"/>
        <v>#N/A</v>
      </c>
      <c r="R1130" t="e">
        <f t="shared" si="172"/>
        <v>#N/A</v>
      </c>
      <c r="S1130" t="e">
        <f t="shared" si="173"/>
        <v>#N/A</v>
      </c>
      <c r="T1130">
        <f t="shared" si="174"/>
        <v>1467000</v>
      </c>
      <c r="U1130">
        <f t="shared" si="175"/>
        <v>316</v>
      </c>
      <c r="V1130" t="e">
        <f t="shared" si="176"/>
        <v>#N/A</v>
      </c>
      <c r="W1130" t="e">
        <f t="shared" si="177"/>
        <v>#N/A</v>
      </c>
      <c r="X1130" t="e">
        <f t="shared" si="178"/>
        <v>#N/A</v>
      </c>
      <c r="Y1130" t="e">
        <f t="shared" si="179"/>
        <v>#N/A</v>
      </c>
    </row>
    <row r="1131" spans="1:25" x14ac:dyDescent="0.2">
      <c r="A1131">
        <v>2129</v>
      </c>
      <c r="B1131" t="s">
        <v>35</v>
      </c>
      <c r="C1131" t="s">
        <v>29</v>
      </c>
      <c r="D1131">
        <v>2021</v>
      </c>
      <c r="E1131" t="s">
        <v>30</v>
      </c>
      <c r="F1131">
        <v>461</v>
      </c>
      <c r="G1131">
        <v>6</v>
      </c>
      <c r="H1131">
        <v>6</v>
      </c>
      <c r="I1131">
        <v>2068000</v>
      </c>
      <c r="J1131">
        <v>4485.8999999999996</v>
      </c>
      <c r="K1131">
        <v>10</v>
      </c>
      <c r="L1131" t="s">
        <v>20</v>
      </c>
      <c r="M1131">
        <v>74</v>
      </c>
      <c r="N1131" t="s">
        <v>18</v>
      </c>
      <c r="P1131">
        <f t="shared" si="170"/>
        <v>2068000</v>
      </c>
      <c r="Q1131">
        <f t="shared" si="171"/>
        <v>461</v>
      </c>
      <c r="R1131" t="e">
        <f t="shared" si="172"/>
        <v>#N/A</v>
      </c>
      <c r="S1131" t="e">
        <f t="shared" si="173"/>
        <v>#N/A</v>
      </c>
      <c r="T1131" t="e">
        <f t="shared" si="174"/>
        <v>#N/A</v>
      </c>
      <c r="U1131" t="e">
        <f t="shared" si="175"/>
        <v>#N/A</v>
      </c>
      <c r="V1131" t="e">
        <f t="shared" si="176"/>
        <v>#N/A</v>
      </c>
      <c r="W1131" t="e">
        <f t="shared" si="177"/>
        <v>#N/A</v>
      </c>
      <c r="X1131" t="e">
        <f t="shared" si="178"/>
        <v>#N/A</v>
      </c>
      <c r="Y1131" t="e">
        <f t="shared" si="179"/>
        <v>#N/A</v>
      </c>
    </row>
    <row r="1132" spans="1:25" x14ac:dyDescent="0.2">
      <c r="A1132">
        <v>2130</v>
      </c>
      <c r="B1132" t="s">
        <v>31</v>
      </c>
      <c r="C1132" t="s">
        <v>15</v>
      </c>
      <c r="D1132">
        <v>2022</v>
      </c>
      <c r="E1132" t="s">
        <v>16</v>
      </c>
      <c r="F1132">
        <v>169</v>
      </c>
      <c r="G1132">
        <v>2</v>
      </c>
      <c r="H1132">
        <v>2</v>
      </c>
      <c r="I1132">
        <v>461000</v>
      </c>
      <c r="J1132">
        <v>2727.8</v>
      </c>
      <c r="K1132">
        <v>0</v>
      </c>
      <c r="L1132" t="s">
        <v>34</v>
      </c>
      <c r="M1132">
        <v>21</v>
      </c>
      <c r="N1132" t="s">
        <v>21</v>
      </c>
      <c r="P1132" t="e">
        <f t="shared" si="170"/>
        <v>#N/A</v>
      </c>
      <c r="Q1132" t="e">
        <f t="shared" si="171"/>
        <v>#N/A</v>
      </c>
      <c r="R1132">
        <f t="shared" si="172"/>
        <v>461000</v>
      </c>
      <c r="S1132">
        <f t="shared" si="173"/>
        <v>169</v>
      </c>
      <c r="T1132" t="e">
        <f t="shared" si="174"/>
        <v>#N/A</v>
      </c>
      <c r="U1132" t="e">
        <f t="shared" si="175"/>
        <v>#N/A</v>
      </c>
      <c r="V1132" t="e">
        <f t="shared" si="176"/>
        <v>#N/A</v>
      </c>
      <c r="W1132" t="e">
        <f t="shared" si="177"/>
        <v>#N/A</v>
      </c>
      <c r="X1132" t="e">
        <f t="shared" si="178"/>
        <v>#N/A</v>
      </c>
      <c r="Y1132" t="e">
        <f t="shared" si="179"/>
        <v>#N/A</v>
      </c>
    </row>
    <row r="1133" spans="1:25" x14ac:dyDescent="0.2">
      <c r="A1133">
        <v>2131</v>
      </c>
      <c r="B1133" t="s">
        <v>43</v>
      </c>
      <c r="C1133" t="s">
        <v>29</v>
      </c>
      <c r="D1133">
        <v>2024</v>
      </c>
      <c r="E1133" t="s">
        <v>26</v>
      </c>
      <c r="F1133">
        <v>480</v>
      </c>
      <c r="G1133">
        <v>5</v>
      </c>
      <c r="H1133">
        <v>5</v>
      </c>
      <c r="I1133">
        <v>3553000</v>
      </c>
      <c r="J1133">
        <v>7402.1</v>
      </c>
      <c r="K1133">
        <v>4</v>
      </c>
      <c r="L1133" t="s">
        <v>34</v>
      </c>
      <c r="M1133">
        <v>24</v>
      </c>
      <c r="N1133" t="s">
        <v>27</v>
      </c>
      <c r="P1133">
        <f t="shared" si="170"/>
        <v>3553000</v>
      </c>
      <c r="Q1133">
        <f t="shared" si="171"/>
        <v>480</v>
      </c>
      <c r="R1133" t="e">
        <f t="shared" si="172"/>
        <v>#N/A</v>
      </c>
      <c r="S1133" t="e">
        <f t="shared" si="173"/>
        <v>#N/A</v>
      </c>
      <c r="T1133" t="e">
        <f t="shared" si="174"/>
        <v>#N/A</v>
      </c>
      <c r="U1133" t="e">
        <f t="shared" si="175"/>
        <v>#N/A</v>
      </c>
      <c r="V1133" t="e">
        <f t="shared" si="176"/>
        <v>#N/A</v>
      </c>
      <c r="W1133" t="e">
        <f t="shared" si="177"/>
        <v>#N/A</v>
      </c>
      <c r="X1133" t="e">
        <f t="shared" si="178"/>
        <v>#N/A</v>
      </c>
      <c r="Y1133" t="e">
        <f t="shared" si="179"/>
        <v>#N/A</v>
      </c>
    </row>
    <row r="1134" spans="1:25" x14ac:dyDescent="0.2">
      <c r="A1134">
        <v>2132</v>
      </c>
      <c r="B1134" t="s">
        <v>31</v>
      </c>
      <c r="C1134" t="s">
        <v>15</v>
      </c>
      <c r="D1134">
        <v>2021</v>
      </c>
      <c r="E1134" t="s">
        <v>26</v>
      </c>
      <c r="F1134">
        <v>156</v>
      </c>
      <c r="G1134">
        <v>4</v>
      </c>
      <c r="H1134">
        <v>4</v>
      </c>
      <c r="I1134">
        <v>359000</v>
      </c>
      <c r="J1134">
        <v>2301.3000000000002</v>
      </c>
      <c r="K1134">
        <v>4</v>
      </c>
      <c r="L1134" t="s">
        <v>34</v>
      </c>
      <c r="M1134">
        <v>26</v>
      </c>
      <c r="N1134" t="s">
        <v>21</v>
      </c>
      <c r="P1134" t="e">
        <f t="shared" si="170"/>
        <v>#N/A</v>
      </c>
      <c r="Q1134" t="e">
        <f t="shared" si="171"/>
        <v>#N/A</v>
      </c>
      <c r="R1134">
        <f t="shared" si="172"/>
        <v>359000</v>
      </c>
      <c r="S1134">
        <f t="shared" si="173"/>
        <v>156</v>
      </c>
      <c r="T1134" t="e">
        <f t="shared" si="174"/>
        <v>#N/A</v>
      </c>
      <c r="U1134" t="e">
        <f t="shared" si="175"/>
        <v>#N/A</v>
      </c>
      <c r="V1134" t="e">
        <f t="shared" si="176"/>
        <v>#N/A</v>
      </c>
      <c r="W1134" t="e">
        <f t="shared" si="177"/>
        <v>#N/A</v>
      </c>
      <c r="X1134" t="e">
        <f t="shared" si="178"/>
        <v>#N/A</v>
      </c>
      <c r="Y1134" t="e">
        <f t="shared" si="179"/>
        <v>#N/A</v>
      </c>
    </row>
    <row r="1135" spans="1:25" x14ac:dyDescent="0.2">
      <c r="A1135">
        <v>2133</v>
      </c>
      <c r="B1135" t="s">
        <v>39</v>
      </c>
      <c r="C1135" t="s">
        <v>23</v>
      </c>
      <c r="D1135">
        <v>2024</v>
      </c>
      <c r="E1135" t="s">
        <v>24</v>
      </c>
      <c r="F1135">
        <v>334</v>
      </c>
      <c r="G1135">
        <v>4</v>
      </c>
      <c r="H1135">
        <v>4</v>
      </c>
      <c r="I1135">
        <v>1655000</v>
      </c>
      <c r="J1135">
        <v>4955.1000000000004</v>
      </c>
      <c r="K1135">
        <v>1</v>
      </c>
      <c r="L1135" t="s">
        <v>17</v>
      </c>
      <c r="M1135">
        <v>60</v>
      </c>
      <c r="N1135" t="s">
        <v>21</v>
      </c>
      <c r="P1135" t="e">
        <f t="shared" si="170"/>
        <v>#N/A</v>
      </c>
      <c r="Q1135" t="e">
        <f t="shared" si="171"/>
        <v>#N/A</v>
      </c>
      <c r="R1135" t="e">
        <f t="shared" si="172"/>
        <v>#N/A</v>
      </c>
      <c r="S1135" t="e">
        <f t="shared" si="173"/>
        <v>#N/A</v>
      </c>
      <c r="T1135">
        <f t="shared" si="174"/>
        <v>1655000</v>
      </c>
      <c r="U1135">
        <f t="shared" si="175"/>
        <v>334</v>
      </c>
      <c r="V1135" t="e">
        <f t="shared" si="176"/>
        <v>#N/A</v>
      </c>
      <c r="W1135" t="e">
        <f t="shared" si="177"/>
        <v>#N/A</v>
      </c>
      <c r="X1135" t="e">
        <f t="shared" si="178"/>
        <v>#N/A</v>
      </c>
      <c r="Y1135" t="e">
        <f t="shared" si="179"/>
        <v>#N/A</v>
      </c>
    </row>
    <row r="1136" spans="1:25" x14ac:dyDescent="0.2">
      <c r="A1136">
        <v>2134</v>
      </c>
      <c r="B1136" t="s">
        <v>48</v>
      </c>
      <c r="C1136" t="s">
        <v>23</v>
      </c>
      <c r="D1136">
        <v>2023</v>
      </c>
      <c r="E1136" t="s">
        <v>16</v>
      </c>
      <c r="F1136">
        <v>272</v>
      </c>
      <c r="G1136">
        <v>5</v>
      </c>
      <c r="H1136">
        <v>5</v>
      </c>
      <c r="I1136">
        <v>979000</v>
      </c>
      <c r="J1136">
        <v>3599.3</v>
      </c>
      <c r="K1136">
        <v>0</v>
      </c>
      <c r="L1136" t="s">
        <v>17</v>
      </c>
      <c r="M1136">
        <v>154</v>
      </c>
      <c r="N1136" t="s">
        <v>27</v>
      </c>
      <c r="P1136" t="e">
        <f t="shared" si="170"/>
        <v>#N/A</v>
      </c>
      <c r="Q1136" t="e">
        <f t="shared" si="171"/>
        <v>#N/A</v>
      </c>
      <c r="R1136" t="e">
        <f t="shared" si="172"/>
        <v>#N/A</v>
      </c>
      <c r="S1136" t="e">
        <f t="shared" si="173"/>
        <v>#N/A</v>
      </c>
      <c r="T1136">
        <f t="shared" si="174"/>
        <v>979000</v>
      </c>
      <c r="U1136">
        <f t="shared" si="175"/>
        <v>272</v>
      </c>
      <c r="V1136" t="e">
        <f t="shared" si="176"/>
        <v>#N/A</v>
      </c>
      <c r="W1136" t="e">
        <f t="shared" si="177"/>
        <v>#N/A</v>
      </c>
      <c r="X1136" t="e">
        <f t="shared" si="178"/>
        <v>#N/A</v>
      </c>
      <c r="Y1136" t="e">
        <f t="shared" si="179"/>
        <v>#N/A</v>
      </c>
    </row>
    <row r="1137" spans="1:25" x14ac:dyDescent="0.2">
      <c r="A1137">
        <v>2135</v>
      </c>
      <c r="B1137" t="s">
        <v>47</v>
      </c>
      <c r="C1137" t="s">
        <v>29</v>
      </c>
      <c r="D1137">
        <v>2022</v>
      </c>
      <c r="E1137" t="s">
        <v>16</v>
      </c>
      <c r="F1137">
        <v>360</v>
      </c>
      <c r="G1137">
        <v>4</v>
      </c>
      <c r="H1137">
        <v>4</v>
      </c>
      <c r="I1137">
        <v>1482000</v>
      </c>
      <c r="J1137">
        <v>4116.7</v>
      </c>
      <c r="K1137">
        <v>1</v>
      </c>
      <c r="L1137" t="s">
        <v>17</v>
      </c>
      <c r="M1137">
        <v>103</v>
      </c>
      <c r="N1137" t="s">
        <v>21</v>
      </c>
      <c r="P1137">
        <f t="shared" si="170"/>
        <v>1482000</v>
      </c>
      <c r="Q1137">
        <f t="shared" si="171"/>
        <v>360</v>
      </c>
      <c r="R1137" t="e">
        <f t="shared" si="172"/>
        <v>#N/A</v>
      </c>
      <c r="S1137" t="e">
        <f t="shared" si="173"/>
        <v>#N/A</v>
      </c>
      <c r="T1137" t="e">
        <f t="shared" si="174"/>
        <v>#N/A</v>
      </c>
      <c r="U1137" t="e">
        <f t="shared" si="175"/>
        <v>#N/A</v>
      </c>
      <c r="V1137" t="e">
        <f t="shared" si="176"/>
        <v>#N/A</v>
      </c>
      <c r="W1137" t="e">
        <f t="shared" si="177"/>
        <v>#N/A</v>
      </c>
      <c r="X1137" t="e">
        <f t="shared" si="178"/>
        <v>#N/A</v>
      </c>
      <c r="Y1137" t="e">
        <f t="shared" si="179"/>
        <v>#N/A</v>
      </c>
    </row>
    <row r="1138" spans="1:25" x14ac:dyDescent="0.2">
      <c r="A1138">
        <v>2136</v>
      </c>
      <c r="B1138" t="s">
        <v>43</v>
      </c>
      <c r="C1138" t="s">
        <v>38</v>
      </c>
      <c r="D1138">
        <v>2022</v>
      </c>
      <c r="E1138" t="s">
        <v>26</v>
      </c>
      <c r="F1138">
        <v>47</v>
      </c>
      <c r="G1138">
        <v>0</v>
      </c>
      <c r="H1138">
        <v>1</v>
      </c>
      <c r="I1138">
        <v>264000</v>
      </c>
      <c r="J1138">
        <v>5617</v>
      </c>
      <c r="K1138">
        <v>1</v>
      </c>
      <c r="L1138" t="s">
        <v>17</v>
      </c>
      <c r="M1138">
        <v>135</v>
      </c>
      <c r="N1138" t="s">
        <v>27</v>
      </c>
      <c r="P1138" t="e">
        <f t="shared" si="170"/>
        <v>#N/A</v>
      </c>
      <c r="Q1138" t="e">
        <f t="shared" si="171"/>
        <v>#N/A</v>
      </c>
      <c r="R1138" t="e">
        <f t="shared" si="172"/>
        <v>#N/A</v>
      </c>
      <c r="S1138" t="e">
        <f t="shared" si="173"/>
        <v>#N/A</v>
      </c>
      <c r="T1138" t="e">
        <f t="shared" si="174"/>
        <v>#N/A</v>
      </c>
      <c r="U1138" t="e">
        <f t="shared" si="175"/>
        <v>#N/A</v>
      </c>
      <c r="V1138">
        <f t="shared" si="176"/>
        <v>264000</v>
      </c>
      <c r="W1138">
        <f t="shared" si="177"/>
        <v>47</v>
      </c>
      <c r="X1138" t="e">
        <f t="shared" si="178"/>
        <v>#N/A</v>
      </c>
      <c r="Y1138" t="e">
        <f t="shared" si="179"/>
        <v>#N/A</v>
      </c>
    </row>
    <row r="1139" spans="1:25" x14ac:dyDescent="0.2">
      <c r="A1139">
        <v>2137</v>
      </c>
      <c r="B1139" t="s">
        <v>37</v>
      </c>
      <c r="C1139" t="s">
        <v>36</v>
      </c>
      <c r="D1139">
        <v>2023</v>
      </c>
      <c r="E1139" t="s">
        <v>16</v>
      </c>
      <c r="F1139">
        <v>332</v>
      </c>
      <c r="G1139">
        <v>5</v>
      </c>
      <c r="H1139">
        <v>5</v>
      </c>
      <c r="I1139">
        <v>1187000</v>
      </c>
      <c r="J1139">
        <v>3575.3</v>
      </c>
      <c r="K1139">
        <v>3</v>
      </c>
      <c r="L1139" t="s">
        <v>20</v>
      </c>
      <c r="M1139">
        <v>155</v>
      </c>
      <c r="N1139" t="s">
        <v>27</v>
      </c>
      <c r="P1139" t="e">
        <f t="shared" si="170"/>
        <v>#N/A</v>
      </c>
      <c r="Q1139" t="e">
        <f t="shared" si="171"/>
        <v>#N/A</v>
      </c>
      <c r="R1139" t="e">
        <f t="shared" si="172"/>
        <v>#N/A</v>
      </c>
      <c r="S1139" t="e">
        <f t="shared" si="173"/>
        <v>#N/A</v>
      </c>
      <c r="T1139" t="e">
        <f t="shared" si="174"/>
        <v>#N/A</v>
      </c>
      <c r="U1139" t="e">
        <f t="shared" si="175"/>
        <v>#N/A</v>
      </c>
      <c r="V1139" t="e">
        <f t="shared" si="176"/>
        <v>#N/A</v>
      </c>
      <c r="W1139" t="e">
        <f t="shared" si="177"/>
        <v>#N/A</v>
      </c>
      <c r="X1139">
        <f t="shared" si="178"/>
        <v>1187000</v>
      </c>
      <c r="Y1139">
        <f t="shared" si="179"/>
        <v>332</v>
      </c>
    </row>
    <row r="1140" spans="1:25" x14ac:dyDescent="0.2">
      <c r="A1140">
        <v>2138</v>
      </c>
      <c r="B1140" t="s">
        <v>37</v>
      </c>
      <c r="C1140" t="s">
        <v>15</v>
      </c>
      <c r="D1140">
        <v>2023</v>
      </c>
      <c r="E1140" t="s">
        <v>26</v>
      </c>
      <c r="F1140">
        <v>88</v>
      </c>
      <c r="G1140">
        <v>2</v>
      </c>
      <c r="H1140">
        <v>2</v>
      </c>
      <c r="I1140">
        <v>356000</v>
      </c>
      <c r="J1140">
        <v>4045.5</v>
      </c>
      <c r="K1140">
        <v>20</v>
      </c>
      <c r="L1140" t="s">
        <v>34</v>
      </c>
      <c r="M1140">
        <v>22</v>
      </c>
      <c r="N1140" t="s">
        <v>27</v>
      </c>
      <c r="P1140" t="e">
        <f t="shared" si="170"/>
        <v>#N/A</v>
      </c>
      <c r="Q1140" t="e">
        <f t="shared" si="171"/>
        <v>#N/A</v>
      </c>
      <c r="R1140">
        <f t="shared" si="172"/>
        <v>356000</v>
      </c>
      <c r="S1140">
        <f t="shared" si="173"/>
        <v>88</v>
      </c>
      <c r="T1140" t="e">
        <f t="shared" si="174"/>
        <v>#N/A</v>
      </c>
      <c r="U1140" t="e">
        <f t="shared" si="175"/>
        <v>#N/A</v>
      </c>
      <c r="V1140" t="e">
        <f t="shared" si="176"/>
        <v>#N/A</v>
      </c>
      <c r="W1140" t="e">
        <f t="shared" si="177"/>
        <v>#N/A</v>
      </c>
      <c r="X1140" t="e">
        <f t="shared" si="178"/>
        <v>#N/A</v>
      </c>
      <c r="Y1140" t="e">
        <f t="shared" si="179"/>
        <v>#N/A</v>
      </c>
    </row>
    <row r="1141" spans="1:25" x14ac:dyDescent="0.2">
      <c r="A1141">
        <v>2139</v>
      </c>
      <c r="B1141" t="s">
        <v>44</v>
      </c>
      <c r="C1141" t="s">
        <v>15</v>
      </c>
      <c r="D1141">
        <v>2023</v>
      </c>
      <c r="E1141" t="s">
        <v>24</v>
      </c>
      <c r="F1141">
        <v>151</v>
      </c>
      <c r="G1141">
        <v>4</v>
      </c>
      <c r="H1141">
        <v>4</v>
      </c>
      <c r="I1141">
        <v>486000</v>
      </c>
      <c r="J1141">
        <v>3218.5</v>
      </c>
      <c r="K1141">
        <v>1</v>
      </c>
      <c r="L1141" t="s">
        <v>34</v>
      </c>
      <c r="M1141">
        <v>160</v>
      </c>
      <c r="N1141" t="s">
        <v>18</v>
      </c>
      <c r="P1141" t="e">
        <f t="shared" si="170"/>
        <v>#N/A</v>
      </c>
      <c r="Q1141" t="e">
        <f t="shared" si="171"/>
        <v>#N/A</v>
      </c>
      <c r="R1141">
        <f t="shared" si="172"/>
        <v>486000</v>
      </c>
      <c r="S1141">
        <f t="shared" si="173"/>
        <v>151</v>
      </c>
      <c r="T1141" t="e">
        <f t="shared" si="174"/>
        <v>#N/A</v>
      </c>
      <c r="U1141" t="e">
        <f t="shared" si="175"/>
        <v>#N/A</v>
      </c>
      <c r="V1141" t="e">
        <f t="shared" si="176"/>
        <v>#N/A</v>
      </c>
      <c r="W1141" t="e">
        <f t="shared" si="177"/>
        <v>#N/A</v>
      </c>
      <c r="X1141" t="e">
        <f t="shared" si="178"/>
        <v>#N/A</v>
      </c>
      <c r="Y1141" t="e">
        <f t="shared" si="179"/>
        <v>#N/A</v>
      </c>
    </row>
    <row r="1142" spans="1:25" x14ac:dyDescent="0.2">
      <c r="A1142">
        <v>2140</v>
      </c>
      <c r="B1142" t="s">
        <v>37</v>
      </c>
      <c r="C1142" t="s">
        <v>15</v>
      </c>
      <c r="D1142">
        <v>2022</v>
      </c>
      <c r="E1142" t="s">
        <v>30</v>
      </c>
      <c r="F1142">
        <v>165</v>
      </c>
      <c r="G1142">
        <v>3</v>
      </c>
      <c r="H1142">
        <v>3</v>
      </c>
      <c r="I1142">
        <v>613000</v>
      </c>
      <c r="J1142">
        <v>3715.2</v>
      </c>
      <c r="K1142">
        <v>15</v>
      </c>
      <c r="L1142" t="s">
        <v>17</v>
      </c>
      <c r="M1142">
        <v>145</v>
      </c>
      <c r="N1142" t="s">
        <v>27</v>
      </c>
      <c r="P1142" t="e">
        <f t="shared" si="170"/>
        <v>#N/A</v>
      </c>
      <c r="Q1142" t="e">
        <f t="shared" si="171"/>
        <v>#N/A</v>
      </c>
      <c r="R1142">
        <f t="shared" si="172"/>
        <v>613000</v>
      </c>
      <c r="S1142">
        <f t="shared" si="173"/>
        <v>165</v>
      </c>
      <c r="T1142" t="e">
        <f t="shared" si="174"/>
        <v>#N/A</v>
      </c>
      <c r="U1142" t="e">
        <f t="shared" si="175"/>
        <v>#N/A</v>
      </c>
      <c r="V1142" t="e">
        <f t="shared" si="176"/>
        <v>#N/A</v>
      </c>
      <c r="W1142" t="e">
        <f t="shared" si="177"/>
        <v>#N/A</v>
      </c>
      <c r="X1142" t="e">
        <f t="shared" si="178"/>
        <v>#N/A</v>
      </c>
      <c r="Y1142" t="e">
        <f t="shared" si="179"/>
        <v>#N/A</v>
      </c>
    </row>
    <row r="1143" spans="1:25" x14ac:dyDescent="0.2">
      <c r="A1143">
        <v>2141</v>
      </c>
      <c r="B1143" t="s">
        <v>28</v>
      </c>
      <c r="C1143" t="s">
        <v>29</v>
      </c>
      <c r="D1143">
        <v>2022</v>
      </c>
      <c r="E1143" t="s">
        <v>24</v>
      </c>
      <c r="F1143">
        <v>495</v>
      </c>
      <c r="G1143">
        <v>5</v>
      </c>
      <c r="H1143">
        <v>5</v>
      </c>
      <c r="I1143">
        <v>1974000</v>
      </c>
      <c r="J1143">
        <v>3987.9</v>
      </c>
      <c r="K1143">
        <v>7</v>
      </c>
      <c r="L1143" t="s">
        <v>17</v>
      </c>
      <c r="M1143">
        <v>152</v>
      </c>
      <c r="N1143" t="s">
        <v>27</v>
      </c>
      <c r="P1143">
        <f t="shared" si="170"/>
        <v>1974000</v>
      </c>
      <c r="Q1143">
        <f t="shared" si="171"/>
        <v>495</v>
      </c>
      <c r="R1143" t="e">
        <f t="shared" si="172"/>
        <v>#N/A</v>
      </c>
      <c r="S1143" t="e">
        <f t="shared" si="173"/>
        <v>#N/A</v>
      </c>
      <c r="T1143" t="e">
        <f t="shared" si="174"/>
        <v>#N/A</v>
      </c>
      <c r="U1143" t="e">
        <f t="shared" si="175"/>
        <v>#N/A</v>
      </c>
      <c r="V1143" t="e">
        <f t="shared" si="176"/>
        <v>#N/A</v>
      </c>
      <c r="W1143" t="e">
        <f t="shared" si="177"/>
        <v>#N/A</v>
      </c>
      <c r="X1143" t="e">
        <f t="shared" si="178"/>
        <v>#N/A</v>
      </c>
      <c r="Y1143" t="e">
        <f t="shared" si="179"/>
        <v>#N/A</v>
      </c>
    </row>
    <row r="1144" spans="1:25" x14ac:dyDescent="0.2">
      <c r="A1144">
        <v>2142</v>
      </c>
      <c r="B1144" t="s">
        <v>45</v>
      </c>
      <c r="C1144" t="s">
        <v>29</v>
      </c>
      <c r="D1144">
        <v>2024</v>
      </c>
      <c r="E1144" t="s">
        <v>16</v>
      </c>
      <c r="F1144">
        <v>291</v>
      </c>
      <c r="G1144">
        <v>6</v>
      </c>
      <c r="H1144">
        <v>6</v>
      </c>
      <c r="I1144">
        <v>1856000</v>
      </c>
      <c r="J1144">
        <v>6378</v>
      </c>
      <c r="K1144">
        <v>3</v>
      </c>
      <c r="L1144" t="s">
        <v>17</v>
      </c>
      <c r="M1144">
        <v>76</v>
      </c>
      <c r="N1144" t="s">
        <v>21</v>
      </c>
      <c r="P1144">
        <f t="shared" si="170"/>
        <v>1856000</v>
      </c>
      <c r="Q1144">
        <f t="shared" si="171"/>
        <v>291</v>
      </c>
      <c r="R1144" t="e">
        <f t="shared" si="172"/>
        <v>#N/A</v>
      </c>
      <c r="S1144" t="e">
        <f t="shared" si="173"/>
        <v>#N/A</v>
      </c>
      <c r="T1144" t="e">
        <f t="shared" si="174"/>
        <v>#N/A</v>
      </c>
      <c r="U1144" t="e">
        <f t="shared" si="175"/>
        <v>#N/A</v>
      </c>
      <c r="V1144" t="e">
        <f t="shared" si="176"/>
        <v>#N/A</v>
      </c>
      <c r="W1144" t="e">
        <f t="shared" si="177"/>
        <v>#N/A</v>
      </c>
      <c r="X1144" t="e">
        <f t="shared" si="178"/>
        <v>#N/A</v>
      </c>
      <c r="Y1144" t="e">
        <f t="shared" si="179"/>
        <v>#N/A</v>
      </c>
    </row>
    <row r="1145" spans="1:25" x14ac:dyDescent="0.2">
      <c r="A1145">
        <v>2143</v>
      </c>
      <c r="B1145" t="s">
        <v>43</v>
      </c>
      <c r="C1145" t="s">
        <v>29</v>
      </c>
      <c r="D1145">
        <v>2022</v>
      </c>
      <c r="E1145" t="s">
        <v>24</v>
      </c>
      <c r="F1145">
        <v>359</v>
      </c>
      <c r="G1145">
        <v>5</v>
      </c>
      <c r="H1145">
        <v>5</v>
      </c>
      <c r="I1145">
        <v>2142000</v>
      </c>
      <c r="J1145">
        <v>5966.6</v>
      </c>
      <c r="K1145">
        <v>5</v>
      </c>
      <c r="L1145" t="s">
        <v>17</v>
      </c>
      <c r="M1145">
        <v>167</v>
      </c>
      <c r="N1145" t="s">
        <v>27</v>
      </c>
      <c r="P1145">
        <f t="shared" si="170"/>
        <v>2142000</v>
      </c>
      <c r="Q1145">
        <f t="shared" si="171"/>
        <v>359</v>
      </c>
      <c r="R1145" t="e">
        <f t="shared" si="172"/>
        <v>#N/A</v>
      </c>
      <c r="S1145" t="e">
        <f t="shared" si="173"/>
        <v>#N/A</v>
      </c>
      <c r="T1145" t="e">
        <f t="shared" si="174"/>
        <v>#N/A</v>
      </c>
      <c r="U1145" t="e">
        <f t="shared" si="175"/>
        <v>#N/A</v>
      </c>
      <c r="V1145" t="e">
        <f t="shared" si="176"/>
        <v>#N/A</v>
      </c>
      <c r="W1145" t="e">
        <f t="shared" si="177"/>
        <v>#N/A</v>
      </c>
      <c r="X1145" t="e">
        <f t="shared" si="178"/>
        <v>#N/A</v>
      </c>
      <c r="Y1145" t="e">
        <f t="shared" si="179"/>
        <v>#N/A</v>
      </c>
    </row>
    <row r="1146" spans="1:25" x14ac:dyDescent="0.2">
      <c r="A1146">
        <v>2144</v>
      </c>
      <c r="B1146" t="s">
        <v>25</v>
      </c>
      <c r="C1146" t="s">
        <v>29</v>
      </c>
      <c r="D1146">
        <v>2021</v>
      </c>
      <c r="E1146" t="s">
        <v>30</v>
      </c>
      <c r="F1146">
        <v>486</v>
      </c>
      <c r="G1146">
        <v>5</v>
      </c>
      <c r="H1146">
        <v>5</v>
      </c>
      <c r="I1146">
        <v>1622000</v>
      </c>
      <c r="J1146">
        <v>3337.4</v>
      </c>
      <c r="K1146">
        <v>15</v>
      </c>
      <c r="L1146" t="s">
        <v>34</v>
      </c>
      <c r="M1146">
        <v>146</v>
      </c>
      <c r="N1146" t="s">
        <v>27</v>
      </c>
      <c r="P1146">
        <f t="shared" si="170"/>
        <v>1622000</v>
      </c>
      <c r="Q1146">
        <f t="shared" si="171"/>
        <v>486</v>
      </c>
      <c r="R1146" t="e">
        <f t="shared" si="172"/>
        <v>#N/A</v>
      </c>
      <c r="S1146" t="e">
        <f t="shared" si="173"/>
        <v>#N/A</v>
      </c>
      <c r="T1146" t="e">
        <f t="shared" si="174"/>
        <v>#N/A</v>
      </c>
      <c r="U1146" t="e">
        <f t="shared" si="175"/>
        <v>#N/A</v>
      </c>
      <c r="V1146" t="e">
        <f t="shared" si="176"/>
        <v>#N/A</v>
      </c>
      <c r="W1146" t="e">
        <f t="shared" si="177"/>
        <v>#N/A</v>
      </c>
      <c r="X1146" t="e">
        <f t="shared" si="178"/>
        <v>#N/A</v>
      </c>
      <c r="Y1146" t="e">
        <f t="shared" si="179"/>
        <v>#N/A</v>
      </c>
    </row>
    <row r="1147" spans="1:25" x14ac:dyDescent="0.2">
      <c r="A1147">
        <v>2145</v>
      </c>
      <c r="B1147" t="s">
        <v>46</v>
      </c>
      <c r="C1147" t="s">
        <v>15</v>
      </c>
      <c r="D1147">
        <v>2022</v>
      </c>
      <c r="E1147" t="s">
        <v>26</v>
      </c>
      <c r="F1147">
        <v>139</v>
      </c>
      <c r="G1147">
        <v>4</v>
      </c>
      <c r="H1147">
        <v>4</v>
      </c>
      <c r="I1147">
        <v>442000</v>
      </c>
      <c r="J1147">
        <v>3179.9</v>
      </c>
      <c r="K1147">
        <v>0</v>
      </c>
      <c r="L1147" t="s">
        <v>34</v>
      </c>
      <c r="M1147">
        <v>50</v>
      </c>
      <c r="N1147" t="s">
        <v>18</v>
      </c>
      <c r="P1147" t="e">
        <f t="shared" si="170"/>
        <v>#N/A</v>
      </c>
      <c r="Q1147" t="e">
        <f t="shared" si="171"/>
        <v>#N/A</v>
      </c>
      <c r="R1147">
        <f t="shared" si="172"/>
        <v>442000</v>
      </c>
      <c r="S1147">
        <f t="shared" si="173"/>
        <v>139</v>
      </c>
      <c r="T1147" t="e">
        <f t="shared" si="174"/>
        <v>#N/A</v>
      </c>
      <c r="U1147" t="e">
        <f t="shared" si="175"/>
        <v>#N/A</v>
      </c>
      <c r="V1147" t="e">
        <f t="shared" si="176"/>
        <v>#N/A</v>
      </c>
      <c r="W1147" t="e">
        <f t="shared" si="177"/>
        <v>#N/A</v>
      </c>
      <c r="X1147" t="e">
        <f t="shared" si="178"/>
        <v>#N/A</v>
      </c>
      <c r="Y1147" t="e">
        <f t="shared" si="179"/>
        <v>#N/A</v>
      </c>
    </row>
    <row r="1148" spans="1:25" x14ac:dyDescent="0.2">
      <c r="A1148">
        <v>2146</v>
      </c>
      <c r="B1148" t="s">
        <v>47</v>
      </c>
      <c r="C1148" t="s">
        <v>15</v>
      </c>
      <c r="D1148">
        <v>2022</v>
      </c>
      <c r="E1148" t="s">
        <v>16</v>
      </c>
      <c r="F1148">
        <v>164</v>
      </c>
      <c r="G1148">
        <v>4</v>
      </c>
      <c r="H1148">
        <v>4</v>
      </c>
      <c r="I1148">
        <v>514000</v>
      </c>
      <c r="J1148">
        <v>3134.1</v>
      </c>
      <c r="K1148">
        <v>0</v>
      </c>
      <c r="L1148" t="s">
        <v>20</v>
      </c>
      <c r="M1148">
        <v>57</v>
      </c>
      <c r="N1148" t="s">
        <v>21</v>
      </c>
      <c r="P1148" t="e">
        <f t="shared" si="170"/>
        <v>#N/A</v>
      </c>
      <c r="Q1148" t="e">
        <f t="shared" si="171"/>
        <v>#N/A</v>
      </c>
      <c r="R1148">
        <f t="shared" si="172"/>
        <v>514000</v>
      </c>
      <c r="S1148">
        <f t="shared" si="173"/>
        <v>164</v>
      </c>
      <c r="T1148" t="e">
        <f t="shared" si="174"/>
        <v>#N/A</v>
      </c>
      <c r="U1148" t="e">
        <f t="shared" si="175"/>
        <v>#N/A</v>
      </c>
      <c r="V1148" t="e">
        <f t="shared" si="176"/>
        <v>#N/A</v>
      </c>
      <c r="W1148" t="e">
        <f t="shared" si="177"/>
        <v>#N/A</v>
      </c>
      <c r="X1148" t="e">
        <f t="shared" si="178"/>
        <v>#N/A</v>
      </c>
      <c r="Y1148" t="e">
        <f t="shared" si="179"/>
        <v>#N/A</v>
      </c>
    </row>
    <row r="1149" spans="1:25" x14ac:dyDescent="0.2">
      <c r="A1149">
        <v>2147</v>
      </c>
      <c r="B1149" t="s">
        <v>14</v>
      </c>
      <c r="C1149" t="s">
        <v>23</v>
      </c>
      <c r="D1149">
        <v>2024</v>
      </c>
      <c r="E1149" t="s">
        <v>16</v>
      </c>
      <c r="F1149">
        <v>218</v>
      </c>
      <c r="G1149">
        <v>4</v>
      </c>
      <c r="H1149">
        <v>4</v>
      </c>
      <c r="I1149">
        <v>1072000</v>
      </c>
      <c r="J1149">
        <v>4917.3999999999996</v>
      </c>
      <c r="K1149">
        <v>10</v>
      </c>
      <c r="L1149" t="s">
        <v>17</v>
      </c>
      <c r="M1149">
        <v>13</v>
      </c>
      <c r="N1149" t="s">
        <v>18</v>
      </c>
      <c r="P1149" t="e">
        <f t="shared" si="170"/>
        <v>#N/A</v>
      </c>
      <c r="Q1149" t="e">
        <f t="shared" si="171"/>
        <v>#N/A</v>
      </c>
      <c r="R1149" t="e">
        <f t="shared" si="172"/>
        <v>#N/A</v>
      </c>
      <c r="S1149" t="e">
        <f t="shared" si="173"/>
        <v>#N/A</v>
      </c>
      <c r="T1149">
        <f t="shared" si="174"/>
        <v>1072000</v>
      </c>
      <c r="U1149">
        <f t="shared" si="175"/>
        <v>218</v>
      </c>
      <c r="V1149" t="e">
        <f t="shared" si="176"/>
        <v>#N/A</v>
      </c>
      <c r="W1149" t="e">
        <f t="shared" si="177"/>
        <v>#N/A</v>
      </c>
      <c r="X1149" t="e">
        <f t="shared" si="178"/>
        <v>#N/A</v>
      </c>
      <c r="Y1149" t="e">
        <f t="shared" si="179"/>
        <v>#N/A</v>
      </c>
    </row>
    <row r="1150" spans="1:25" x14ac:dyDescent="0.2">
      <c r="A1150">
        <v>2148</v>
      </c>
      <c r="B1150" t="s">
        <v>32</v>
      </c>
      <c r="C1150" t="s">
        <v>38</v>
      </c>
      <c r="D1150">
        <v>2021</v>
      </c>
      <c r="E1150" t="s">
        <v>26</v>
      </c>
      <c r="F1150">
        <v>69</v>
      </c>
      <c r="G1150">
        <v>0</v>
      </c>
      <c r="H1150">
        <v>1</v>
      </c>
      <c r="I1150">
        <v>215000</v>
      </c>
      <c r="J1150">
        <v>3115.9</v>
      </c>
      <c r="K1150">
        <v>5</v>
      </c>
      <c r="L1150" t="s">
        <v>34</v>
      </c>
      <c r="M1150">
        <v>125</v>
      </c>
      <c r="N1150" t="s">
        <v>18</v>
      </c>
      <c r="P1150" t="e">
        <f t="shared" si="170"/>
        <v>#N/A</v>
      </c>
      <c r="Q1150" t="e">
        <f t="shared" si="171"/>
        <v>#N/A</v>
      </c>
      <c r="R1150" t="e">
        <f t="shared" si="172"/>
        <v>#N/A</v>
      </c>
      <c r="S1150" t="e">
        <f t="shared" si="173"/>
        <v>#N/A</v>
      </c>
      <c r="T1150" t="e">
        <f t="shared" si="174"/>
        <v>#N/A</v>
      </c>
      <c r="U1150" t="e">
        <f t="shared" si="175"/>
        <v>#N/A</v>
      </c>
      <c r="V1150">
        <f t="shared" si="176"/>
        <v>215000</v>
      </c>
      <c r="W1150">
        <f t="shared" si="177"/>
        <v>69</v>
      </c>
      <c r="X1150" t="e">
        <f t="shared" si="178"/>
        <v>#N/A</v>
      </c>
      <c r="Y1150" t="e">
        <f t="shared" si="179"/>
        <v>#N/A</v>
      </c>
    </row>
    <row r="1151" spans="1:25" x14ac:dyDescent="0.2">
      <c r="A1151">
        <v>2149</v>
      </c>
      <c r="B1151" t="s">
        <v>43</v>
      </c>
      <c r="C1151" t="s">
        <v>23</v>
      </c>
      <c r="D1151">
        <v>2022</v>
      </c>
      <c r="E1151" t="s">
        <v>30</v>
      </c>
      <c r="F1151">
        <v>215</v>
      </c>
      <c r="G1151">
        <v>4</v>
      </c>
      <c r="H1151">
        <v>4</v>
      </c>
      <c r="I1151">
        <v>1088000</v>
      </c>
      <c r="J1151">
        <v>5060.5</v>
      </c>
      <c r="K1151">
        <v>4</v>
      </c>
      <c r="L1151" t="s">
        <v>17</v>
      </c>
      <c r="M1151">
        <v>78</v>
      </c>
      <c r="N1151" t="s">
        <v>27</v>
      </c>
      <c r="P1151" t="e">
        <f t="shared" si="170"/>
        <v>#N/A</v>
      </c>
      <c r="Q1151" t="e">
        <f t="shared" si="171"/>
        <v>#N/A</v>
      </c>
      <c r="R1151" t="e">
        <f t="shared" si="172"/>
        <v>#N/A</v>
      </c>
      <c r="S1151" t="e">
        <f t="shared" si="173"/>
        <v>#N/A</v>
      </c>
      <c r="T1151">
        <f t="shared" si="174"/>
        <v>1088000</v>
      </c>
      <c r="U1151">
        <f t="shared" si="175"/>
        <v>215</v>
      </c>
      <c r="V1151" t="e">
        <f t="shared" si="176"/>
        <v>#N/A</v>
      </c>
      <c r="W1151" t="e">
        <f t="shared" si="177"/>
        <v>#N/A</v>
      </c>
      <c r="X1151" t="e">
        <f t="shared" si="178"/>
        <v>#N/A</v>
      </c>
      <c r="Y1151" t="e">
        <f t="shared" si="179"/>
        <v>#N/A</v>
      </c>
    </row>
    <row r="1152" spans="1:25" x14ac:dyDescent="0.2">
      <c r="A1152">
        <v>2150</v>
      </c>
      <c r="B1152" t="s">
        <v>19</v>
      </c>
      <c r="C1152" t="s">
        <v>29</v>
      </c>
      <c r="D1152">
        <v>2023</v>
      </c>
      <c r="E1152" t="s">
        <v>24</v>
      </c>
      <c r="F1152">
        <v>178</v>
      </c>
      <c r="G1152">
        <v>6</v>
      </c>
      <c r="H1152">
        <v>6</v>
      </c>
      <c r="I1152">
        <v>911000</v>
      </c>
      <c r="J1152">
        <v>5118</v>
      </c>
      <c r="K1152">
        <v>15</v>
      </c>
      <c r="L1152" t="s">
        <v>34</v>
      </c>
      <c r="M1152">
        <v>15</v>
      </c>
      <c r="N1152" t="s">
        <v>21</v>
      </c>
      <c r="P1152">
        <f t="shared" si="170"/>
        <v>911000</v>
      </c>
      <c r="Q1152">
        <f t="shared" si="171"/>
        <v>178</v>
      </c>
      <c r="R1152" t="e">
        <f t="shared" si="172"/>
        <v>#N/A</v>
      </c>
      <c r="S1152" t="e">
        <f t="shared" si="173"/>
        <v>#N/A</v>
      </c>
      <c r="T1152" t="e">
        <f t="shared" si="174"/>
        <v>#N/A</v>
      </c>
      <c r="U1152" t="e">
        <f t="shared" si="175"/>
        <v>#N/A</v>
      </c>
      <c r="V1152" t="e">
        <f t="shared" si="176"/>
        <v>#N/A</v>
      </c>
      <c r="W1152" t="e">
        <f t="shared" si="177"/>
        <v>#N/A</v>
      </c>
      <c r="X1152" t="e">
        <f t="shared" si="178"/>
        <v>#N/A</v>
      </c>
      <c r="Y1152" t="e">
        <f t="shared" si="179"/>
        <v>#N/A</v>
      </c>
    </row>
    <row r="1153" spans="1:25" x14ac:dyDescent="0.2">
      <c r="A1153">
        <v>2151</v>
      </c>
      <c r="B1153" t="s">
        <v>14</v>
      </c>
      <c r="C1153" t="s">
        <v>23</v>
      </c>
      <c r="D1153">
        <v>2024</v>
      </c>
      <c r="E1153" t="s">
        <v>16</v>
      </c>
      <c r="F1153">
        <v>289</v>
      </c>
      <c r="G1153">
        <v>4</v>
      </c>
      <c r="H1153">
        <v>4</v>
      </c>
      <c r="I1153">
        <v>1426000</v>
      </c>
      <c r="J1153">
        <v>4934.3</v>
      </c>
      <c r="K1153">
        <v>1</v>
      </c>
      <c r="L1153" t="s">
        <v>34</v>
      </c>
      <c r="M1153">
        <v>149</v>
      </c>
      <c r="N1153" t="s">
        <v>18</v>
      </c>
      <c r="P1153" t="e">
        <f t="shared" si="170"/>
        <v>#N/A</v>
      </c>
      <c r="Q1153" t="e">
        <f t="shared" si="171"/>
        <v>#N/A</v>
      </c>
      <c r="R1153" t="e">
        <f t="shared" si="172"/>
        <v>#N/A</v>
      </c>
      <c r="S1153" t="e">
        <f t="shared" si="173"/>
        <v>#N/A</v>
      </c>
      <c r="T1153">
        <f t="shared" si="174"/>
        <v>1426000</v>
      </c>
      <c r="U1153">
        <f t="shared" si="175"/>
        <v>289</v>
      </c>
      <c r="V1153" t="e">
        <f t="shared" si="176"/>
        <v>#N/A</v>
      </c>
      <c r="W1153" t="e">
        <f t="shared" si="177"/>
        <v>#N/A</v>
      </c>
      <c r="X1153" t="e">
        <f t="shared" si="178"/>
        <v>#N/A</v>
      </c>
      <c r="Y1153" t="e">
        <f t="shared" si="179"/>
        <v>#N/A</v>
      </c>
    </row>
    <row r="1154" spans="1:25" x14ac:dyDescent="0.2">
      <c r="A1154">
        <v>2152</v>
      </c>
      <c r="B1154" t="s">
        <v>43</v>
      </c>
      <c r="C1154" t="s">
        <v>29</v>
      </c>
      <c r="D1154">
        <v>2024</v>
      </c>
      <c r="E1154" t="s">
        <v>26</v>
      </c>
      <c r="F1154">
        <v>437</v>
      </c>
      <c r="G1154">
        <v>4</v>
      </c>
      <c r="H1154">
        <v>4</v>
      </c>
      <c r="I1154">
        <v>2975000</v>
      </c>
      <c r="J1154">
        <v>6807.8</v>
      </c>
      <c r="K1154">
        <v>0</v>
      </c>
      <c r="L1154" t="s">
        <v>34</v>
      </c>
      <c r="M1154">
        <v>43</v>
      </c>
      <c r="N1154" t="s">
        <v>27</v>
      </c>
      <c r="P1154">
        <f t="shared" si="170"/>
        <v>2975000</v>
      </c>
      <c r="Q1154">
        <f t="shared" si="171"/>
        <v>437</v>
      </c>
      <c r="R1154" t="e">
        <f t="shared" si="172"/>
        <v>#N/A</v>
      </c>
      <c r="S1154" t="e">
        <f t="shared" si="173"/>
        <v>#N/A</v>
      </c>
      <c r="T1154" t="e">
        <f t="shared" si="174"/>
        <v>#N/A</v>
      </c>
      <c r="U1154" t="e">
        <f t="shared" si="175"/>
        <v>#N/A</v>
      </c>
      <c r="V1154" t="e">
        <f t="shared" si="176"/>
        <v>#N/A</v>
      </c>
      <c r="W1154" t="e">
        <f t="shared" si="177"/>
        <v>#N/A</v>
      </c>
      <c r="X1154" t="e">
        <f t="shared" si="178"/>
        <v>#N/A</v>
      </c>
      <c r="Y1154" t="e">
        <f t="shared" si="179"/>
        <v>#N/A</v>
      </c>
    </row>
    <row r="1155" spans="1:25" x14ac:dyDescent="0.2">
      <c r="A1155">
        <v>2153</v>
      </c>
      <c r="B1155" t="s">
        <v>33</v>
      </c>
      <c r="C1155" t="s">
        <v>23</v>
      </c>
      <c r="D1155">
        <v>2024</v>
      </c>
      <c r="E1155" t="s">
        <v>26</v>
      </c>
      <c r="F1155">
        <v>255</v>
      </c>
      <c r="G1155">
        <v>4</v>
      </c>
      <c r="H1155">
        <v>4</v>
      </c>
      <c r="I1155">
        <v>888000</v>
      </c>
      <c r="J1155">
        <v>3482.4</v>
      </c>
      <c r="K1155">
        <v>5</v>
      </c>
      <c r="L1155" t="s">
        <v>17</v>
      </c>
      <c r="M1155">
        <v>170</v>
      </c>
      <c r="N1155" t="s">
        <v>27</v>
      </c>
      <c r="P1155" t="e">
        <f t="shared" ref="P1155:P1201" si="180">IF(C1155="Villa", I1155, NA())</f>
        <v>#N/A</v>
      </c>
      <c r="Q1155" t="e">
        <f t="shared" ref="Q1155:Q1201" si="181">IF(C1155="Villa", F1155, NA())</f>
        <v>#N/A</v>
      </c>
      <c r="R1155" t="e">
        <f t="shared" ref="R1155:R1201" si="182">IF(C1155="Apartment",I1155,NA())</f>
        <v>#N/A</v>
      </c>
      <c r="S1155" t="e">
        <f t="shared" ref="S1155:S1201" si="183">IF(C1155="Apartment",F1155,NA())</f>
        <v>#N/A</v>
      </c>
      <c r="T1155">
        <f t="shared" ref="T1155:T1201" si="184">IF(C1155="Duplex",I1155,NA())</f>
        <v>888000</v>
      </c>
      <c r="U1155">
        <f t="shared" ref="U1155:U1201" si="185">IF(C1155="Duplex",F1155,NA())</f>
        <v>255</v>
      </c>
      <c r="V1155" t="e">
        <f t="shared" ref="V1155:V1201" si="186">IF(C1155="Studio",I1155,NA())</f>
        <v>#N/A</v>
      </c>
      <c r="W1155" t="e">
        <f t="shared" ref="W1155:W1201" si="187">IF(C1155="Studio",F1155,NA())</f>
        <v>#N/A</v>
      </c>
      <c r="X1155" t="e">
        <f t="shared" ref="X1155:X1201" si="188">IF(C1155="Floor",I1155,NA())</f>
        <v>#N/A</v>
      </c>
      <c r="Y1155" t="e">
        <f t="shared" ref="Y1155:Y1201" si="189">IF(C1155="Floor",F1155,NA())</f>
        <v>#N/A</v>
      </c>
    </row>
    <row r="1156" spans="1:25" x14ac:dyDescent="0.2">
      <c r="A1156">
        <v>2154</v>
      </c>
      <c r="B1156" t="s">
        <v>42</v>
      </c>
      <c r="C1156" t="s">
        <v>23</v>
      </c>
      <c r="D1156">
        <v>2021</v>
      </c>
      <c r="E1156" t="s">
        <v>16</v>
      </c>
      <c r="F1156">
        <v>304</v>
      </c>
      <c r="G1156">
        <v>3</v>
      </c>
      <c r="H1156">
        <v>3</v>
      </c>
      <c r="I1156">
        <v>1435000</v>
      </c>
      <c r="J1156">
        <v>4720.3999999999996</v>
      </c>
      <c r="K1156">
        <v>2</v>
      </c>
      <c r="L1156" t="s">
        <v>17</v>
      </c>
      <c r="M1156">
        <v>6</v>
      </c>
      <c r="N1156" t="s">
        <v>21</v>
      </c>
      <c r="P1156" t="e">
        <f t="shared" si="180"/>
        <v>#N/A</v>
      </c>
      <c r="Q1156" t="e">
        <f t="shared" si="181"/>
        <v>#N/A</v>
      </c>
      <c r="R1156" t="e">
        <f t="shared" si="182"/>
        <v>#N/A</v>
      </c>
      <c r="S1156" t="e">
        <f t="shared" si="183"/>
        <v>#N/A</v>
      </c>
      <c r="T1156">
        <f t="shared" si="184"/>
        <v>1435000</v>
      </c>
      <c r="U1156">
        <f t="shared" si="185"/>
        <v>304</v>
      </c>
      <c r="V1156" t="e">
        <f t="shared" si="186"/>
        <v>#N/A</v>
      </c>
      <c r="W1156" t="e">
        <f t="shared" si="187"/>
        <v>#N/A</v>
      </c>
      <c r="X1156" t="e">
        <f t="shared" si="188"/>
        <v>#N/A</v>
      </c>
      <c r="Y1156" t="e">
        <f t="shared" si="189"/>
        <v>#N/A</v>
      </c>
    </row>
    <row r="1157" spans="1:25" x14ac:dyDescent="0.2">
      <c r="A1157">
        <v>2155</v>
      </c>
      <c r="B1157" t="s">
        <v>48</v>
      </c>
      <c r="C1157" t="s">
        <v>38</v>
      </c>
      <c r="D1157">
        <v>2023</v>
      </c>
      <c r="E1157" t="s">
        <v>24</v>
      </c>
      <c r="F1157">
        <v>60</v>
      </c>
      <c r="G1157">
        <v>0</v>
      </c>
      <c r="H1157">
        <v>1</v>
      </c>
      <c r="I1157">
        <v>247000</v>
      </c>
      <c r="J1157">
        <v>4116.7</v>
      </c>
      <c r="K1157">
        <v>3</v>
      </c>
      <c r="L1157" t="s">
        <v>20</v>
      </c>
      <c r="M1157">
        <v>83</v>
      </c>
      <c r="N1157" t="s">
        <v>27</v>
      </c>
      <c r="P1157" t="e">
        <f t="shared" si="180"/>
        <v>#N/A</v>
      </c>
      <c r="Q1157" t="e">
        <f t="shared" si="181"/>
        <v>#N/A</v>
      </c>
      <c r="R1157" t="e">
        <f t="shared" si="182"/>
        <v>#N/A</v>
      </c>
      <c r="S1157" t="e">
        <f t="shared" si="183"/>
        <v>#N/A</v>
      </c>
      <c r="T1157" t="e">
        <f t="shared" si="184"/>
        <v>#N/A</v>
      </c>
      <c r="U1157" t="e">
        <f t="shared" si="185"/>
        <v>#N/A</v>
      </c>
      <c r="V1157">
        <f t="shared" si="186"/>
        <v>247000</v>
      </c>
      <c r="W1157">
        <f t="shared" si="187"/>
        <v>60</v>
      </c>
      <c r="X1157" t="e">
        <f t="shared" si="188"/>
        <v>#N/A</v>
      </c>
      <c r="Y1157" t="e">
        <f t="shared" si="189"/>
        <v>#N/A</v>
      </c>
    </row>
    <row r="1158" spans="1:25" x14ac:dyDescent="0.2">
      <c r="A1158">
        <v>2156</v>
      </c>
      <c r="B1158" t="s">
        <v>35</v>
      </c>
      <c r="C1158" t="s">
        <v>23</v>
      </c>
      <c r="D1158">
        <v>2022</v>
      </c>
      <c r="E1158" t="s">
        <v>16</v>
      </c>
      <c r="F1158">
        <v>300</v>
      </c>
      <c r="G1158">
        <v>5</v>
      </c>
      <c r="H1158">
        <v>5</v>
      </c>
      <c r="I1158">
        <v>1144000</v>
      </c>
      <c r="J1158">
        <v>3813.3</v>
      </c>
      <c r="K1158">
        <v>15</v>
      </c>
      <c r="L1158" t="s">
        <v>34</v>
      </c>
      <c r="M1158">
        <v>61</v>
      </c>
      <c r="N1158" t="s">
        <v>18</v>
      </c>
      <c r="P1158" t="e">
        <f t="shared" si="180"/>
        <v>#N/A</v>
      </c>
      <c r="Q1158" t="e">
        <f t="shared" si="181"/>
        <v>#N/A</v>
      </c>
      <c r="R1158" t="e">
        <f t="shared" si="182"/>
        <v>#N/A</v>
      </c>
      <c r="S1158" t="e">
        <f t="shared" si="183"/>
        <v>#N/A</v>
      </c>
      <c r="T1158">
        <f t="shared" si="184"/>
        <v>1144000</v>
      </c>
      <c r="U1158">
        <f t="shared" si="185"/>
        <v>300</v>
      </c>
      <c r="V1158" t="e">
        <f t="shared" si="186"/>
        <v>#N/A</v>
      </c>
      <c r="W1158" t="e">
        <f t="shared" si="187"/>
        <v>#N/A</v>
      </c>
      <c r="X1158" t="e">
        <f t="shared" si="188"/>
        <v>#N/A</v>
      </c>
      <c r="Y1158" t="e">
        <f t="shared" si="189"/>
        <v>#N/A</v>
      </c>
    </row>
    <row r="1159" spans="1:25" x14ac:dyDescent="0.2">
      <c r="A1159">
        <v>2157</v>
      </c>
      <c r="B1159" t="s">
        <v>25</v>
      </c>
      <c r="C1159" t="s">
        <v>29</v>
      </c>
      <c r="D1159">
        <v>2022</v>
      </c>
      <c r="E1159" t="s">
        <v>24</v>
      </c>
      <c r="F1159">
        <v>379</v>
      </c>
      <c r="G1159">
        <v>4</v>
      </c>
      <c r="H1159">
        <v>4</v>
      </c>
      <c r="I1159">
        <v>1406000</v>
      </c>
      <c r="J1159">
        <v>3709.8</v>
      </c>
      <c r="K1159">
        <v>3</v>
      </c>
      <c r="L1159" t="s">
        <v>17</v>
      </c>
      <c r="M1159">
        <v>116</v>
      </c>
      <c r="N1159" t="s">
        <v>27</v>
      </c>
      <c r="P1159">
        <f t="shared" si="180"/>
        <v>1406000</v>
      </c>
      <c r="Q1159">
        <f t="shared" si="181"/>
        <v>379</v>
      </c>
      <c r="R1159" t="e">
        <f t="shared" si="182"/>
        <v>#N/A</v>
      </c>
      <c r="S1159" t="e">
        <f t="shared" si="183"/>
        <v>#N/A</v>
      </c>
      <c r="T1159" t="e">
        <f t="shared" si="184"/>
        <v>#N/A</v>
      </c>
      <c r="U1159" t="e">
        <f t="shared" si="185"/>
        <v>#N/A</v>
      </c>
      <c r="V1159" t="e">
        <f t="shared" si="186"/>
        <v>#N/A</v>
      </c>
      <c r="W1159" t="e">
        <f t="shared" si="187"/>
        <v>#N/A</v>
      </c>
      <c r="X1159" t="e">
        <f t="shared" si="188"/>
        <v>#N/A</v>
      </c>
      <c r="Y1159" t="e">
        <f t="shared" si="189"/>
        <v>#N/A</v>
      </c>
    </row>
    <row r="1160" spans="1:25" x14ac:dyDescent="0.2">
      <c r="A1160">
        <v>2158</v>
      </c>
      <c r="B1160" t="s">
        <v>47</v>
      </c>
      <c r="C1160" t="s">
        <v>15</v>
      </c>
      <c r="D1160">
        <v>2024</v>
      </c>
      <c r="E1160" t="s">
        <v>24</v>
      </c>
      <c r="F1160">
        <v>124</v>
      </c>
      <c r="G1160">
        <v>3</v>
      </c>
      <c r="H1160">
        <v>3</v>
      </c>
      <c r="I1160">
        <v>423000</v>
      </c>
      <c r="J1160">
        <v>3411.3</v>
      </c>
      <c r="K1160">
        <v>20</v>
      </c>
      <c r="L1160" t="s">
        <v>17</v>
      </c>
      <c r="M1160">
        <v>21</v>
      </c>
      <c r="N1160" t="s">
        <v>21</v>
      </c>
      <c r="P1160" t="e">
        <f t="shared" si="180"/>
        <v>#N/A</v>
      </c>
      <c r="Q1160" t="e">
        <f t="shared" si="181"/>
        <v>#N/A</v>
      </c>
      <c r="R1160">
        <f t="shared" si="182"/>
        <v>423000</v>
      </c>
      <c r="S1160">
        <f t="shared" si="183"/>
        <v>124</v>
      </c>
      <c r="T1160" t="e">
        <f t="shared" si="184"/>
        <v>#N/A</v>
      </c>
      <c r="U1160" t="e">
        <f t="shared" si="185"/>
        <v>#N/A</v>
      </c>
      <c r="V1160" t="e">
        <f t="shared" si="186"/>
        <v>#N/A</v>
      </c>
      <c r="W1160" t="e">
        <f t="shared" si="187"/>
        <v>#N/A</v>
      </c>
      <c r="X1160" t="e">
        <f t="shared" si="188"/>
        <v>#N/A</v>
      </c>
      <c r="Y1160" t="e">
        <f t="shared" si="189"/>
        <v>#N/A</v>
      </c>
    </row>
    <row r="1161" spans="1:25" x14ac:dyDescent="0.2">
      <c r="A1161">
        <v>2159</v>
      </c>
      <c r="B1161" t="s">
        <v>33</v>
      </c>
      <c r="C1161" t="s">
        <v>15</v>
      </c>
      <c r="D1161">
        <v>2023</v>
      </c>
      <c r="E1161" t="s">
        <v>16</v>
      </c>
      <c r="F1161">
        <v>133</v>
      </c>
      <c r="G1161">
        <v>4</v>
      </c>
      <c r="H1161">
        <v>4</v>
      </c>
      <c r="I1161">
        <v>335000</v>
      </c>
      <c r="J1161">
        <v>2518.8000000000002</v>
      </c>
      <c r="K1161">
        <v>0</v>
      </c>
      <c r="L1161" t="s">
        <v>17</v>
      </c>
      <c r="M1161">
        <v>158</v>
      </c>
      <c r="N1161" t="s">
        <v>27</v>
      </c>
      <c r="P1161" t="e">
        <f t="shared" si="180"/>
        <v>#N/A</v>
      </c>
      <c r="Q1161" t="e">
        <f t="shared" si="181"/>
        <v>#N/A</v>
      </c>
      <c r="R1161">
        <f t="shared" si="182"/>
        <v>335000</v>
      </c>
      <c r="S1161">
        <f t="shared" si="183"/>
        <v>133</v>
      </c>
      <c r="T1161" t="e">
        <f t="shared" si="184"/>
        <v>#N/A</v>
      </c>
      <c r="U1161" t="e">
        <f t="shared" si="185"/>
        <v>#N/A</v>
      </c>
      <c r="V1161" t="e">
        <f t="shared" si="186"/>
        <v>#N/A</v>
      </c>
      <c r="W1161" t="e">
        <f t="shared" si="187"/>
        <v>#N/A</v>
      </c>
      <c r="X1161" t="e">
        <f t="shared" si="188"/>
        <v>#N/A</v>
      </c>
      <c r="Y1161" t="e">
        <f t="shared" si="189"/>
        <v>#N/A</v>
      </c>
    </row>
    <row r="1162" spans="1:25" x14ac:dyDescent="0.2">
      <c r="A1162">
        <v>2160</v>
      </c>
      <c r="B1162" t="s">
        <v>47</v>
      </c>
      <c r="C1162" t="s">
        <v>38</v>
      </c>
      <c r="D1162">
        <v>2022</v>
      </c>
      <c r="E1162" t="s">
        <v>24</v>
      </c>
      <c r="F1162">
        <v>47</v>
      </c>
      <c r="G1162">
        <v>0</v>
      </c>
      <c r="H1162">
        <v>1</v>
      </c>
      <c r="I1162">
        <v>166000</v>
      </c>
      <c r="J1162">
        <v>3531.9</v>
      </c>
      <c r="K1162">
        <v>0</v>
      </c>
      <c r="L1162" t="s">
        <v>34</v>
      </c>
      <c r="M1162">
        <v>147</v>
      </c>
      <c r="N1162" t="s">
        <v>21</v>
      </c>
      <c r="P1162" t="e">
        <f t="shared" si="180"/>
        <v>#N/A</v>
      </c>
      <c r="Q1162" t="e">
        <f t="shared" si="181"/>
        <v>#N/A</v>
      </c>
      <c r="R1162" t="e">
        <f t="shared" si="182"/>
        <v>#N/A</v>
      </c>
      <c r="S1162" t="e">
        <f t="shared" si="183"/>
        <v>#N/A</v>
      </c>
      <c r="T1162" t="e">
        <f t="shared" si="184"/>
        <v>#N/A</v>
      </c>
      <c r="U1162" t="e">
        <f t="shared" si="185"/>
        <v>#N/A</v>
      </c>
      <c r="V1162">
        <f t="shared" si="186"/>
        <v>166000</v>
      </c>
      <c r="W1162">
        <f t="shared" si="187"/>
        <v>47</v>
      </c>
      <c r="X1162" t="e">
        <f t="shared" si="188"/>
        <v>#N/A</v>
      </c>
      <c r="Y1162" t="e">
        <f t="shared" si="189"/>
        <v>#N/A</v>
      </c>
    </row>
    <row r="1163" spans="1:25" x14ac:dyDescent="0.2">
      <c r="A1163">
        <v>2161</v>
      </c>
      <c r="B1163" t="s">
        <v>44</v>
      </c>
      <c r="C1163" t="s">
        <v>29</v>
      </c>
      <c r="D1163">
        <v>2021</v>
      </c>
      <c r="E1163" t="s">
        <v>24</v>
      </c>
      <c r="F1163">
        <v>510</v>
      </c>
      <c r="G1163">
        <v>4</v>
      </c>
      <c r="H1163">
        <v>4</v>
      </c>
      <c r="I1163">
        <v>2138000</v>
      </c>
      <c r="J1163">
        <v>4192.2</v>
      </c>
      <c r="K1163">
        <v>5</v>
      </c>
      <c r="L1163" t="s">
        <v>17</v>
      </c>
      <c r="M1163">
        <v>50</v>
      </c>
      <c r="N1163" t="s">
        <v>18</v>
      </c>
      <c r="P1163">
        <f t="shared" si="180"/>
        <v>2138000</v>
      </c>
      <c r="Q1163">
        <f t="shared" si="181"/>
        <v>510</v>
      </c>
      <c r="R1163" t="e">
        <f t="shared" si="182"/>
        <v>#N/A</v>
      </c>
      <c r="S1163" t="e">
        <f t="shared" si="183"/>
        <v>#N/A</v>
      </c>
      <c r="T1163" t="e">
        <f t="shared" si="184"/>
        <v>#N/A</v>
      </c>
      <c r="U1163" t="e">
        <f t="shared" si="185"/>
        <v>#N/A</v>
      </c>
      <c r="V1163" t="e">
        <f t="shared" si="186"/>
        <v>#N/A</v>
      </c>
      <c r="W1163" t="e">
        <f t="shared" si="187"/>
        <v>#N/A</v>
      </c>
      <c r="X1163" t="e">
        <f t="shared" si="188"/>
        <v>#N/A</v>
      </c>
      <c r="Y1163" t="e">
        <f t="shared" si="189"/>
        <v>#N/A</v>
      </c>
    </row>
    <row r="1164" spans="1:25" x14ac:dyDescent="0.2">
      <c r="A1164">
        <v>2162</v>
      </c>
      <c r="B1164" t="s">
        <v>43</v>
      </c>
      <c r="C1164" t="s">
        <v>15</v>
      </c>
      <c r="D1164">
        <v>2022</v>
      </c>
      <c r="E1164" t="s">
        <v>16</v>
      </c>
      <c r="F1164">
        <v>135</v>
      </c>
      <c r="G1164">
        <v>3</v>
      </c>
      <c r="H1164">
        <v>3</v>
      </c>
      <c r="I1164">
        <v>579000</v>
      </c>
      <c r="J1164">
        <v>4288.8999999999996</v>
      </c>
      <c r="K1164">
        <v>0</v>
      </c>
      <c r="L1164" t="s">
        <v>20</v>
      </c>
      <c r="M1164">
        <v>4</v>
      </c>
      <c r="N1164" t="s">
        <v>27</v>
      </c>
      <c r="P1164" t="e">
        <f t="shared" si="180"/>
        <v>#N/A</v>
      </c>
      <c r="Q1164" t="e">
        <f t="shared" si="181"/>
        <v>#N/A</v>
      </c>
      <c r="R1164">
        <f t="shared" si="182"/>
        <v>579000</v>
      </c>
      <c r="S1164">
        <f t="shared" si="183"/>
        <v>135</v>
      </c>
      <c r="T1164" t="e">
        <f t="shared" si="184"/>
        <v>#N/A</v>
      </c>
      <c r="U1164" t="e">
        <f t="shared" si="185"/>
        <v>#N/A</v>
      </c>
      <c r="V1164" t="e">
        <f t="shared" si="186"/>
        <v>#N/A</v>
      </c>
      <c r="W1164" t="e">
        <f t="shared" si="187"/>
        <v>#N/A</v>
      </c>
      <c r="X1164" t="e">
        <f t="shared" si="188"/>
        <v>#N/A</v>
      </c>
      <c r="Y1164" t="e">
        <f t="shared" si="189"/>
        <v>#N/A</v>
      </c>
    </row>
    <row r="1165" spans="1:25" x14ac:dyDescent="0.2">
      <c r="A1165">
        <v>2163</v>
      </c>
      <c r="B1165" t="s">
        <v>25</v>
      </c>
      <c r="C1165" t="s">
        <v>29</v>
      </c>
      <c r="D1165">
        <v>2024</v>
      </c>
      <c r="E1165" t="s">
        <v>26</v>
      </c>
      <c r="F1165">
        <v>432</v>
      </c>
      <c r="G1165">
        <v>5</v>
      </c>
      <c r="H1165">
        <v>5</v>
      </c>
      <c r="I1165">
        <v>1694000</v>
      </c>
      <c r="J1165">
        <v>3921.3</v>
      </c>
      <c r="K1165">
        <v>5</v>
      </c>
      <c r="L1165" t="s">
        <v>17</v>
      </c>
      <c r="M1165">
        <v>160</v>
      </c>
      <c r="N1165" t="s">
        <v>27</v>
      </c>
      <c r="P1165">
        <f t="shared" si="180"/>
        <v>1694000</v>
      </c>
      <c r="Q1165">
        <f t="shared" si="181"/>
        <v>432</v>
      </c>
      <c r="R1165" t="e">
        <f t="shared" si="182"/>
        <v>#N/A</v>
      </c>
      <c r="S1165" t="e">
        <f t="shared" si="183"/>
        <v>#N/A</v>
      </c>
      <c r="T1165" t="e">
        <f t="shared" si="184"/>
        <v>#N/A</v>
      </c>
      <c r="U1165" t="e">
        <f t="shared" si="185"/>
        <v>#N/A</v>
      </c>
      <c r="V1165" t="e">
        <f t="shared" si="186"/>
        <v>#N/A</v>
      </c>
      <c r="W1165" t="e">
        <f t="shared" si="187"/>
        <v>#N/A</v>
      </c>
      <c r="X1165" t="e">
        <f t="shared" si="188"/>
        <v>#N/A</v>
      </c>
      <c r="Y1165" t="e">
        <f t="shared" si="189"/>
        <v>#N/A</v>
      </c>
    </row>
    <row r="1166" spans="1:25" x14ac:dyDescent="0.2">
      <c r="A1166">
        <v>2164</v>
      </c>
      <c r="B1166" t="s">
        <v>47</v>
      </c>
      <c r="C1166" t="s">
        <v>23</v>
      </c>
      <c r="D1166">
        <v>2023</v>
      </c>
      <c r="E1166" t="s">
        <v>24</v>
      </c>
      <c r="F1166">
        <v>321</v>
      </c>
      <c r="G1166">
        <v>4</v>
      </c>
      <c r="H1166">
        <v>4</v>
      </c>
      <c r="I1166">
        <v>1150000</v>
      </c>
      <c r="J1166">
        <v>3582.6</v>
      </c>
      <c r="K1166">
        <v>2</v>
      </c>
      <c r="L1166" t="s">
        <v>17</v>
      </c>
      <c r="M1166">
        <v>173</v>
      </c>
      <c r="N1166" t="s">
        <v>21</v>
      </c>
      <c r="P1166" t="e">
        <f t="shared" si="180"/>
        <v>#N/A</v>
      </c>
      <c r="Q1166" t="e">
        <f t="shared" si="181"/>
        <v>#N/A</v>
      </c>
      <c r="R1166" t="e">
        <f t="shared" si="182"/>
        <v>#N/A</v>
      </c>
      <c r="S1166" t="e">
        <f t="shared" si="183"/>
        <v>#N/A</v>
      </c>
      <c r="T1166">
        <f t="shared" si="184"/>
        <v>1150000</v>
      </c>
      <c r="U1166">
        <f t="shared" si="185"/>
        <v>321</v>
      </c>
      <c r="V1166" t="e">
        <f t="shared" si="186"/>
        <v>#N/A</v>
      </c>
      <c r="W1166" t="e">
        <f t="shared" si="187"/>
        <v>#N/A</v>
      </c>
      <c r="X1166" t="e">
        <f t="shared" si="188"/>
        <v>#N/A</v>
      </c>
      <c r="Y1166" t="e">
        <f t="shared" si="189"/>
        <v>#N/A</v>
      </c>
    </row>
    <row r="1167" spans="1:25" x14ac:dyDescent="0.2">
      <c r="A1167">
        <v>2165</v>
      </c>
      <c r="B1167" t="s">
        <v>45</v>
      </c>
      <c r="C1167" t="s">
        <v>15</v>
      </c>
      <c r="D1167">
        <v>2022</v>
      </c>
      <c r="E1167" t="s">
        <v>16</v>
      </c>
      <c r="F1167">
        <v>119</v>
      </c>
      <c r="G1167">
        <v>2</v>
      </c>
      <c r="H1167">
        <v>2</v>
      </c>
      <c r="I1167">
        <v>425000</v>
      </c>
      <c r="J1167">
        <v>3571.4</v>
      </c>
      <c r="K1167">
        <v>10</v>
      </c>
      <c r="L1167" t="s">
        <v>17</v>
      </c>
      <c r="M1167">
        <v>130</v>
      </c>
      <c r="N1167" t="s">
        <v>21</v>
      </c>
      <c r="P1167" t="e">
        <f t="shared" si="180"/>
        <v>#N/A</v>
      </c>
      <c r="Q1167" t="e">
        <f t="shared" si="181"/>
        <v>#N/A</v>
      </c>
      <c r="R1167">
        <f t="shared" si="182"/>
        <v>425000</v>
      </c>
      <c r="S1167">
        <f t="shared" si="183"/>
        <v>119</v>
      </c>
      <c r="T1167" t="e">
        <f t="shared" si="184"/>
        <v>#N/A</v>
      </c>
      <c r="U1167" t="e">
        <f t="shared" si="185"/>
        <v>#N/A</v>
      </c>
      <c r="V1167" t="e">
        <f t="shared" si="186"/>
        <v>#N/A</v>
      </c>
      <c r="W1167" t="e">
        <f t="shared" si="187"/>
        <v>#N/A</v>
      </c>
      <c r="X1167" t="e">
        <f t="shared" si="188"/>
        <v>#N/A</v>
      </c>
      <c r="Y1167" t="e">
        <f t="shared" si="189"/>
        <v>#N/A</v>
      </c>
    </row>
    <row r="1168" spans="1:25" x14ac:dyDescent="0.2">
      <c r="A1168">
        <v>2166</v>
      </c>
      <c r="B1168" t="s">
        <v>31</v>
      </c>
      <c r="C1168" t="s">
        <v>38</v>
      </c>
      <c r="D1168">
        <v>2022</v>
      </c>
      <c r="E1168" t="s">
        <v>26</v>
      </c>
      <c r="F1168">
        <v>42</v>
      </c>
      <c r="G1168">
        <v>0</v>
      </c>
      <c r="H1168">
        <v>1</v>
      </c>
      <c r="I1168">
        <v>155000</v>
      </c>
      <c r="J1168">
        <v>3690.5</v>
      </c>
      <c r="K1168">
        <v>3</v>
      </c>
      <c r="L1168" t="s">
        <v>17</v>
      </c>
      <c r="M1168">
        <v>12</v>
      </c>
      <c r="N1168" t="s">
        <v>21</v>
      </c>
      <c r="P1168" t="e">
        <f t="shared" si="180"/>
        <v>#N/A</v>
      </c>
      <c r="Q1168" t="e">
        <f t="shared" si="181"/>
        <v>#N/A</v>
      </c>
      <c r="R1168" t="e">
        <f t="shared" si="182"/>
        <v>#N/A</v>
      </c>
      <c r="S1168" t="e">
        <f t="shared" si="183"/>
        <v>#N/A</v>
      </c>
      <c r="T1168" t="e">
        <f t="shared" si="184"/>
        <v>#N/A</v>
      </c>
      <c r="U1168" t="e">
        <f t="shared" si="185"/>
        <v>#N/A</v>
      </c>
      <c r="V1168">
        <f t="shared" si="186"/>
        <v>155000</v>
      </c>
      <c r="W1168">
        <f t="shared" si="187"/>
        <v>42</v>
      </c>
      <c r="X1168" t="e">
        <f t="shared" si="188"/>
        <v>#N/A</v>
      </c>
      <c r="Y1168" t="e">
        <f t="shared" si="189"/>
        <v>#N/A</v>
      </c>
    </row>
    <row r="1169" spans="1:25" x14ac:dyDescent="0.2">
      <c r="A1169">
        <v>2167</v>
      </c>
      <c r="B1169" t="s">
        <v>22</v>
      </c>
      <c r="C1169" t="s">
        <v>15</v>
      </c>
      <c r="D1169">
        <v>2024</v>
      </c>
      <c r="E1169" t="s">
        <v>30</v>
      </c>
      <c r="F1169">
        <v>120</v>
      </c>
      <c r="G1169">
        <v>3</v>
      </c>
      <c r="H1169">
        <v>3</v>
      </c>
      <c r="I1169">
        <v>460000</v>
      </c>
      <c r="J1169">
        <v>3833.3</v>
      </c>
      <c r="K1169">
        <v>7</v>
      </c>
      <c r="L1169" t="s">
        <v>20</v>
      </c>
      <c r="M1169">
        <v>130</v>
      </c>
      <c r="N1169" t="s">
        <v>18</v>
      </c>
      <c r="P1169" t="e">
        <f t="shared" si="180"/>
        <v>#N/A</v>
      </c>
      <c r="Q1169" t="e">
        <f t="shared" si="181"/>
        <v>#N/A</v>
      </c>
      <c r="R1169">
        <f t="shared" si="182"/>
        <v>460000</v>
      </c>
      <c r="S1169">
        <f t="shared" si="183"/>
        <v>120</v>
      </c>
      <c r="T1169" t="e">
        <f t="shared" si="184"/>
        <v>#N/A</v>
      </c>
      <c r="U1169" t="e">
        <f t="shared" si="185"/>
        <v>#N/A</v>
      </c>
      <c r="V1169" t="e">
        <f t="shared" si="186"/>
        <v>#N/A</v>
      </c>
      <c r="W1169" t="e">
        <f t="shared" si="187"/>
        <v>#N/A</v>
      </c>
      <c r="X1169" t="e">
        <f t="shared" si="188"/>
        <v>#N/A</v>
      </c>
      <c r="Y1169" t="e">
        <f t="shared" si="189"/>
        <v>#N/A</v>
      </c>
    </row>
    <row r="1170" spans="1:25" x14ac:dyDescent="0.2">
      <c r="A1170">
        <v>2168</v>
      </c>
      <c r="B1170" t="s">
        <v>33</v>
      </c>
      <c r="C1170" t="s">
        <v>15</v>
      </c>
      <c r="D1170">
        <v>2021</v>
      </c>
      <c r="E1170" t="s">
        <v>26</v>
      </c>
      <c r="F1170">
        <v>153</v>
      </c>
      <c r="G1170">
        <v>4</v>
      </c>
      <c r="H1170">
        <v>4</v>
      </c>
      <c r="I1170">
        <v>351000</v>
      </c>
      <c r="J1170">
        <v>2294.1</v>
      </c>
      <c r="K1170">
        <v>7</v>
      </c>
      <c r="L1170" t="s">
        <v>17</v>
      </c>
      <c r="M1170">
        <v>126</v>
      </c>
      <c r="N1170" t="s">
        <v>27</v>
      </c>
      <c r="P1170" t="e">
        <f t="shared" si="180"/>
        <v>#N/A</v>
      </c>
      <c r="Q1170" t="e">
        <f t="shared" si="181"/>
        <v>#N/A</v>
      </c>
      <c r="R1170">
        <f t="shared" si="182"/>
        <v>351000</v>
      </c>
      <c r="S1170">
        <f t="shared" si="183"/>
        <v>153</v>
      </c>
      <c r="T1170" t="e">
        <f t="shared" si="184"/>
        <v>#N/A</v>
      </c>
      <c r="U1170" t="e">
        <f t="shared" si="185"/>
        <v>#N/A</v>
      </c>
      <c r="V1170" t="e">
        <f t="shared" si="186"/>
        <v>#N/A</v>
      </c>
      <c r="W1170" t="e">
        <f t="shared" si="187"/>
        <v>#N/A</v>
      </c>
      <c r="X1170" t="e">
        <f t="shared" si="188"/>
        <v>#N/A</v>
      </c>
      <c r="Y1170" t="e">
        <f t="shared" si="189"/>
        <v>#N/A</v>
      </c>
    </row>
    <row r="1171" spans="1:25" x14ac:dyDescent="0.2">
      <c r="A1171">
        <v>2169</v>
      </c>
      <c r="B1171" t="s">
        <v>44</v>
      </c>
      <c r="C1171" t="s">
        <v>15</v>
      </c>
      <c r="D1171">
        <v>2024</v>
      </c>
      <c r="E1171" t="s">
        <v>16</v>
      </c>
      <c r="F1171">
        <v>151</v>
      </c>
      <c r="G1171">
        <v>3</v>
      </c>
      <c r="H1171">
        <v>3</v>
      </c>
      <c r="I1171">
        <v>549000</v>
      </c>
      <c r="J1171">
        <v>3635.8</v>
      </c>
      <c r="K1171">
        <v>10</v>
      </c>
      <c r="L1171" t="s">
        <v>17</v>
      </c>
      <c r="M1171">
        <v>140</v>
      </c>
      <c r="N1171" t="s">
        <v>18</v>
      </c>
      <c r="P1171" t="e">
        <f t="shared" si="180"/>
        <v>#N/A</v>
      </c>
      <c r="Q1171" t="e">
        <f t="shared" si="181"/>
        <v>#N/A</v>
      </c>
      <c r="R1171">
        <f t="shared" si="182"/>
        <v>549000</v>
      </c>
      <c r="S1171">
        <f t="shared" si="183"/>
        <v>151</v>
      </c>
      <c r="T1171" t="e">
        <f t="shared" si="184"/>
        <v>#N/A</v>
      </c>
      <c r="U1171" t="e">
        <f t="shared" si="185"/>
        <v>#N/A</v>
      </c>
      <c r="V1171" t="e">
        <f t="shared" si="186"/>
        <v>#N/A</v>
      </c>
      <c r="W1171" t="e">
        <f t="shared" si="187"/>
        <v>#N/A</v>
      </c>
      <c r="X1171" t="e">
        <f t="shared" si="188"/>
        <v>#N/A</v>
      </c>
      <c r="Y1171" t="e">
        <f t="shared" si="189"/>
        <v>#N/A</v>
      </c>
    </row>
    <row r="1172" spans="1:25" x14ac:dyDescent="0.2">
      <c r="A1172">
        <v>2170</v>
      </c>
      <c r="B1172" t="s">
        <v>39</v>
      </c>
      <c r="C1172" t="s">
        <v>29</v>
      </c>
      <c r="D1172">
        <v>2024</v>
      </c>
      <c r="E1172" t="s">
        <v>16</v>
      </c>
      <c r="F1172">
        <v>451</v>
      </c>
      <c r="G1172">
        <v>5</v>
      </c>
      <c r="H1172">
        <v>5</v>
      </c>
      <c r="I1172">
        <v>2716000</v>
      </c>
      <c r="J1172">
        <v>6022.2</v>
      </c>
      <c r="K1172">
        <v>0</v>
      </c>
      <c r="L1172" t="s">
        <v>34</v>
      </c>
      <c r="M1172">
        <v>132</v>
      </c>
      <c r="N1172" t="s">
        <v>21</v>
      </c>
      <c r="P1172">
        <f t="shared" si="180"/>
        <v>2716000</v>
      </c>
      <c r="Q1172">
        <f t="shared" si="181"/>
        <v>451</v>
      </c>
      <c r="R1172" t="e">
        <f t="shared" si="182"/>
        <v>#N/A</v>
      </c>
      <c r="S1172" t="e">
        <f t="shared" si="183"/>
        <v>#N/A</v>
      </c>
      <c r="T1172" t="e">
        <f t="shared" si="184"/>
        <v>#N/A</v>
      </c>
      <c r="U1172" t="e">
        <f t="shared" si="185"/>
        <v>#N/A</v>
      </c>
      <c r="V1172" t="e">
        <f t="shared" si="186"/>
        <v>#N/A</v>
      </c>
      <c r="W1172" t="e">
        <f t="shared" si="187"/>
        <v>#N/A</v>
      </c>
      <c r="X1172" t="e">
        <f t="shared" si="188"/>
        <v>#N/A</v>
      </c>
      <c r="Y1172" t="e">
        <f t="shared" si="189"/>
        <v>#N/A</v>
      </c>
    </row>
    <row r="1173" spans="1:25" x14ac:dyDescent="0.2">
      <c r="A1173">
        <v>2171</v>
      </c>
      <c r="B1173" t="s">
        <v>32</v>
      </c>
      <c r="C1173" t="s">
        <v>15</v>
      </c>
      <c r="D1173">
        <v>2024</v>
      </c>
      <c r="E1173" t="s">
        <v>26</v>
      </c>
      <c r="F1173">
        <v>142</v>
      </c>
      <c r="G1173">
        <v>4</v>
      </c>
      <c r="H1173">
        <v>4</v>
      </c>
      <c r="I1173">
        <v>457000</v>
      </c>
      <c r="J1173">
        <v>3218.3</v>
      </c>
      <c r="K1173">
        <v>15</v>
      </c>
      <c r="L1173" t="s">
        <v>20</v>
      </c>
      <c r="M1173">
        <v>57</v>
      </c>
      <c r="N1173" t="s">
        <v>18</v>
      </c>
      <c r="P1173" t="e">
        <f t="shared" si="180"/>
        <v>#N/A</v>
      </c>
      <c r="Q1173" t="e">
        <f t="shared" si="181"/>
        <v>#N/A</v>
      </c>
      <c r="R1173">
        <f t="shared" si="182"/>
        <v>457000</v>
      </c>
      <c r="S1173">
        <f t="shared" si="183"/>
        <v>142</v>
      </c>
      <c r="T1173" t="e">
        <f t="shared" si="184"/>
        <v>#N/A</v>
      </c>
      <c r="U1173" t="e">
        <f t="shared" si="185"/>
        <v>#N/A</v>
      </c>
      <c r="V1173" t="e">
        <f t="shared" si="186"/>
        <v>#N/A</v>
      </c>
      <c r="W1173" t="e">
        <f t="shared" si="187"/>
        <v>#N/A</v>
      </c>
      <c r="X1173" t="e">
        <f t="shared" si="188"/>
        <v>#N/A</v>
      </c>
      <c r="Y1173" t="e">
        <f t="shared" si="189"/>
        <v>#N/A</v>
      </c>
    </row>
    <row r="1174" spans="1:25" x14ac:dyDescent="0.2">
      <c r="A1174">
        <v>2172</v>
      </c>
      <c r="B1174" t="s">
        <v>22</v>
      </c>
      <c r="C1174" t="s">
        <v>23</v>
      </c>
      <c r="D1174">
        <v>2023</v>
      </c>
      <c r="E1174" t="s">
        <v>26</v>
      </c>
      <c r="F1174">
        <v>158</v>
      </c>
      <c r="G1174">
        <v>4</v>
      </c>
      <c r="H1174">
        <v>4</v>
      </c>
      <c r="I1174">
        <v>705000</v>
      </c>
      <c r="J1174">
        <v>4462</v>
      </c>
      <c r="K1174">
        <v>1</v>
      </c>
      <c r="L1174" t="s">
        <v>17</v>
      </c>
      <c r="M1174">
        <v>117</v>
      </c>
      <c r="N1174" t="s">
        <v>18</v>
      </c>
      <c r="P1174" t="e">
        <f t="shared" si="180"/>
        <v>#N/A</v>
      </c>
      <c r="Q1174" t="e">
        <f t="shared" si="181"/>
        <v>#N/A</v>
      </c>
      <c r="R1174" t="e">
        <f t="shared" si="182"/>
        <v>#N/A</v>
      </c>
      <c r="S1174" t="e">
        <f t="shared" si="183"/>
        <v>#N/A</v>
      </c>
      <c r="T1174">
        <f t="shared" si="184"/>
        <v>705000</v>
      </c>
      <c r="U1174">
        <f t="shared" si="185"/>
        <v>158</v>
      </c>
      <c r="V1174" t="e">
        <f t="shared" si="186"/>
        <v>#N/A</v>
      </c>
      <c r="W1174" t="e">
        <f t="shared" si="187"/>
        <v>#N/A</v>
      </c>
      <c r="X1174" t="e">
        <f t="shared" si="188"/>
        <v>#N/A</v>
      </c>
      <c r="Y1174" t="e">
        <f t="shared" si="189"/>
        <v>#N/A</v>
      </c>
    </row>
    <row r="1175" spans="1:25" x14ac:dyDescent="0.2">
      <c r="A1175">
        <v>2173</v>
      </c>
      <c r="B1175" t="s">
        <v>39</v>
      </c>
      <c r="C1175" t="s">
        <v>15</v>
      </c>
      <c r="D1175">
        <v>2021</v>
      </c>
      <c r="E1175" t="s">
        <v>24</v>
      </c>
      <c r="F1175">
        <v>141</v>
      </c>
      <c r="G1175">
        <v>2</v>
      </c>
      <c r="H1175">
        <v>2</v>
      </c>
      <c r="I1175">
        <v>498000</v>
      </c>
      <c r="J1175">
        <v>3531.9</v>
      </c>
      <c r="K1175">
        <v>3</v>
      </c>
      <c r="L1175" t="s">
        <v>20</v>
      </c>
      <c r="M1175">
        <v>174</v>
      </c>
      <c r="N1175" t="s">
        <v>21</v>
      </c>
      <c r="P1175" t="e">
        <f t="shared" si="180"/>
        <v>#N/A</v>
      </c>
      <c r="Q1175" t="e">
        <f t="shared" si="181"/>
        <v>#N/A</v>
      </c>
      <c r="R1175">
        <f t="shared" si="182"/>
        <v>498000</v>
      </c>
      <c r="S1175">
        <f t="shared" si="183"/>
        <v>141</v>
      </c>
      <c r="T1175" t="e">
        <f t="shared" si="184"/>
        <v>#N/A</v>
      </c>
      <c r="U1175" t="e">
        <f t="shared" si="185"/>
        <v>#N/A</v>
      </c>
      <c r="V1175" t="e">
        <f t="shared" si="186"/>
        <v>#N/A</v>
      </c>
      <c r="W1175" t="e">
        <f t="shared" si="187"/>
        <v>#N/A</v>
      </c>
      <c r="X1175" t="e">
        <f t="shared" si="188"/>
        <v>#N/A</v>
      </c>
      <c r="Y1175" t="e">
        <f t="shared" si="189"/>
        <v>#N/A</v>
      </c>
    </row>
    <row r="1176" spans="1:25" x14ac:dyDescent="0.2">
      <c r="A1176">
        <v>2174</v>
      </c>
      <c r="B1176" t="s">
        <v>37</v>
      </c>
      <c r="C1176" t="s">
        <v>15</v>
      </c>
      <c r="D1176">
        <v>2023</v>
      </c>
      <c r="E1176" t="s">
        <v>26</v>
      </c>
      <c r="F1176">
        <v>174</v>
      </c>
      <c r="G1176">
        <v>3</v>
      </c>
      <c r="H1176">
        <v>3</v>
      </c>
      <c r="I1176">
        <v>811000</v>
      </c>
      <c r="J1176">
        <v>4660.8999999999996</v>
      </c>
      <c r="K1176">
        <v>20</v>
      </c>
      <c r="L1176" t="s">
        <v>20</v>
      </c>
      <c r="M1176">
        <v>112</v>
      </c>
      <c r="N1176" t="s">
        <v>27</v>
      </c>
      <c r="P1176" t="e">
        <f t="shared" si="180"/>
        <v>#N/A</v>
      </c>
      <c r="Q1176" t="e">
        <f t="shared" si="181"/>
        <v>#N/A</v>
      </c>
      <c r="R1176">
        <f t="shared" si="182"/>
        <v>811000</v>
      </c>
      <c r="S1176">
        <f t="shared" si="183"/>
        <v>174</v>
      </c>
      <c r="T1176" t="e">
        <f t="shared" si="184"/>
        <v>#N/A</v>
      </c>
      <c r="U1176" t="e">
        <f t="shared" si="185"/>
        <v>#N/A</v>
      </c>
      <c r="V1176" t="e">
        <f t="shared" si="186"/>
        <v>#N/A</v>
      </c>
      <c r="W1176" t="e">
        <f t="shared" si="187"/>
        <v>#N/A</v>
      </c>
      <c r="X1176" t="e">
        <f t="shared" si="188"/>
        <v>#N/A</v>
      </c>
      <c r="Y1176" t="e">
        <f t="shared" si="189"/>
        <v>#N/A</v>
      </c>
    </row>
    <row r="1177" spans="1:25" x14ac:dyDescent="0.2">
      <c r="A1177">
        <v>2175</v>
      </c>
      <c r="B1177" t="s">
        <v>22</v>
      </c>
      <c r="C1177" t="s">
        <v>29</v>
      </c>
      <c r="D1177">
        <v>2023</v>
      </c>
      <c r="E1177" t="s">
        <v>30</v>
      </c>
      <c r="F1177">
        <v>519</v>
      </c>
      <c r="G1177">
        <v>5</v>
      </c>
      <c r="H1177">
        <v>5</v>
      </c>
      <c r="I1177">
        <v>3065000</v>
      </c>
      <c r="J1177">
        <v>5905.6</v>
      </c>
      <c r="K1177">
        <v>7</v>
      </c>
      <c r="L1177" t="s">
        <v>34</v>
      </c>
      <c r="M1177">
        <v>32</v>
      </c>
      <c r="N1177" t="s">
        <v>18</v>
      </c>
      <c r="P1177">
        <f t="shared" si="180"/>
        <v>3065000</v>
      </c>
      <c r="Q1177">
        <f t="shared" si="181"/>
        <v>519</v>
      </c>
      <c r="R1177" t="e">
        <f t="shared" si="182"/>
        <v>#N/A</v>
      </c>
      <c r="S1177" t="e">
        <f t="shared" si="183"/>
        <v>#N/A</v>
      </c>
      <c r="T1177" t="e">
        <f t="shared" si="184"/>
        <v>#N/A</v>
      </c>
      <c r="U1177" t="e">
        <f t="shared" si="185"/>
        <v>#N/A</v>
      </c>
      <c r="V1177" t="e">
        <f t="shared" si="186"/>
        <v>#N/A</v>
      </c>
      <c r="W1177" t="e">
        <f t="shared" si="187"/>
        <v>#N/A</v>
      </c>
      <c r="X1177" t="e">
        <f t="shared" si="188"/>
        <v>#N/A</v>
      </c>
      <c r="Y1177" t="e">
        <f t="shared" si="189"/>
        <v>#N/A</v>
      </c>
    </row>
    <row r="1178" spans="1:25" x14ac:dyDescent="0.2">
      <c r="A1178">
        <v>2176</v>
      </c>
      <c r="B1178" t="s">
        <v>45</v>
      </c>
      <c r="C1178" t="s">
        <v>38</v>
      </c>
      <c r="D1178">
        <v>2024</v>
      </c>
      <c r="E1178" t="s">
        <v>30</v>
      </c>
      <c r="F1178">
        <v>56</v>
      </c>
      <c r="G1178">
        <v>0</v>
      </c>
      <c r="H1178">
        <v>1</v>
      </c>
      <c r="I1178">
        <v>313000</v>
      </c>
      <c r="J1178">
        <v>5589.3</v>
      </c>
      <c r="K1178">
        <v>0</v>
      </c>
      <c r="L1178" t="s">
        <v>17</v>
      </c>
      <c r="M1178">
        <v>107</v>
      </c>
      <c r="N1178" t="s">
        <v>21</v>
      </c>
      <c r="P1178" t="e">
        <f t="shared" si="180"/>
        <v>#N/A</v>
      </c>
      <c r="Q1178" t="e">
        <f t="shared" si="181"/>
        <v>#N/A</v>
      </c>
      <c r="R1178" t="e">
        <f t="shared" si="182"/>
        <v>#N/A</v>
      </c>
      <c r="S1178" t="e">
        <f t="shared" si="183"/>
        <v>#N/A</v>
      </c>
      <c r="T1178" t="e">
        <f t="shared" si="184"/>
        <v>#N/A</v>
      </c>
      <c r="U1178" t="e">
        <f t="shared" si="185"/>
        <v>#N/A</v>
      </c>
      <c r="V1178">
        <f t="shared" si="186"/>
        <v>313000</v>
      </c>
      <c r="W1178">
        <f t="shared" si="187"/>
        <v>56</v>
      </c>
      <c r="X1178" t="e">
        <f t="shared" si="188"/>
        <v>#N/A</v>
      </c>
      <c r="Y1178" t="e">
        <f t="shared" si="189"/>
        <v>#N/A</v>
      </c>
    </row>
    <row r="1179" spans="1:25" x14ac:dyDescent="0.2">
      <c r="A1179">
        <v>2177</v>
      </c>
      <c r="B1179" t="s">
        <v>22</v>
      </c>
      <c r="C1179" t="s">
        <v>38</v>
      </c>
      <c r="D1179">
        <v>2024</v>
      </c>
      <c r="E1179" t="s">
        <v>16</v>
      </c>
      <c r="F1179">
        <v>57</v>
      </c>
      <c r="G1179">
        <v>0</v>
      </c>
      <c r="H1179">
        <v>1</v>
      </c>
      <c r="I1179">
        <v>278000</v>
      </c>
      <c r="J1179">
        <v>4877.2</v>
      </c>
      <c r="K1179">
        <v>5</v>
      </c>
      <c r="L1179" t="s">
        <v>17</v>
      </c>
      <c r="M1179">
        <v>81</v>
      </c>
      <c r="N1179" t="s">
        <v>18</v>
      </c>
      <c r="P1179" t="e">
        <f t="shared" si="180"/>
        <v>#N/A</v>
      </c>
      <c r="Q1179" t="e">
        <f t="shared" si="181"/>
        <v>#N/A</v>
      </c>
      <c r="R1179" t="e">
        <f t="shared" si="182"/>
        <v>#N/A</v>
      </c>
      <c r="S1179" t="e">
        <f t="shared" si="183"/>
        <v>#N/A</v>
      </c>
      <c r="T1179" t="e">
        <f t="shared" si="184"/>
        <v>#N/A</v>
      </c>
      <c r="U1179" t="e">
        <f t="shared" si="185"/>
        <v>#N/A</v>
      </c>
      <c r="V1179">
        <f t="shared" si="186"/>
        <v>278000</v>
      </c>
      <c r="W1179">
        <f t="shared" si="187"/>
        <v>57</v>
      </c>
      <c r="X1179" t="e">
        <f t="shared" si="188"/>
        <v>#N/A</v>
      </c>
      <c r="Y1179" t="e">
        <f t="shared" si="189"/>
        <v>#N/A</v>
      </c>
    </row>
    <row r="1180" spans="1:25" x14ac:dyDescent="0.2">
      <c r="A1180">
        <v>2178</v>
      </c>
      <c r="B1180" t="s">
        <v>14</v>
      </c>
      <c r="C1180" t="s">
        <v>23</v>
      </c>
      <c r="D1180">
        <v>2021</v>
      </c>
      <c r="E1180" t="s">
        <v>24</v>
      </c>
      <c r="F1180">
        <v>311</v>
      </c>
      <c r="G1180">
        <v>4</v>
      </c>
      <c r="H1180">
        <v>4</v>
      </c>
      <c r="I1180">
        <v>1126000</v>
      </c>
      <c r="J1180">
        <v>3620.6</v>
      </c>
      <c r="K1180">
        <v>20</v>
      </c>
      <c r="L1180" t="s">
        <v>17</v>
      </c>
      <c r="M1180">
        <v>143</v>
      </c>
      <c r="N1180" t="s">
        <v>18</v>
      </c>
      <c r="P1180" t="e">
        <f t="shared" si="180"/>
        <v>#N/A</v>
      </c>
      <c r="Q1180" t="e">
        <f t="shared" si="181"/>
        <v>#N/A</v>
      </c>
      <c r="R1180" t="e">
        <f t="shared" si="182"/>
        <v>#N/A</v>
      </c>
      <c r="S1180" t="e">
        <f t="shared" si="183"/>
        <v>#N/A</v>
      </c>
      <c r="T1180">
        <f t="shared" si="184"/>
        <v>1126000</v>
      </c>
      <c r="U1180">
        <f t="shared" si="185"/>
        <v>311</v>
      </c>
      <c r="V1180" t="e">
        <f t="shared" si="186"/>
        <v>#N/A</v>
      </c>
      <c r="W1180" t="e">
        <f t="shared" si="187"/>
        <v>#N/A</v>
      </c>
      <c r="X1180" t="e">
        <f t="shared" si="188"/>
        <v>#N/A</v>
      </c>
      <c r="Y1180" t="e">
        <f t="shared" si="189"/>
        <v>#N/A</v>
      </c>
    </row>
    <row r="1181" spans="1:25" x14ac:dyDescent="0.2">
      <c r="A1181">
        <v>2179</v>
      </c>
      <c r="B1181" t="s">
        <v>19</v>
      </c>
      <c r="C1181" t="s">
        <v>15</v>
      </c>
      <c r="D1181">
        <v>2024</v>
      </c>
      <c r="E1181" t="s">
        <v>30</v>
      </c>
      <c r="F1181">
        <v>181</v>
      </c>
      <c r="G1181">
        <v>2</v>
      </c>
      <c r="H1181">
        <v>2</v>
      </c>
      <c r="I1181">
        <v>623000</v>
      </c>
      <c r="J1181">
        <v>3442</v>
      </c>
      <c r="K1181">
        <v>7</v>
      </c>
      <c r="L1181" t="s">
        <v>20</v>
      </c>
      <c r="M1181">
        <v>25</v>
      </c>
      <c r="N1181" t="s">
        <v>21</v>
      </c>
      <c r="P1181" t="e">
        <f t="shared" si="180"/>
        <v>#N/A</v>
      </c>
      <c r="Q1181" t="e">
        <f t="shared" si="181"/>
        <v>#N/A</v>
      </c>
      <c r="R1181">
        <f t="shared" si="182"/>
        <v>623000</v>
      </c>
      <c r="S1181">
        <f t="shared" si="183"/>
        <v>181</v>
      </c>
      <c r="T1181" t="e">
        <f t="shared" si="184"/>
        <v>#N/A</v>
      </c>
      <c r="U1181" t="e">
        <f t="shared" si="185"/>
        <v>#N/A</v>
      </c>
      <c r="V1181" t="e">
        <f t="shared" si="186"/>
        <v>#N/A</v>
      </c>
      <c r="W1181" t="e">
        <f t="shared" si="187"/>
        <v>#N/A</v>
      </c>
      <c r="X1181" t="e">
        <f t="shared" si="188"/>
        <v>#N/A</v>
      </c>
      <c r="Y1181" t="e">
        <f t="shared" si="189"/>
        <v>#N/A</v>
      </c>
    </row>
    <row r="1182" spans="1:25" x14ac:dyDescent="0.2">
      <c r="A1182">
        <v>2180</v>
      </c>
      <c r="B1182" t="s">
        <v>40</v>
      </c>
      <c r="C1182" t="s">
        <v>15</v>
      </c>
      <c r="D1182">
        <v>2024</v>
      </c>
      <c r="E1182" t="s">
        <v>26</v>
      </c>
      <c r="F1182">
        <v>145</v>
      </c>
      <c r="G1182">
        <v>4</v>
      </c>
      <c r="H1182">
        <v>4</v>
      </c>
      <c r="I1182">
        <v>541000</v>
      </c>
      <c r="J1182">
        <v>3731</v>
      </c>
      <c r="K1182">
        <v>0</v>
      </c>
      <c r="L1182" t="s">
        <v>20</v>
      </c>
      <c r="M1182">
        <v>102</v>
      </c>
      <c r="N1182" t="s">
        <v>18</v>
      </c>
      <c r="P1182" t="e">
        <f t="shared" si="180"/>
        <v>#N/A</v>
      </c>
      <c r="Q1182" t="e">
        <f t="shared" si="181"/>
        <v>#N/A</v>
      </c>
      <c r="R1182">
        <f t="shared" si="182"/>
        <v>541000</v>
      </c>
      <c r="S1182">
        <f t="shared" si="183"/>
        <v>145</v>
      </c>
      <c r="T1182" t="e">
        <f t="shared" si="184"/>
        <v>#N/A</v>
      </c>
      <c r="U1182" t="e">
        <f t="shared" si="185"/>
        <v>#N/A</v>
      </c>
      <c r="V1182" t="e">
        <f t="shared" si="186"/>
        <v>#N/A</v>
      </c>
      <c r="W1182" t="e">
        <f t="shared" si="187"/>
        <v>#N/A</v>
      </c>
      <c r="X1182" t="e">
        <f t="shared" si="188"/>
        <v>#N/A</v>
      </c>
      <c r="Y1182" t="e">
        <f t="shared" si="189"/>
        <v>#N/A</v>
      </c>
    </row>
    <row r="1183" spans="1:25" x14ac:dyDescent="0.2">
      <c r="A1183">
        <v>2181</v>
      </c>
      <c r="B1183" t="s">
        <v>25</v>
      </c>
      <c r="C1183" t="s">
        <v>15</v>
      </c>
      <c r="D1183">
        <v>2024</v>
      </c>
      <c r="E1183" t="s">
        <v>24</v>
      </c>
      <c r="F1183">
        <v>163</v>
      </c>
      <c r="G1183">
        <v>2</v>
      </c>
      <c r="H1183">
        <v>2</v>
      </c>
      <c r="I1183">
        <v>454000</v>
      </c>
      <c r="J1183">
        <v>2785.3</v>
      </c>
      <c r="K1183">
        <v>2</v>
      </c>
      <c r="L1183" t="s">
        <v>17</v>
      </c>
      <c r="M1183">
        <v>163</v>
      </c>
      <c r="N1183" t="s">
        <v>27</v>
      </c>
      <c r="P1183" t="e">
        <f t="shared" si="180"/>
        <v>#N/A</v>
      </c>
      <c r="Q1183" t="e">
        <f t="shared" si="181"/>
        <v>#N/A</v>
      </c>
      <c r="R1183">
        <f t="shared" si="182"/>
        <v>454000</v>
      </c>
      <c r="S1183">
        <f t="shared" si="183"/>
        <v>163</v>
      </c>
      <c r="T1183" t="e">
        <f t="shared" si="184"/>
        <v>#N/A</v>
      </c>
      <c r="U1183" t="e">
        <f t="shared" si="185"/>
        <v>#N/A</v>
      </c>
      <c r="V1183" t="e">
        <f t="shared" si="186"/>
        <v>#N/A</v>
      </c>
      <c r="W1183" t="e">
        <f t="shared" si="187"/>
        <v>#N/A</v>
      </c>
      <c r="X1183" t="e">
        <f t="shared" si="188"/>
        <v>#N/A</v>
      </c>
      <c r="Y1183" t="e">
        <f t="shared" si="189"/>
        <v>#N/A</v>
      </c>
    </row>
    <row r="1184" spans="1:25" x14ac:dyDescent="0.2">
      <c r="A1184">
        <v>2182</v>
      </c>
      <c r="B1184" t="s">
        <v>31</v>
      </c>
      <c r="C1184" t="s">
        <v>15</v>
      </c>
      <c r="D1184">
        <v>2023</v>
      </c>
      <c r="E1184" t="s">
        <v>30</v>
      </c>
      <c r="F1184">
        <v>128</v>
      </c>
      <c r="G1184">
        <v>2</v>
      </c>
      <c r="H1184">
        <v>2</v>
      </c>
      <c r="I1184">
        <v>361000</v>
      </c>
      <c r="J1184">
        <v>2820.3</v>
      </c>
      <c r="K1184">
        <v>1</v>
      </c>
      <c r="L1184" t="s">
        <v>34</v>
      </c>
      <c r="M1184">
        <v>10</v>
      </c>
      <c r="N1184" t="s">
        <v>21</v>
      </c>
      <c r="P1184" t="e">
        <f t="shared" si="180"/>
        <v>#N/A</v>
      </c>
      <c r="Q1184" t="e">
        <f t="shared" si="181"/>
        <v>#N/A</v>
      </c>
      <c r="R1184">
        <f t="shared" si="182"/>
        <v>361000</v>
      </c>
      <c r="S1184">
        <f t="shared" si="183"/>
        <v>128</v>
      </c>
      <c r="T1184" t="e">
        <f t="shared" si="184"/>
        <v>#N/A</v>
      </c>
      <c r="U1184" t="e">
        <f t="shared" si="185"/>
        <v>#N/A</v>
      </c>
      <c r="V1184" t="e">
        <f t="shared" si="186"/>
        <v>#N/A</v>
      </c>
      <c r="W1184" t="e">
        <f t="shared" si="187"/>
        <v>#N/A</v>
      </c>
      <c r="X1184" t="e">
        <f t="shared" si="188"/>
        <v>#N/A</v>
      </c>
      <c r="Y1184" t="e">
        <f t="shared" si="189"/>
        <v>#N/A</v>
      </c>
    </row>
    <row r="1185" spans="1:25" x14ac:dyDescent="0.2">
      <c r="A1185">
        <v>2183</v>
      </c>
      <c r="B1185" t="s">
        <v>42</v>
      </c>
      <c r="C1185" t="s">
        <v>23</v>
      </c>
      <c r="D1185">
        <v>2022</v>
      </c>
      <c r="E1185" t="s">
        <v>24</v>
      </c>
      <c r="F1185">
        <v>219</v>
      </c>
      <c r="G1185">
        <v>4</v>
      </c>
      <c r="H1185">
        <v>4</v>
      </c>
      <c r="I1185">
        <v>1028000</v>
      </c>
      <c r="J1185">
        <v>4694.1000000000004</v>
      </c>
      <c r="K1185">
        <v>20</v>
      </c>
      <c r="L1185" t="s">
        <v>34</v>
      </c>
      <c r="M1185">
        <v>129</v>
      </c>
      <c r="N1185" t="s">
        <v>21</v>
      </c>
      <c r="P1185" t="e">
        <f t="shared" si="180"/>
        <v>#N/A</v>
      </c>
      <c r="Q1185" t="e">
        <f t="shared" si="181"/>
        <v>#N/A</v>
      </c>
      <c r="R1185" t="e">
        <f t="shared" si="182"/>
        <v>#N/A</v>
      </c>
      <c r="S1185" t="e">
        <f t="shared" si="183"/>
        <v>#N/A</v>
      </c>
      <c r="T1185">
        <f t="shared" si="184"/>
        <v>1028000</v>
      </c>
      <c r="U1185">
        <f t="shared" si="185"/>
        <v>219</v>
      </c>
      <c r="V1185" t="e">
        <f t="shared" si="186"/>
        <v>#N/A</v>
      </c>
      <c r="W1185" t="e">
        <f t="shared" si="187"/>
        <v>#N/A</v>
      </c>
      <c r="X1185" t="e">
        <f t="shared" si="188"/>
        <v>#N/A</v>
      </c>
      <c r="Y1185" t="e">
        <f t="shared" si="189"/>
        <v>#N/A</v>
      </c>
    </row>
    <row r="1186" spans="1:25" x14ac:dyDescent="0.2">
      <c r="A1186">
        <v>2184</v>
      </c>
      <c r="B1186" t="s">
        <v>39</v>
      </c>
      <c r="C1186" t="s">
        <v>23</v>
      </c>
      <c r="D1186">
        <v>2024</v>
      </c>
      <c r="E1186" t="s">
        <v>16</v>
      </c>
      <c r="F1186">
        <v>257</v>
      </c>
      <c r="G1186">
        <v>3</v>
      </c>
      <c r="H1186">
        <v>3</v>
      </c>
      <c r="I1186">
        <v>1342000</v>
      </c>
      <c r="J1186">
        <v>5221.8</v>
      </c>
      <c r="K1186">
        <v>15</v>
      </c>
      <c r="L1186" t="s">
        <v>20</v>
      </c>
      <c r="M1186">
        <v>53</v>
      </c>
      <c r="N1186" t="s">
        <v>21</v>
      </c>
      <c r="P1186" t="e">
        <f t="shared" si="180"/>
        <v>#N/A</v>
      </c>
      <c r="Q1186" t="e">
        <f t="shared" si="181"/>
        <v>#N/A</v>
      </c>
      <c r="R1186" t="e">
        <f t="shared" si="182"/>
        <v>#N/A</v>
      </c>
      <c r="S1186" t="e">
        <f t="shared" si="183"/>
        <v>#N/A</v>
      </c>
      <c r="T1186">
        <f t="shared" si="184"/>
        <v>1342000</v>
      </c>
      <c r="U1186">
        <f t="shared" si="185"/>
        <v>257</v>
      </c>
      <c r="V1186" t="e">
        <f t="shared" si="186"/>
        <v>#N/A</v>
      </c>
      <c r="W1186" t="e">
        <f t="shared" si="187"/>
        <v>#N/A</v>
      </c>
      <c r="X1186" t="e">
        <f t="shared" si="188"/>
        <v>#N/A</v>
      </c>
      <c r="Y1186" t="e">
        <f t="shared" si="189"/>
        <v>#N/A</v>
      </c>
    </row>
    <row r="1187" spans="1:25" x14ac:dyDescent="0.2">
      <c r="A1187">
        <v>2185</v>
      </c>
      <c r="B1187" t="s">
        <v>46</v>
      </c>
      <c r="C1187" t="s">
        <v>23</v>
      </c>
      <c r="D1187">
        <v>2023</v>
      </c>
      <c r="E1187" t="s">
        <v>16</v>
      </c>
      <c r="F1187">
        <v>353</v>
      </c>
      <c r="G1187">
        <v>4</v>
      </c>
      <c r="H1187">
        <v>4</v>
      </c>
      <c r="I1187">
        <v>1509000</v>
      </c>
      <c r="J1187">
        <v>4274.8</v>
      </c>
      <c r="K1187">
        <v>0</v>
      </c>
      <c r="L1187" t="s">
        <v>20</v>
      </c>
      <c r="M1187">
        <v>45</v>
      </c>
      <c r="N1187" t="s">
        <v>18</v>
      </c>
      <c r="P1187" t="e">
        <f t="shared" si="180"/>
        <v>#N/A</v>
      </c>
      <c r="Q1187" t="e">
        <f t="shared" si="181"/>
        <v>#N/A</v>
      </c>
      <c r="R1187" t="e">
        <f t="shared" si="182"/>
        <v>#N/A</v>
      </c>
      <c r="S1187" t="e">
        <f t="shared" si="183"/>
        <v>#N/A</v>
      </c>
      <c r="T1187">
        <f t="shared" si="184"/>
        <v>1509000</v>
      </c>
      <c r="U1187">
        <f t="shared" si="185"/>
        <v>353</v>
      </c>
      <c r="V1187" t="e">
        <f t="shared" si="186"/>
        <v>#N/A</v>
      </c>
      <c r="W1187" t="e">
        <f t="shared" si="187"/>
        <v>#N/A</v>
      </c>
      <c r="X1187" t="e">
        <f t="shared" si="188"/>
        <v>#N/A</v>
      </c>
      <c r="Y1187" t="e">
        <f t="shared" si="189"/>
        <v>#N/A</v>
      </c>
    </row>
    <row r="1188" spans="1:25" x14ac:dyDescent="0.2">
      <c r="A1188">
        <v>2186</v>
      </c>
      <c r="B1188" t="s">
        <v>35</v>
      </c>
      <c r="C1188" t="s">
        <v>38</v>
      </c>
      <c r="D1188">
        <v>2024</v>
      </c>
      <c r="E1188" t="s">
        <v>24</v>
      </c>
      <c r="F1188">
        <v>61</v>
      </c>
      <c r="G1188">
        <v>0</v>
      </c>
      <c r="H1188">
        <v>1</v>
      </c>
      <c r="I1188">
        <v>311000</v>
      </c>
      <c r="J1188">
        <v>5098.3999999999996</v>
      </c>
      <c r="K1188">
        <v>0</v>
      </c>
      <c r="L1188" t="s">
        <v>34</v>
      </c>
      <c r="M1188">
        <v>68</v>
      </c>
      <c r="N1188" t="s">
        <v>18</v>
      </c>
      <c r="P1188" t="e">
        <f t="shared" si="180"/>
        <v>#N/A</v>
      </c>
      <c r="Q1188" t="e">
        <f t="shared" si="181"/>
        <v>#N/A</v>
      </c>
      <c r="R1188" t="e">
        <f t="shared" si="182"/>
        <v>#N/A</v>
      </c>
      <c r="S1188" t="e">
        <f t="shared" si="183"/>
        <v>#N/A</v>
      </c>
      <c r="T1188" t="e">
        <f t="shared" si="184"/>
        <v>#N/A</v>
      </c>
      <c r="U1188" t="e">
        <f t="shared" si="185"/>
        <v>#N/A</v>
      </c>
      <c r="V1188">
        <f t="shared" si="186"/>
        <v>311000</v>
      </c>
      <c r="W1188">
        <f t="shared" si="187"/>
        <v>61</v>
      </c>
      <c r="X1188" t="e">
        <f t="shared" si="188"/>
        <v>#N/A</v>
      </c>
      <c r="Y1188" t="e">
        <f t="shared" si="189"/>
        <v>#N/A</v>
      </c>
    </row>
    <row r="1189" spans="1:25" x14ac:dyDescent="0.2">
      <c r="A1189">
        <v>2187</v>
      </c>
      <c r="B1189" t="s">
        <v>40</v>
      </c>
      <c r="C1189" t="s">
        <v>38</v>
      </c>
      <c r="D1189">
        <v>2024</v>
      </c>
      <c r="E1189" t="s">
        <v>24</v>
      </c>
      <c r="F1189">
        <v>44</v>
      </c>
      <c r="G1189">
        <v>0</v>
      </c>
      <c r="H1189">
        <v>1</v>
      </c>
      <c r="I1189">
        <v>232000</v>
      </c>
      <c r="J1189">
        <v>5272.7</v>
      </c>
      <c r="K1189">
        <v>10</v>
      </c>
      <c r="L1189" t="s">
        <v>20</v>
      </c>
      <c r="M1189">
        <v>125</v>
      </c>
      <c r="N1189" t="s">
        <v>18</v>
      </c>
      <c r="P1189" t="e">
        <f t="shared" si="180"/>
        <v>#N/A</v>
      </c>
      <c r="Q1189" t="e">
        <f t="shared" si="181"/>
        <v>#N/A</v>
      </c>
      <c r="R1189" t="e">
        <f t="shared" si="182"/>
        <v>#N/A</v>
      </c>
      <c r="S1189" t="e">
        <f t="shared" si="183"/>
        <v>#N/A</v>
      </c>
      <c r="T1189" t="e">
        <f t="shared" si="184"/>
        <v>#N/A</v>
      </c>
      <c r="U1189" t="e">
        <f t="shared" si="185"/>
        <v>#N/A</v>
      </c>
      <c r="V1189">
        <f t="shared" si="186"/>
        <v>232000</v>
      </c>
      <c r="W1189">
        <f t="shared" si="187"/>
        <v>44</v>
      </c>
      <c r="X1189" t="e">
        <f t="shared" si="188"/>
        <v>#N/A</v>
      </c>
      <c r="Y1189" t="e">
        <f t="shared" si="189"/>
        <v>#N/A</v>
      </c>
    </row>
    <row r="1190" spans="1:25" x14ac:dyDescent="0.2">
      <c r="A1190">
        <v>2188</v>
      </c>
      <c r="B1190" t="s">
        <v>39</v>
      </c>
      <c r="C1190" t="s">
        <v>29</v>
      </c>
      <c r="D1190">
        <v>2021</v>
      </c>
      <c r="E1190" t="s">
        <v>16</v>
      </c>
      <c r="F1190">
        <v>474</v>
      </c>
      <c r="G1190">
        <v>5</v>
      </c>
      <c r="H1190">
        <v>5</v>
      </c>
      <c r="I1190">
        <v>2506000</v>
      </c>
      <c r="J1190">
        <v>5286.9</v>
      </c>
      <c r="K1190">
        <v>2</v>
      </c>
      <c r="L1190" t="s">
        <v>34</v>
      </c>
      <c r="M1190">
        <v>47</v>
      </c>
      <c r="N1190" t="s">
        <v>21</v>
      </c>
      <c r="P1190">
        <f t="shared" si="180"/>
        <v>2506000</v>
      </c>
      <c r="Q1190">
        <f t="shared" si="181"/>
        <v>474</v>
      </c>
      <c r="R1190" t="e">
        <f t="shared" si="182"/>
        <v>#N/A</v>
      </c>
      <c r="S1190" t="e">
        <f t="shared" si="183"/>
        <v>#N/A</v>
      </c>
      <c r="T1190" t="e">
        <f t="shared" si="184"/>
        <v>#N/A</v>
      </c>
      <c r="U1190" t="e">
        <f t="shared" si="185"/>
        <v>#N/A</v>
      </c>
      <c r="V1190" t="e">
        <f t="shared" si="186"/>
        <v>#N/A</v>
      </c>
      <c r="W1190" t="e">
        <f t="shared" si="187"/>
        <v>#N/A</v>
      </c>
      <c r="X1190" t="e">
        <f t="shared" si="188"/>
        <v>#N/A</v>
      </c>
      <c r="Y1190" t="e">
        <f t="shared" si="189"/>
        <v>#N/A</v>
      </c>
    </row>
    <row r="1191" spans="1:25" x14ac:dyDescent="0.2">
      <c r="A1191">
        <v>2189</v>
      </c>
      <c r="B1191" t="s">
        <v>47</v>
      </c>
      <c r="C1191" t="s">
        <v>15</v>
      </c>
      <c r="D1191">
        <v>2023</v>
      </c>
      <c r="E1191" t="s">
        <v>24</v>
      </c>
      <c r="F1191">
        <v>113</v>
      </c>
      <c r="G1191">
        <v>3</v>
      </c>
      <c r="H1191">
        <v>3</v>
      </c>
      <c r="I1191">
        <v>344000</v>
      </c>
      <c r="J1191">
        <v>3044.2</v>
      </c>
      <c r="K1191">
        <v>15</v>
      </c>
      <c r="L1191" t="s">
        <v>34</v>
      </c>
      <c r="M1191">
        <v>172</v>
      </c>
      <c r="N1191" t="s">
        <v>21</v>
      </c>
      <c r="P1191" t="e">
        <f t="shared" si="180"/>
        <v>#N/A</v>
      </c>
      <c r="Q1191" t="e">
        <f t="shared" si="181"/>
        <v>#N/A</v>
      </c>
      <c r="R1191">
        <f t="shared" si="182"/>
        <v>344000</v>
      </c>
      <c r="S1191">
        <f t="shared" si="183"/>
        <v>113</v>
      </c>
      <c r="T1191" t="e">
        <f t="shared" si="184"/>
        <v>#N/A</v>
      </c>
      <c r="U1191" t="e">
        <f t="shared" si="185"/>
        <v>#N/A</v>
      </c>
      <c r="V1191" t="e">
        <f t="shared" si="186"/>
        <v>#N/A</v>
      </c>
      <c r="W1191" t="e">
        <f t="shared" si="187"/>
        <v>#N/A</v>
      </c>
      <c r="X1191" t="e">
        <f t="shared" si="188"/>
        <v>#N/A</v>
      </c>
      <c r="Y1191" t="e">
        <f t="shared" si="189"/>
        <v>#N/A</v>
      </c>
    </row>
    <row r="1192" spans="1:25" x14ac:dyDescent="0.2">
      <c r="A1192">
        <v>2190</v>
      </c>
      <c r="B1192" t="s">
        <v>31</v>
      </c>
      <c r="C1192" t="s">
        <v>38</v>
      </c>
      <c r="D1192">
        <v>2022</v>
      </c>
      <c r="E1192" t="s">
        <v>16</v>
      </c>
      <c r="F1192">
        <v>59</v>
      </c>
      <c r="G1192">
        <v>0</v>
      </c>
      <c r="H1192">
        <v>1</v>
      </c>
      <c r="I1192">
        <v>215000</v>
      </c>
      <c r="J1192">
        <v>3644.1</v>
      </c>
      <c r="K1192">
        <v>0</v>
      </c>
      <c r="L1192" t="s">
        <v>20</v>
      </c>
      <c r="M1192">
        <v>70</v>
      </c>
      <c r="N1192" t="s">
        <v>21</v>
      </c>
      <c r="P1192" t="e">
        <f t="shared" si="180"/>
        <v>#N/A</v>
      </c>
      <c r="Q1192" t="e">
        <f t="shared" si="181"/>
        <v>#N/A</v>
      </c>
      <c r="R1192" t="e">
        <f t="shared" si="182"/>
        <v>#N/A</v>
      </c>
      <c r="S1192" t="e">
        <f t="shared" si="183"/>
        <v>#N/A</v>
      </c>
      <c r="T1192" t="e">
        <f t="shared" si="184"/>
        <v>#N/A</v>
      </c>
      <c r="U1192" t="e">
        <f t="shared" si="185"/>
        <v>#N/A</v>
      </c>
      <c r="V1192">
        <f t="shared" si="186"/>
        <v>215000</v>
      </c>
      <c r="W1192">
        <f t="shared" si="187"/>
        <v>59</v>
      </c>
      <c r="X1192" t="e">
        <f t="shared" si="188"/>
        <v>#N/A</v>
      </c>
      <c r="Y1192" t="e">
        <f t="shared" si="189"/>
        <v>#N/A</v>
      </c>
    </row>
    <row r="1193" spans="1:25" x14ac:dyDescent="0.2">
      <c r="A1193">
        <v>2191</v>
      </c>
      <c r="B1193" t="s">
        <v>39</v>
      </c>
      <c r="C1193" t="s">
        <v>23</v>
      </c>
      <c r="D1193">
        <v>2021</v>
      </c>
      <c r="E1193" t="s">
        <v>16</v>
      </c>
      <c r="F1193">
        <v>235</v>
      </c>
      <c r="G1193">
        <v>4</v>
      </c>
      <c r="H1193">
        <v>4</v>
      </c>
      <c r="I1193">
        <v>913000</v>
      </c>
      <c r="J1193">
        <v>3885.1</v>
      </c>
      <c r="K1193">
        <v>0</v>
      </c>
      <c r="L1193" t="s">
        <v>17</v>
      </c>
      <c r="M1193">
        <v>8</v>
      </c>
      <c r="N1193" t="s">
        <v>21</v>
      </c>
      <c r="P1193" t="e">
        <f t="shared" si="180"/>
        <v>#N/A</v>
      </c>
      <c r="Q1193" t="e">
        <f t="shared" si="181"/>
        <v>#N/A</v>
      </c>
      <c r="R1193" t="e">
        <f t="shared" si="182"/>
        <v>#N/A</v>
      </c>
      <c r="S1193" t="e">
        <f t="shared" si="183"/>
        <v>#N/A</v>
      </c>
      <c r="T1193">
        <f t="shared" si="184"/>
        <v>913000</v>
      </c>
      <c r="U1193">
        <f t="shared" si="185"/>
        <v>235</v>
      </c>
      <c r="V1193" t="e">
        <f t="shared" si="186"/>
        <v>#N/A</v>
      </c>
      <c r="W1193" t="e">
        <f t="shared" si="187"/>
        <v>#N/A</v>
      </c>
      <c r="X1193" t="e">
        <f t="shared" si="188"/>
        <v>#N/A</v>
      </c>
      <c r="Y1193" t="e">
        <f t="shared" si="189"/>
        <v>#N/A</v>
      </c>
    </row>
    <row r="1194" spans="1:25" x14ac:dyDescent="0.2">
      <c r="A1194">
        <v>2192</v>
      </c>
      <c r="B1194" t="s">
        <v>37</v>
      </c>
      <c r="C1194" t="s">
        <v>23</v>
      </c>
      <c r="D1194">
        <v>2022</v>
      </c>
      <c r="E1194" t="s">
        <v>16</v>
      </c>
      <c r="F1194">
        <v>221</v>
      </c>
      <c r="G1194">
        <v>3</v>
      </c>
      <c r="H1194">
        <v>3</v>
      </c>
      <c r="I1194">
        <v>1072000</v>
      </c>
      <c r="J1194">
        <v>4850.7</v>
      </c>
      <c r="K1194">
        <v>2</v>
      </c>
      <c r="L1194" t="s">
        <v>34</v>
      </c>
      <c r="M1194">
        <v>166</v>
      </c>
      <c r="N1194" t="s">
        <v>27</v>
      </c>
      <c r="P1194" t="e">
        <f t="shared" si="180"/>
        <v>#N/A</v>
      </c>
      <c r="Q1194" t="e">
        <f t="shared" si="181"/>
        <v>#N/A</v>
      </c>
      <c r="R1194" t="e">
        <f t="shared" si="182"/>
        <v>#N/A</v>
      </c>
      <c r="S1194" t="e">
        <f t="shared" si="183"/>
        <v>#N/A</v>
      </c>
      <c r="T1194">
        <f t="shared" si="184"/>
        <v>1072000</v>
      </c>
      <c r="U1194">
        <f t="shared" si="185"/>
        <v>221</v>
      </c>
      <c r="V1194" t="e">
        <f t="shared" si="186"/>
        <v>#N/A</v>
      </c>
      <c r="W1194" t="e">
        <f t="shared" si="187"/>
        <v>#N/A</v>
      </c>
      <c r="X1194" t="e">
        <f t="shared" si="188"/>
        <v>#N/A</v>
      </c>
      <c r="Y1194" t="e">
        <f t="shared" si="189"/>
        <v>#N/A</v>
      </c>
    </row>
    <row r="1195" spans="1:25" x14ac:dyDescent="0.2">
      <c r="A1195">
        <v>2193</v>
      </c>
      <c r="B1195" t="s">
        <v>28</v>
      </c>
      <c r="C1195" t="s">
        <v>29</v>
      </c>
      <c r="D1195">
        <v>2021</v>
      </c>
      <c r="E1195" t="s">
        <v>26</v>
      </c>
      <c r="F1195">
        <v>551</v>
      </c>
      <c r="G1195">
        <v>5</v>
      </c>
      <c r="H1195">
        <v>5</v>
      </c>
      <c r="I1195">
        <v>2079000</v>
      </c>
      <c r="J1195">
        <v>3773.1</v>
      </c>
      <c r="K1195">
        <v>0</v>
      </c>
      <c r="L1195" t="s">
        <v>20</v>
      </c>
      <c r="M1195">
        <v>35</v>
      </c>
      <c r="N1195" t="s">
        <v>27</v>
      </c>
      <c r="P1195">
        <f t="shared" si="180"/>
        <v>2079000</v>
      </c>
      <c r="Q1195">
        <f t="shared" si="181"/>
        <v>551</v>
      </c>
      <c r="R1195" t="e">
        <f t="shared" si="182"/>
        <v>#N/A</v>
      </c>
      <c r="S1195" t="e">
        <f t="shared" si="183"/>
        <v>#N/A</v>
      </c>
      <c r="T1195" t="e">
        <f t="shared" si="184"/>
        <v>#N/A</v>
      </c>
      <c r="U1195" t="e">
        <f t="shared" si="185"/>
        <v>#N/A</v>
      </c>
      <c r="V1195" t="e">
        <f t="shared" si="186"/>
        <v>#N/A</v>
      </c>
      <c r="W1195" t="e">
        <f t="shared" si="187"/>
        <v>#N/A</v>
      </c>
      <c r="X1195" t="e">
        <f t="shared" si="188"/>
        <v>#N/A</v>
      </c>
      <c r="Y1195" t="e">
        <f t="shared" si="189"/>
        <v>#N/A</v>
      </c>
    </row>
    <row r="1196" spans="1:25" x14ac:dyDescent="0.2">
      <c r="A1196">
        <v>2194</v>
      </c>
      <c r="B1196" t="s">
        <v>48</v>
      </c>
      <c r="C1196" t="s">
        <v>15</v>
      </c>
      <c r="D1196">
        <v>2024</v>
      </c>
      <c r="E1196" t="s">
        <v>30</v>
      </c>
      <c r="F1196">
        <v>135</v>
      </c>
      <c r="G1196">
        <v>3</v>
      </c>
      <c r="H1196">
        <v>3</v>
      </c>
      <c r="I1196">
        <v>437000</v>
      </c>
      <c r="J1196">
        <v>3237</v>
      </c>
      <c r="K1196">
        <v>5</v>
      </c>
      <c r="L1196" t="s">
        <v>17</v>
      </c>
      <c r="M1196">
        <v>21</v>
      </c>
      <c r="N1196" t="s">
        <v>27</v>
      </c>
      <c r="P1196" t="e">
        <f t="shared" si="180"/>
        <v>#N/A</v>
      </c>
      <c r="Q1196" t="e">
        <f t="shared" si="181"/>
        <v>#N/A</v>
      </c>
      <c r="R1196">
        <f t="shared" si="182"/>
        <v>437000</v>
      </c>
      <c r="S1196">
        <f t="shared" si="183"/>
        <v>135</v>
      </c>
      <c r="T1196" t="e">
        <f t="shared" si="184"/>
        <v>#N/A</v>
      </c>
      <c r="U1196" t="e">
        <f t="shared" si="185"/>
        <v>#N/A</v>
      </c>
      <c r="V1196" t="e">
        <f t="shared" si="186"/>
        <v>#N/A</v>
      </c>
      <c r="W1196" t="e">
        <f t="shared" si="187"/>
        <v>#N/A</v>
      </c>
      <c r="X1196" t="e">
        <f t="shared" si="188"/>
        <v>#N/A</v>
      </c>
      <c r="Y1196" t="e">
        <f t="shared" si="189"/>
        <v>#N/A</v>
      </c>
    </row>
    <row r="1197" spans="1:25" x14ac:dyDescent="0.2">
      <c r="A1197">
        <v>2195</v>
      </c>
      <c r="B1197" t="s">
        <v>39</v>
      </c>
      <c r="C1197" t="s">
        <v>29</v>
      </c>
      <c r="D1197">
        <v>2021</v>
      </c>
      <c r="E1197" t="s">
        <v>16</v>
      </c>
      <c r="F1197">
        <v>468</v>
      </c>
      <c r="G1197">
        <v>4</v>
      </c>
      <c r="H1197">
        <v>4</v>
      </c>
      <c r="I1197">
        <v>2260000</v>
      </c>
      <c r="J1197">
        <v>4829.1000000000004</v>
      </c>
      <c r="K1197">
        <v>15</v>
      </c>
      <c r="L1197" t="s">
        <v>17</v>
      </c>
      <c r="M1197">
        <v>2</v>
      </c>
      <c r="N1197" t="s">
        <v>21</v>
      </c>
      <c r="P1197">
        <f t="shared" si="180"/>
        <v>2260000</v>
      </c>
      <c r="Q1197">
        <f t="shared" si="181"/>
        <v>468</v>
      </c>
      <c r="R1197" t="e">
        <f t="shared" si="182"/>
        <v>#N/A</v>
      </c>
      <c r="S1197" t="e">
        <f t="shared" si="183"/>
        <v>#N/A</v>
      </c>
      <c r="T1197" t="e">
        <f t="shared" si="184"/>
        <v>#N/A</v>
      </c>
      <c r="U1197" t="e">
        <f t="shared" si="185"/>
        <v>#N/A</v>
      </c>
      <c r="V1197" t="e">
        <f t="shared" si="186"/>
        <v>#N/A</v>
      </c>
      <c r="W1197" t="e">
        <f t="shared" si="187"/>
        <v>#N/A</v>
      </c>
      <c r="X1197" t="e">
        <f t="shared" si="188"/>
        <v>#N/A</v>
      </c>
      <c r="Y1197" t="e">
        <f t="shared" si="189"/>
        <v>#N/A</v>
      </c>
    </row>
    <row r="1198" spans="1:25" x14ac:dyDescent="0.2">
      <c r="A1198">
        <v>2196</v>
      </c>
      <c r="B1198" t="s">
        <v>41</v>
      </c>
      <c r="C1198" t="s">
        <v>29</v>
      </c>
      <c r="D1198">
        <v>2024</v>
      </c>
      <c r="E1198" t="s">
        <v>30</v>
      </c>
      <c r="F1198">
        <v>423</v>
      </c>
      <c r="G1198">
        <v>4</v>
      </c>
      <c r="H1198">
        <v>4</v>
      </c>
      <c r="I1198">
        <v>3225000</v>
      </c>
      <c r="J1198">
        <v>7624.1</v>
      </c>
      <c r="K1198">
        <v>7</v>
      </c>
      <c r="L1198" t="s">
        <v>34</v>
      </c>
      <c r="M1198">
        <v>169</v>
      </c>
      <c r="N1198" t="s">
        <v>21</v>
      </c>
      <c r="P1198">
        <f t="shared" si="180"/>
        <v>3225000</v>
      </c>
      <c r="Q1198">
        <f t="shared" si="181"/>
        <v>423</v>
      </c>
      <c r="R1198" t="e">
        <f t="shared" si="182"/>
        <v>#N/A</v>
      </c>
      <c r="S1198" t="e">
        <f t="shared" si="183"/>
        <v>#N/A</v>
      </c>
      <c r="T1198" t="e">
        <f t="shared" si="184"/>
        <v>#N/A</v>
      </c>
      <c r="U1198" t="e">
        <f t="shared" si="185"/>
        <v>#N/A</v>
      </c>
      <c r="V1198" t="e">
        <f t="shared" si="186"/>
        <v>#N/A</v>
      </c>
      <c r="W1198" t="e">
        <f t="shared" si="187"/>
        <v>#N/A</v>
      </c>
      <c r="X1198" t="e">
        <f t="shared" si="188"/>
        <v>#N/A</v>
      </c>
      <c r="Y1198" t="e">
        <f t="shared" si="189"/>
        <v>#N/A</v>
      </c>
    </row>
    <row r="1199" spans="1:25" x14ac:dyDescent="0.2">
      <c r="A1199">
        <v>2197</v>
      </c>
      <c r="B1199" t="s">
        <v>47</v>
      </c>
      <c r="C1199" t="s">
        <v>15</v>
      </c>
      <c r="D1199">
        <v>2024</v>
      </c>
      <c r="E1199" t="s">
        <v>26</v>
      </c>
      <c r="F1199">
        <v>115</v>
      </c>
      <c r="G1199">
        <v>3</v>
      </c>
      <c r="H1199">
        <v>3</v>
      </c>
      <c r="I1199">
        <v>405000</v>
      </c>
      <c r="J1199">
        <v>3521.7</v>
      </c>
      <c r="K1199">
        <v>20</v>
      </c>
      <c r="L1199" t="s">
        <v>17</v>
      </c>
      <c r="M1199">
        <v>87</v>
      </c>
      <c r="N1199" t="s">
        <v>21</v>
      </c>
      <c r="P1199" t="e">
        <f t="shared" si="180"/>
        <v>#N/A</v>
      </c>
      <c r="Q1199" t="e">
        <f t="shared" si="181"/>
        <v>#N/A</v>
      </c>
      <c r="R1199">
        <f t="shared" si="182"/>
        <v>405000</v>
      </c>
      <c r="S1199">
        <f t="shared" si="183"/>
        <v>115</v>
      </c>
      <c r="T1199" t="e">
        <f t="shared" si="184"/>
        <v>#N/A</v>
      </c>
      <c r="U1199" t="e">
        <f t="shared" si="185"/>
        <v>#N/A</v>
      </c>
      <c r="V1199" t="e">
        <f t="shared" si="186"/>
        <v>#N/A</v>
      </c>
      <c r="W1199" t="e">
        <f t="shared" si="187"/>
        <v>#N/A</v>
      </c>
      <c r="X1199" t="e">
        <f t="shared" si="188"/>
        <v>#N/A</v>
      </c>
      <c r="Y1199" t="e">
        <f t="shared" si="189"/>
        <v>#N/A</v>
      </c>
    </row>
    <row r="1200" spans="1:25" x14ac:dyDescent="0.2">
      <c r="A1200">
        <v>2198</v>
      </c>
      <c r="B1200" t="s">
        <v>45</v>
      </c>
      <c r="C1200" t="s">
        <v>29</v>
      </c>
      <c r="D1200">
        <v>2023</v>
      </c>
      <c r="E1200" t="s">
        <v>16</v>
      </c>
      <c r="F1200">
        <v>402</v>
      </c>
      <c r="G1200">
        <v>5</v>
      </c>
      <c r="H1200">
        <v>5</v>
      </c>
      <c r="I1200">
        <v>2525000</v>
      </c>
      <c r="J1200">
        <v>6281.1</v>
      </c>
      <c r="K1200">
        <v>20</v>
      </c>
      <c r="L1200" t="s">
        <v>34</v>
      </c>
      <c r="M1200">
        <v>67</v>
      </c>
      <c r="N1200" t="s">
        <v>21</v>
      </c>
      <c r="P1200">
        <f t="shared" si="180"/>
        <v>2525000</v>
      </c>
      <c r="Q1200">
        <f t="shared" si="181"/>
        <v>402</v>
      </c>
      <c r="R1200" t="e">
        <f t="shared" si="182"/>
        <v>#N/A</v>
      </c>
      <c r="S1200" t="e">
        <f t="shared" si="183"/>
        <v>#N/A</v>
      </c>
      <c r="T1200" t="e">
        <f t="shared" si="184"/>
        <v>#N/A</v>
      </c>
      <c r="U1200" t="e">
        <f t="shared" si="185"/>
        <v>#N/A</v>
      </c>
      <c r="V1200" t="e">
        <f t="shared" si="186"/>
        <v>#N/A</v>
      </c>
      <c r="W1200" t="e">
        <f t="shared" si="187"/>
        <v>#N/A</v>
      </c>
      <c r="X1200" t="e">
        <f t="shared" si="188"/>
        <v>#N/A</v>
      </c>
      <c r="Y1200" t="e">
        <f t="shared" si="189"/>
        <v>#N/A</v>
      </c>
    </row>
    <row r="1201" spans="1:25" x14ac:dyDescent="0.2">
      <c r="A1201">
        <v>2199</v>
      </c>
      <c r="B1201" t="s">
        <v>41</v>
      </c>
      <c r="C1201" t="s">
        <v>29</v>
      </c>
      <c r="D1201">
        <v>2023</v>
      </c>
      <c r="E1201" t="s">
        <v>16</v>
      </c>
      <c r="F1201">
        <v>340</v>
      </c>
      <c r="G1201">
        <v>6</v>
      </c>
      <c r="H1201">
        <v>6</v>
      </c>
      <c r="I1201">
        <v>2502000</v>
      </c>
      <c r="J1201">
        <v>7358.8</v>
      </c>
      <c r="K1201">
        <v>15</v>
      </c>
      <c r="L1201" t="s">
        <v>34</v>
      </c>
      <c r="M1201">
        <v>178</v>
      </c>
      <c r="N1201" t="s">
        <v>21</v>
      </c>
      <c r="P1201">
        <f t="shared" si="180"/>
        <v>2502000</v>
      </c>
      <c r="Q1201">
        <f t="shared" si="181"/>
        <v>340</v>
      </c>
      <c r="R1201" t="e">
        <f t="shared" si="182"/>
        <v>#N/A</v>
      </c>
      <c r="S1201" t="e">
        <f t="shared" si="183"/>
        <v>#N/A</v>
      </c>
      <c r="T1201" t="e">
        <f t="shared" si="184"/>
        <v>#N/A</v>
      </c>
      <c r="U1201" t="e">
        <f t="shared" si="185"/>
        <v>#N/A</v>
      </c>
      <c r="V1201" t="e">
        <f t="shared" si="186"/>
        <v>#N/A</v>
      </c>
      <c r="W1201" t="e">
        <f t="shared" si="187"/>
        <v>#N/A</v>
      </c>
      <c r="X1201" t="e">
        <f t="shared" si="188"/>
        <v>#N/A</v>
      </c>
      <c r="Y1201" t="e">
        <f t="shared" si="189"/>
        <v>#N/A</v>
      </c>
    </row>
  </sheetData>
  <pageMargins left="0.75" right="0.75" top="1" bottom="1" header="0.5" footer="0.5"/>
  <pageSetup paperSize="9"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E6F1F-23AF-9B43-AE83-8684A123DFA0}">
  <dimension ref="A2:E3"/>
  <sheetViews>
    <sheetView workbookViewId="0">
      <selection activeCell="B3" sqref="B3"/>
    </sheetView>
  </sheetViews>
  <sheetFormatPr baseColWidth="10" defaultRowHeight="16" x14ac:dyDescent="0.2"/>
  <cols>
    <col min="1" max="1" width="19.83203125" customWidth="1"/>
    <col min="2" max="2" width="25.6640625" customWidth="1"/>
    <col min="3" max="3" width="22" customWidth="1"/>
    <col min="4" max="4" width="17" customWidth="1"/>
    <col min="5" max="5" width="18.83203125" customWidth="1"/>
  </cols>
  <sheetData>
    <row r="2" spans="1:5" ht="17" x14ac:dyDescent="0.2">
      <c r="A2" s="2" t="s">
        <v>49</v>
      </c>
      <c r="B2" s="2" t="s">
        <v>50</v>
      </c>
      <c r="C2" s="2" t="s">
        <v>51</v>
      </c>
      <c r="D2" s="2" t="s">
        <v>53</v>
      </c>
      <c r="E2" s="2" t="s">
        <v>52</v>
      </c>
    </row>
    <row r="3" spans="1:5" s="4" customFormat="1" ht="22" x14ac:dyDescent="0.3">
      <c r="A3" s="8">
        <v>1200</v>
      </c>
      <c r="B3" s="9">
        <v>1075396.6666666667</v>
      </c>
      <c r="C3" s="9">
        <v>3920.1</v>
      </c>
      <c r="D3" s="3">
        <v>0.20470306809454022</v>
      </c>
      <c r="E3" s="9">
        <v>90.615833333333327</v>
      </c>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ACD2-1FB1-0A47-9F87-F5D4EF81F4F2}">
  <dimension ref="A1"/>
  <sheetViews>
    <sheetView showGridLines="0" showRowColHeaders="0" tabSelected="1" topLeftCell="G16" zoomScale="75" zoomScaleNormal="75" workbookViewId="0">
      <selection activeCell="T9" sqref="T9"/>
    </sheetView>
  </sheetViews>
  <sheetFormatPr baseColWidth="10" defaultRowHeight="16" x14ac:dyDescent="0.2"/>
  <sheetData/>
  <pageMargins left="0.7" right="0.7" top="0.75" bottom="0.75" header="0.3" footer="0.3"/>
  <pageSetup paperSize="10"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Price trend By Year</vt:lpstr>
      <vt:lpstr>Price by Prop Type</vt:lpstr>
      <vt:lpstr>Top 10 districts by avg price</vt:lpstr>
      <vt:lpstr>Property type distribution</vt:lpstr>
      <vt:lpstr>Furnished vs unfurnished</vt:lpstr>
      <vt:lpstr>riyadh_realestate_dataset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Nasreen Khalid</dc:creator>
  <cp:lastModifiedBy>Nasreen Khalid</cp:lastModifiedBy>
  <cp:lastPrinted>2026-03-17T12:52:43Z</cp:lastPrinted>
  <dcterms:created xsi:type="dcterms:W3CDTF">2026-03-17T09:23:59Z</dcterms:created>
  <dcterms:modified xsi:type="dcterms:W3CDTF">2026-03-18T09:22:51Z</dcterms:modified>
</cp:coreProperties>
</file>